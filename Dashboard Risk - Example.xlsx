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ml-my.sharepoint.com/personal/rory_mcmullan_mediolanum_ie/Documents/MIA/4 - Quant/"/>
    </mc:Choice>
  </mc:AlternateContent>
  <xr:revisionPtr revIDLastSave="115" documentId="8_{A3FE6CE6-4B2F-4BB4-9190-C44ABA300E70}" xr6:coauthVersionLast="47" xr6:coauthVersionMax="47" xr10:uidLastSave="{1685411C-DD2D-4336-B67E-670A5DF22C43}"/>
  <bookViews>
    <workbookView xWindow="-86520" yWindow="-120" windowWidth="29040" windowHeight="15720" activeTab="1" xr2:uid="{4765B482-87AD-4D47-84B0-6C7D4D7A1911}"/>
  </bookViews>
  <sheets>
    <sheet name="Sheet1" sheetId="1" r:id="rId1"/>
    <sheet name="Risk - Example" sheetId="2" r:id="rId2"/>
    <sheet name="Without Benchmark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3" l="1"/>
  <c r="S5" i="3"/>
  <c r="R5" i="3"/>
  <c r="Q5" i="3"/>
  <c r="T4" i="3"/>
  <c r="S4" i="3"/>
  <c r="Q4" i="3"/>
  <c r="R4" i="3"/>
  <c r="T3" i="3"/>
  <c r="S3" i="3"/>
  <c r="R3" i="3"/>
  <c r="Q3" i="3"/>
  <c r="T2" i="3"/>
  <c r="S2" i="3"/>
  <c r="R2" i="3"/>
  <c r="Q2" i="3"/>
  <c r="K1256" i="3"/>
  <c r="J1256" i="3"/>
  <c r="I1256" i="3"/>
  <c r="H1256" i="3"/>
  <c r="K1255" i="3"/>
  <c r="J1255" i="3"/>
  <c r="I1255" i="3"/>
  <c r="H1255" i="3"/>
  <c r="K1254" i="3"/>
  <c r="J1254" i="3"/>
  <c r="I1254" i="3"/>
  <c r="H1254" i="3"/>
  <c r="K1253" i="3"/>
  <c r="J1253" i="3"/>
  <c r="I1253" i="3"/>
  <c r="H1253" i="3"/>
  <c r="K1252" i="3"/>
  <c r="J1252" i="3"/>
  <c r="I1252" i="3"/>
  <c r="H1252" i="3"/>
  <c r="K1251" i="3"/>
  <c r="J1251" i="3"/>
  <c r="I1251" i="3"/>
  <c r="H1251" i="3"/>
  <c r="K1250" i="3"/>
  <c r="J1250" i="3"/>
  <c r="I1250" i="3"/>
  <c r="H1250" i="3"/>
  <c r="K1249" i="3"/>
  <c r="J1249" i="3"/>
  <c r="I1249" i="3"/>
  <c r="H1249" i="3"/>
  <c r="K1248" i="3"/>
  <c r="J1248" i="3"/>
  <c r="I1248" i="3"/>
  <c r="H1248" i="3"/>
  <c r="K1247" i="3"/>
  <c r="J1247" i="3"/>
  <c r="I1247" i="3"/>
  <c r="H1247" i="3"/>
  <c r="K1246" i="3"/>
  <c r="J1246" i="3"/>
  <c r="I1246" i="3"/>
  <c r="H1246" i="3"/>
  <c r="K1245" i="3"/>
  <c r="J1245" i="3"/>
  <c r="I1245" i="3"/>
  <c r="H1245" i="3"/>
  <c r="K1244" i="3"/>
  <c r="J1244" i="3"/>
  <c r="I1244" i="3"/>
  <c r="H1244" i="3"/>
  <c r="K1243" i="3"/>
  <c r="J1243" i="3"/>
  <c r="I1243" i="3"/>
  <c r="H1243" i="3"/>
  <c r="K1242" i="3"/>
  <c r="J1242" i="3"/>
  <c r="I1242" i="3"/>
  <c r="H1242" i="3"/>
  <c r="K1241" i="3"/>
  <c r="J1241" i="3"/>
  <c r="I1241" i="3"/>
  <c r="H1241" i="3"/>
  <c r="K1240" i="3"/>
  <c r="J1240" i="3"/>
  <c r="I1240" i="3"/>
  <c r="H1240" i="3"/>
  <c r="K1239" i="3"/>
  <c r="J1239" i="3"/>
  <c r="I1239" i="3"/>
  <c r="H1239" i="3"/>
  <c r="K1238" i="3"/>
  <c r="J1238" i="3"/>
  <c r="I1238" i="3"/>
  <c r="H1238" i="3"/>
  <c r="K1237" i="3"/>
  <c r="J1237" i="3"/>
  <c r="I1237" i="3"/>
  <c r="H1237" i="3"/>
  <c r="K1236" i="3"/>
  <c r="J1236" i="3"/>
  <c r="I1236" i="3"/>
  <c r="H1236" i="3"/>
  <c r="K1235" i="3"/>
  <c r="J1235" i="3"/>
  <c r="I1235" i="3"/>
  <c r="H1235" i="3"/>
  <c r="K1234" i="3"/>
  <c r="J1234" i="3"/>
  <c r="I1234" i="3"/>
  <c r="H1234" i="3"/>
  <c r="K1233" i="3"/>
  <c r="J1233" i="3"/>
  <c r="I1233" i="3"/>
  <c r="H1233" i="3"/>
  <c r="K1232" i="3"/>
  <c r="J1232" i="3"/>
  <c r="I1232" i="3"/>
  <c r="H1232" i="3"/>
  <c r="K1231" i="3"/>
  <c r="J1231" i="3"/>
  <c r="I1231" i="3"/>
  <c r="H1231" i="3"/>
  <c r="K1230" i="3"/>
  <c r="J1230" i="3"/>
  <c r="I1230" i="3"/>
  <c r="H1230" i="3"/>
  <c r="K1229" i="3"/>
  <c r="J1229" i="3"/>
  <c r="I1229" i="3"/>
  <c r="H1229" i="3"/>
  <c r="K1228" i="3"/>
  <c r="J1228" i="3"/>
  <c r="I1228" i="3"/>
  <c r="H1228" i="3"/>
  <c r="K1227" i="3"/>
  <c r="J1227" i="3"/>
  <c r="I1227" i="3"/>
  <c r="H1227" i="3"/>
  <c r="K1226" i="3"/>
  <c r="J1226" i="3"/>
  <c r="I1226" i="3"/>
  <c r="H1226" i="3"/>
  <c r="K1225" i="3"/>
  <c r="J1225" i="3"/>
  <c r="I1225" i="3"/>
  <c r="H1225" i="3"/>
  <c r="K1224" i="3"/>
  <c r="J1224" i="3"/>
  <c r="I1224" i="3"/>
  <c r="H1224" i="3"/>
  <c r="K1223" i="3"/>
  <c r="J1223" i="3"/>
  <c r="I1223" i="3"/>
  <c r="H1223" i="3"/>
  <c r="K1222" i="3"/>
  <c r="J1222" i="3"/>
  <c r="I1222" i="3"/>
  <c r="H1222" i="3"/>
  <c r="K1221" i="3"/>
  <c r="J1221" i="3"/>
  <c r="I1221" i="3"/>
  <c r="H1221" i="3"/>
  <c r="K1220" i="3"/>
  <c r="J1220" i="3"/>
  <c r="I1220" i="3"/>
  <c r="H1220" i="3"/>
  <c r="K1219" i="3"/>
  <c r="J1219" i="3"/>
  <c r="I1219" i="3"/>
  <c r="H1219" i="3"/>
  <c r="K1218" i="3"/>
  <c r="J1218" i="3"/>
  <c r="I1218" i="3"/>
  <c r="H1218" i="3"/>
  <c r="K1217" i="3"/>
  <c r="J1217" i="3"/>
  <c r="I1217" i="3"/>
  <c r="H1217" i="3"/>
  <c r="K1216" i="3"/>
  <c r="J1216" i="3"/>
  <c r="I1216" i="3"/>
  <c r="H1216" i="3"/>
  <c r="K1215" i="3"/>
  <c r="J1215" i="3"/>
  <c r="I1215" i="3"/>
  <c r="H1215" i="3"/>
  <c r="K1214" i="3"/>
  <c r="J1214" i="3"/>
  <c r="I1214" i="3"/>
  <c r="H1214" i="3"/>
  <c r="K1213" i="3"/>
  <c r="J1213" i="3"/>
  <c r="I1213" i="3"/>
  <c r="H1213" i="3"/>
  <c r="K1212" i="3"/>
  <c r="J1212" i="3"/>
  <c r="I1212" i="3"/>
  <c r="H1212" i="3"/>
  <c r="K1211" i="3"/>
  <c r="J1211" i="3"/>
  <c r="I1211" i="3"/>
  <c r="H1211" i="3"/>
  <c r="K1210" i="3"/>
  <c r="J1210" i="3"/>
  <c r="I1210" i="3"/>
  <c r="H1210" i="3"/>
  <c r="K1209" i="3"/>
  <c r="J1209" i="3"/>
  <c r="I1209" i="3"/>
  <c r="H1209" i="3"/>
  <c r="K1208" i="3"/>
  <c r="J1208" i="3"/>
  <c r="I1208" i="3"/>
  <c r="H1208" i="3"/>
  <c r="K1207" i="3"/>
  <c r="J1207" i="3"/>
  <c r="I1207" i="3"/>
  <c r="H1207" i="3"/>
  <c r="K1206" i="3"/>
  <c r="J1206" i="3"/>
  <c r="I1206" i="3"/>
  <c r="H1206" i="3"/>
  <c r="K1205" i="3"/>
  <c r="J1205" i="3"/>
  <c r="I1205" i="3"/>
  <c r="H1205" i="3"/>
  <c r="K1204" i="3"/>
  <c r="J1204" i="3"/>
  <c r="I1204" i="3"/>
  <c r="H1204" i="3"/>
  <c r="K1203" i="3"/>
  <c r="J1203" i="3"/>
  <c r="I1203" i="3"/>
  <c r="H1203" i="3"/>
  <c r="K1202" i="3"/>
  <c r="J1202" i="3"/>
  <c r="I1202" i="3"/>
  <c r="H1202" i="3"/>
  <c r="K1201" i="3"/>
  <c r="J1201" i="3"/>
  <c r="I1201" i="3"/>
  <c r="H1201" i="3"/>
  <c r="K1200" i="3"/>
  <c r="J1200" i="3"/>
  <c r="I1200" i="3"/>
  <c r="H1200" i="3"/>
  <c r="K1199" i="3"/>
  <c r="J1199" i="3"/>
  <c r="I1199" i="3"/>
  <c r="H1199" i="3"/>
  <c r="K1198" i="3"/>
  <c r="J1198" i="3"/>
  <c r="I1198" i="3"/>
  <c r="H1198" i="3"/>
  <c r="K1197" i="3"/>
  <c r="J1197" i="3"/>
  <c r="I1197" i="3"/>
  <c r="H1197" i="3"/>
  <c r="K1196" i="3"/>
  <c r="J1196" i="3"/>
  <c r="I1196" i="3"/>
  <c r="H1196" i="3"/>
  <c r="K1195" i="3"/>
  <c r="J1195" i="3"/>
  <c r="I1195" i="3"/>
  <c r="H1195" i="3"/>
  <c r="K1194" i="3"/>
  <c r="J1194" i="3"/>
  <c r="I1194" i="3"/>
  <c r="H1194" i="3"/>
  <c r="K1193" i="3"/>
  <c r="J1193" i="3"/>
  <c r="I1193" i="3"/>
  <c r="H1193" i="3"/>
  <c r="K1192" i="3"/>
  <c r="J1192" i="3"/>
  <c r="I1192" i="3"/>
  <c r="H1192" i="3"/>
  <c r="K1191" i="3"/>
  <c r="J1191" i="3"/>
  <c r="I1191" i="3"/>
  <c r="H1191" i="3"/>
  <c r="K1190" i="3"/>
  <c r="J1190" i="3"/>
  <c r="I1190" i="3"/>
  <c r="H1190" i="3"/>
  <c r="K1189" i="3"/>
  <c r="J1189" i="3"/>
  <c r="I1189" i="3"/>
  <c r="H1189" i="3"/>
  <c r="K1188" i="3"/>
  <c r="J1188" i="3"/>
  <c r="I1188" i="3"/>
  <c r="H1188" i="3"/>
  <c r="K1187" i="3"/>
  <c r="J1187" i="3"/>
  <c r="I1187" i="3"/>
  <c r="H1187" i="3"/>
  <c r="K1186" i="3"/>
  <c r="J1186" i="3"/>
  <c r="I1186" i="3"/>
  <c r="H1186" i="3"/>
  <c r="K1185" i="3"/>
  <c r="J1185" i="3"/>
  <c r="I1185" i="3"/>
  <c r="H1185" i="3"/>
  <c r="K1184" i="3"/>
  <c r="J1184" i="3"/>
  <c r="I1184" i="3"/>
  <c r="H1184" i="3"/>
  <c r="K1183" i="3"/>
  <c r="J1183" i="3"/>
  <c r="I1183" i="3"/>
  <c r="H1183" i="3"/>
  <c r="K1182" i="3"/>
  <c r="J1182" i="3"/>
  <c r="I1182" i="3"/>
  <c r="H1182" i="3"/>
  <c r="K1181" i="3"/>
  <c r="J1181" i="3"/>
  <c r="I1181" i="3"/>
  <c r="H1181" i="3"/>
  <c r="K1180" i="3"/>
  <c r="J1180" i="3"/>
  <c r="I1180" i="3"/>
  <c r="H1180" i="3"/>
  <c r="K1179" i="3"/>
  <c r="J1179" i="3"/>
  <c r="I1179" i="3"/>
  <c r="H1179" i="3"/>
  <c r="K1178" i="3"/>
  <c r="J1178" i="3"/>
  <c r="I1178" i="3"/>
  <c r="H1178" i="3"/>
  <c r="K1177" i="3"/>
  <c r="J1177" i="3"/>
  <c r="I1177" i="3"/>
  <c r="H1177" i="3"/>
  <c r="K1176" i="3"/>
  <c r="J1176" i="3"/>
  <c r="I1176" i="3"/>
  <c r="H1176" i="3"/>
  <c r="K1175" i="3"/>
  <c r="J1175" i="3"/>
  <c r="I1175" i="3"/>
  <c r="H1175" i="3"/>
  <c r="K1174" i="3"/>
  <c r="J1174" i="3"/>
  <c r="I1174" i="3"/>
  <c r="H1174" i="3"/>
  <c r="K1173" i="3"/>
  <c r="J1173" i="3"/>
  <c r="I1173" i="3"/>
  <c r="H1173" i="3"/>
  <c r="K1172" i="3"/>
  <c r="J1172" i="3"/>
  <c r="I1172" i="3"/>
  <c r="H1172" i="3"/>
  <c r="K1171" i="3"/>
  <c r="J1171" i="3"/>
  <c r="I1171" i="3"/>
  <c r="H1171" i="3"/>
  <c r="K1170" i="3"/>
  <c r="J1170" i="3"/>
  <c r="I1170" i="3"/>
  <c r="H1170" i="3"/>
  <c r="K1169" i="3"/>
  <c r="J1169" i="3"/>
  <c r="I1169" i="3"/>
  <c r="H1169" i="3"/>
  <c r="K1168" i="3"/>
  <c r="J1168" i="3"/>
  <c r="I1168" i="3"/>
  <c r="H1168" i="3"/>
  <c r="K1167" i="3"/>
  <c r="J1167" i="3"/>
  <c r="I1167" i="3"/>
  <c r="H1167" i="3"/>
  <c r="K1166" i="3"/>
  <c r="J1166" i="3"/>
  <c r="I1166" i="3"/>
  <c r="H1166" i="3"/>
  <c r="K1165" i="3"/>
  <c r="J1165" i="3"/>
  <c r="I1165" i="3"/>
  <c r="H1165" i="3"/>
  <c r="K1164" i="3"/>
  <c r="J1164" i="3"/>
  <c r="I1164" i="3"/>
  <c r="H1164" i="3"/>
  <c r="K1163" i="3"/>
  <c r="J1163" i="3"/>
  <c r="I1163" i="3"/>
  <c r="H1163" i="3"/>
  <c r="K1162" i="3"/>
  <c r="J1162" i="3"/>
  <c r="I1162" i="3"/>
  <c r="H1162" i="3"/>
  <c r="K1161" i="3"/>
  <c r="J1161" i="3"/>
  <c r="I1161" i="3"/>
  <c r="H1161" i="3"/>
  <c r="K1160" i="3"/>
  <c r="J1160" i="3"/>
  <c r="I1160" i="3"/>
  <c r="H1160" i="3"/>
  <c r="K1159" i="3"/>
  <c r="J1159" i="3"/>
  <c r="I1159" i="3"/>
  <c r="H1159" i="3"/>
  <c r="K1158" i="3"/>
  <c r="J1158" i="3"/>
  <c r="I1158" i="3"/>
  <c r="H1158" i="3"/>
  <c r="K1157" i="3"/>
  <c r="J1157" i="3"/>
  <c r="I1157" i="3"/>
  <c r="H1157" i="3"/>
  <c r="K1156" i="3"/>
  <c r="J1156" i="3"/>
  <c r="I1156" i="3"/>
  <c r="H1156" i="3"/>
  <c r="K1155" i="3"/>
  <c r="J1155" i="3"/>
  <c r="I1155" i="3"/>
  <c r="H1155" i="3"/>
  <c r="K1154" i="3"/>
  <c r="J1154" i="3"/>
  <c r="I1154" i="3"/>
  <c r="H1154" i="3"/>
  <c r="K1153" i="3"/>
  <c r="J1153" i="3"/>
  <c r="I1153" i="3"/>
  <c r="H1153" i="3"/>
  <c r="K1152" i="3"/>
  <c r="J1152" i="3"/>
  <c r="I1152" i="3"/>
  <c r="H1152" i="3"/>
  <c r="K1151" i="3"/>
  <c r="J1151" i="3"/>
  <c r="I1151" i="3"/>
  <c r="H1151" i="3"/>
  <c r="K1150" i="3"/>
  <c r="J1150" i="3"/>
  <c r="I1150" i="3"/>
  <c r="H1150" i="3"/>
  <c r="K1149" i="3"/>
  <c r="J1149" i="3"/>
  <c r="I1149" i="3"/>
  <c r="H1149" i="3"/>
  <c r="K1148" i="3"/>
  <c r="J1148" i="3"/>
  <c r="I1148" i="3"/>
  <c r="H1148" i="3"/>
  <c r="K1147" i="3"/>
  <c r="J1147" i="3"/>
  <c r="I1147" i="3"/>
  <c r="H1147" i="3"/>
  <c r="K1146" i="3"/>
  <c r="J1146" i="3"/>
  <c r="I1146" i="3"/>
  <c r="H1146" i="3"/>
  <c r="K1145" i="3"/>
  <c r="J1145" i="3"/>
  <c r="I1145" i="3"/>
  <c r="H1145" i="3"/>
  <c r="K1144" i="3"/>
  <c r="J1144" i="3"/>
  <c r="I1144" i="3"/>
  <c r="H1144" i="3"/>
  <c r="K1143" i="3"/>
  <c r="J1143" i="3"/>
  <c r="I1143" i="3"/>
  <c r="H1143" i="3"/>
  <c r="K1142" i="3"/>
  <c r="J1142" i="3"/>
  <c r="I1142" i="3"/>
  <c r="H1142" i="3"/>
  <c r="K1141" i="3"/>
  <c r="J1141" i="3"/>
  <c r="I1141" i="3"/>
  <c r="H1141" i="3"/>
  <c r="K1140" i="3"/>
  <c r="J1140" i="3"/>
  <c r="I1140" i="3"/>
  <c r="H1140" i="3"/>
  <c r="K1139" i="3"/>
  <c r="J1139" i="3"/>
  <c r="I1139" i="3"/>
  <c r="H1139" i="3"/>
  <c r="K1138" i="3"/>
  <c r="J1138" i="3"/>
  <c r="I1138" i="3"/>
  <c r="H1138" i="3"/>
  <c r="K1137" i="3"/>
  <c r="J1137" i="3"/>
  <c r="I1137" i="3"/>
  <c r="H1137" i="3"/>
  <c r="K1136" i="3"/>
  <c r="J1136" i="3"/>
  <c r="I1136" i="3"/>
  <c r="H1136" i="3"/>
  <c r="K1135" i="3"/>
  <c r="J1135" i="3"/>
  <c r="I1135" i="3"/>
  <c r="H1135" i="3"/>
  <c r="K1134" i="3"/>
  <c r="J1134" i="3"/>
  <c r="I1134" i="3"/>
  <c r="H1134" i="3"/>
  <c r="K1133" i="3"/>
  <c r="J1133" i="3"/>
  <c r="I1133" i="3"/>
  <c r="H1133" i="3"/>
  <c r="K1132" i="3"/>
  <c r="J1132" i="3"/>
  <c r="I1132" i="3"/>
  <c r="H1132" i="3"/>
  <c r="K1131" i="3"/>
  <c r="J1131" i="3"/>
  <c r="I1131" i="3"/>
  <c r="H1131" i="3"/>
  <c r="K1130" i="3"/>
  <c r="J1130" i="3"/>
  <c r="I1130" i="3"/>
  <c r="H1130" i="3"/>
  <c r="K1129" i="3"/>
  <c r="J1129" i="3"/>
  <c r="I1129" i="3"/>
  <c r="H1129" i="3"/>
  <c r="K1128" i="3"/>
  <c r="J1128" i="3"/>
  <c r="I1128" i="3"/>
  <c r="H1128" i="3"/>
  <c r="K1127" i="3"/>
  <c r="J1127" i="3"/>
  <c r="I1127" i="3"/>
  <c r="H1127" i="3"/>
  <c r="K1126" i="3"/>
  <c r="J1126" i="3"/>
  <c r="I1126" i="3"/>
  <c r="H1126" i="3"/>
  <c r="K1125" i="3"/>
  <c r="J1125" i="3"/>
  <c r="I1125" i="3"/>
  <c r="H1125" i="3"/>
  <c r="K1124" i="3"/>
  <c r="J1124" i="3"/>
  <c r="I1124" i="3"/>
  <c r="H1124" i="3"/>
  <c r="K1123" i="3"/>
  <c r="J1123" i="3"/>
  <c r="I1123" i="3"/>
  <c r="H1123" i="3"/>
  <c r="K1122" i="3"/>
  <c r="J1122" i="3"/>
  <c r="I1122" i="3"/>
  <c r="H1122" i="3"/>
  <c r="K1121" i="3"/>
  <c r="J1121" i="3"/>
  <c r="I1121" i="3"/>
  <c r="H1121" i="3"/>
  <c r="K1120" i="3"/>
  <c r="J1120" i="3"/>
  <c r="I1120" i="3"/>
  <c r="H1120" i="3"/>
  <c r="K1119" i="3"/>
  <c r="J1119" i="3"/>
  <c r="I1119" i="3"/>
  <c r="H1119" i="3"/>
  <c r="K1118" i="3"/>
  <c r="J1118" i="3"/>
  <c r="I1118" i="3"/>
  <c r="H1118" i="3"/>
  <c r="K1117" i="3"/>
  <c r="J1117" i="3"/>
  <c r="I1117" i="3"/>
  <c r="H1117" i="3"/>
  <c r="K1116" i="3"/>
  <c r="J1116" i="3"/>
  <c r="I1116" i="3"/>
  <c r="H1116" i="3"/>
  <c r="K1115" i="3"/>
  <c r="J1115" i="3"/>
  <c r="I1115" i="3"/>
  <c r="H1115" i="3"/>
  <c r="K1114" i="3"/>
  <c r="J1114" i="3"/>
  <c r="I1114" i="3"/>
  <c r="H1114" i="3"/>
  <c r="K1113" i="3"/>
  <c r="J1113" i="3"/>
  <c r="I1113" i="3"/>
  <c r="H1113" i="3"/>
  <c r="K1112" i="3"/>
  <c r="J1112" i="3"/>
  <c r="I1112" i="3"/>
  <c r="H1112" i="3"/>
  <c r="K1111" i="3"/>
  <c r="J1111" i="3"/>
  <c r="I1111" i="3"/>
  <c r="H1111" i="3"/>
  <c r="K1110" i="3"/>
  <c r="J1110" i="3"/>
  <c r="I1110" i="3"/>
  <c r="H1110" i="3"/>
  <c r="K1109" i="3"/>
  <c r="J1109" i="3"/>
  <c r="I1109" i="3"/>
  <c r="H1109" i="3"/>
  <c r="K1108" i="3"/>
  <c r="J1108" i="3"/>
  <c r="I1108" i="3"/>
  <c r="H1108" i="3"/>
  <c r="K1107" i="3"/>
  <c r="J1107" i="3"/>
  <c r="I1107" i="3"/>
  <c r="H1107" i="3"/>
  <c r="K1106" i="3"/>
  <c r="J1106" i="3"/>
  <c r="I1106" i="3"/>
  <c r="H1106" i="3"/>
  <c r="K1105" i="3"/>
  <c r="J1105" i="3"/>
  <c r="I1105" i="3"/>
  <c r="H1105" i="3"/>
  <c r="K1104" i="3"/>
  <c r="J1104" i="3"/>
  <c r="I1104" i="3"/>
  <c r="H1104" i="3"/>
  <c r="K1103" i="3"/>
  <c r="J1103" i="3"/>
  <c r="I1103" i="3"/>
  <c r="H1103" i="3"/>
  <c r="K1102" i="3"/>
  <c r="J1102" i="3"/>
  <c r="I1102" i="3"/>
  <c r="H1102" i="3"/>
  <c r="K1101" i="3"/>
  <c r="J1101" i="3"/>
  <c r="I1101" i="3"/>
  <c r="H1101" i="3"/>
  <c r="K1100" i="3"/>
  <c r="J1100" i="3"/>
  <c r="I1100" i="3"/>
  <c r="H1100" i="3"/>
  <c r="K1099" i="3"/>
  <c r="J1099" i="3"/>
  <c r="I1099" i="3"/>
  <c r="H1099" i="3"/>
  <c r="K1098" i="3"/>
  <c r="J1098" i="3"/>
  <c r="I1098" i="3"/>
  <c r="H1098" i="3"/>
  <c r="K1097" i="3"/>
  <c r="J1097" i="3"/>
  <c r="I1097" i="3"/>
  <c r="H1097" i="3"/>
  <c r="K1096" i="3"/>
  <c r="J1096" i="3"/>
  <c r="I1096" i="3"/>
  <c r="H1096" i="3"/>
  <c r="K1095" i="3"/>
  <c r="J1095" i="3"/>
  <c r="I1095" i="3"/>
  <c r="H1095" i="3"/>
  <c r="K1094" i="3"/>
  <c r="J1094" i="3"/>
  <c r="I1094" i="3"/>
  <c r="H1094" i="3"/>
  <c r="K1093" i="3"/>
  <c r="J1093" i="3"/>
  <c r="I1093" i="3"/>
  <c r="H1093" i="3"/>
  <c r="K1092" i="3"/>
  <c r="J1092" i="3"/>
  <c r="I1092" i="3"/>
  <c r="H1092" i="3"/>
  <c r="K1091" i="3"/>
  <c r="J1091" i="3"/>
  <c r="I1091" i="3"/>
  <c r="H1091" i="3"/>
  <c r="K1090" i="3"/>
  <c r="J1090" i="3"/>
  <c r="I1090" i="3"/>
  <c r="H1090" i="3"/>
  <c r="K1089" i="3"/>
  <c r="J1089" i="3"/>
  <c r="I1089" i="3"/>
  <c r="H1089" i="3"/>
  <c r="K1088" i="3"/>
  <c r="J1088" i="3"/>
  <c r="I1088" i="3"/>
  <c r="H1088" i="3"/>
  <c r="K1087" i="3"/>
  <c r="J1087" i="3"/>
  <c r="I1087" i="3"/>
  <c r="H1087" i="3"/>
  <c r="K1086" i="3"/>
  <c r="J1086" i="3"/>
  <c r="I1086" i="3"/>
  <c r="H1086" i="3"/>
  <c r="K1085" i="3"/>
  <c r="J1085" i="3"/>
  <c r="I1085" i="3"/>
  <c r="H1085" i="3"/>
  <c r="K1084" i="3"/>
  <c r="J1084" i="3"/>
  <c r="I1084" i="3"/>
  <c r="H1084" i="3"/>
  <c r="K1083" i="3"/>
  <c r="J1083" i="3"/>
  <c r="I1083" i="3"/>
  <c r="H1083" i="3"/>
  <c r="K1082" i="3"/>
  <c r="J1082" i="3"/>
  <c r="I1082" i="3"/>
  <c r="H1082" i="3"/>
  <c r="K1081" i="3"/>
  <c r="J1081" i="3"/>
  <c r="I1081" i="3"/>
  <c r="H1081" i="3"/>
  <c r="K1080" i="3"/>
  <c r="J1080" i="3"/>
  <c r="I1080" i="3"/>
  <c r="H1080" i="3"/>
  <c r="K1079" i="3"/>
  <c r="J1079" i="3"/>
  <c r="I1079" i="3"/>
  <c r="H1079" i="3"/>
  <c r="K1078" i="3"/>
  <c r="J1078" i="3"/>
  <c r="I1078" i="3"/>
  <c r="H1078" i="3"/>
  <c r="K1077" i="3"/>
  <c r="J1077" i="3"/>
  <c r="I1077" i="3"/>
  <c r="H1077" i="3"/>
  <c r="K1076" i="3"/>
  <c r="J1076" i="3"/>
  <c r="I1076" i="3"/>
  <c r="H1076" i="3"/>
  <c r="K1075" i="3"/>
  <c r="J1075" i="3"/>
  <c r="I1075" i="3"/>
  <c r="H1075" i="3"/>
  <c r="K1074" i="3"/>
  <c r="J1074" i="3"/>
  <c r="I1074" i="3"/>
  <c r="H1074" i="3"/>
  <c r="K1073" i="3"/>
  <c r="J1073" i="3"/>
  <c r="I1073" i="3"/>
  <c r="H1073" i="3"/>
  <c r="K1072" i="3"/>
  <c r="J1072" i="3"/>
  <c r="I1072" i="3"/>
  <c r="H1072" i="3"/>
  <c r="K1071" i="3"/>
  <c r="J1071" i="3"/>
  <c r="I1071" i="3"/>
  <c r="H1071" i="3"/>
  <c r="K1070" i="3"/>
  <c r="J1070" i="3"/>
  <c r="I1070" i="3"/>
  <c r="H1070" i="3"/>
  <c r="K1069" i="3"/>
  <c r="J1069" i="3"/>
  <c r="I1069" i="3"/>
  <c r="H1069" i="3"/>
  <c r="K1068" i="3"/>
  <c r="J1068" i="3"/>
  <c r="I1068" i="3"/>
  <c r="H1068" i="3"/>
  <c r="K1067" i="3"/>
  <c r="J1067" i="3"/>
  <c r="I1067" i="3"/>
  <c r="H1067" i="3"/>
  <c r="K1066" i="3"/>
  <c r="J1066" i="3"/>
  <c r="I1066" i="3"/>
  <c r="H1066" i="3"/>
  <c r="K1065" i="3"/>
  <c r="J1065" i="3"/>
  <c r="I1065" i="3"/>
  <c r="H1065" i="3"/>
  <c r="K1064" i="3"/>
  <c r="J1064" i="3"/>
  <c r="I1064" i="3"/>
  <c r="H1064" i="3"/>
  <c r="K1063" i="3"/>
  <c r="J1063" i="3"/>
  <c r="I1063" i="3"/>
  <c r="H1063" i="3"/>
  <c r="K1062" i="3"/>
  <c r="J1062" i="3"/>
  <c r="I1062" i="3"/>
  <c r="H1062" i="3"/>
  <c r="K1061" i="3"/>
  <c r="J1061" i="3"/>
  <c r="I1061" i="3"/>
  <c r="H1061" i="3"/>
  <c r="K1060" i="3"/>
  <c r="J1060" i="3"/>
  <c r="I1060" i="3"/>
  <c r="H1060" i="3"/>
  <c r="K1059" i="3"/>
  <c r="J1059" i="3"/>
  <c r="I1059" i="3"/>
  <c r="H1059" i="3"/>
  <c r="K1058" i="3"/>
  <c r="J1058" i="3"/>
  <c r="I1058" i="3"/>
  <c r="H1058" i="3"/>
  <c r="K1057" i="3"/>
  <c r="J1057" i="3"/>
  <c r="I1057" i="3"/>
  <c r="H1057" i="3"/>
  <c r="K1056" i="3"/>
  <c r="J1056" i="3"/>
  <c r="I1056" i="3"/>
  <c r="H1056" i="3"/>
  <c r="K1055" i="3"/>
  <c r="J1055" i="3"/>
  <c r="I1055" i="3"/>
  <c r="H1055" i="3"/>
  <c r="K1054" i="3"/>
  <c r="J1054" i="3"/>
  <c r="I1054" i="3"/>
  <c r="H1054" i="3"/>
  <c r="K1053" i="3"/>
  <c r="J1053" i="3"/>
  <c r="I1053" i="3"/>
  <c r="H1053" i="3"/>
  <c r="K1052" i="3"/>
  <c r="J1052" i="3"/>
  <c r="I1052" i="3"/>
  <c r="H1052" i="3"/>
  <c r="K1051" i="3"/>
  <c r="J1051" i="3"/>
  <c r="I1051" i="3"/>
  <c r="H1051" i="3"/>
  <c r="K1050" i="3"/>
  <c r="J1050" i="3"/>
  <c r="I1050" i="3"/>
  <c r="H1050" i="3"/>
  <c r="K1049" i="3"/>
  <c r="J1049" i="3"/>
  <c r="I1049" i="3"/>
  <c r="H1049" i="3"/>
  <c r="K1048" i="3"/>
  <c r="J1048" i="3"/>
  <c r="I1048" i="3"/>
  <c r="H1048" i="3"/>
  <c r="K1047" i="3"/>
  <c r="J1047" i="3"/>
  <c r="I1047" i="3"/>
  <c r="H1047" i="3"/>
  <c r="K1046" i="3"/>
  <c r="J1046" i="3"/>
  <c r="I1046" i="3"/>
  <c r="H1046" i="3"/>
  <c r="K1045" i="3"/>
  <c r="J1045" i="3"/>
  <c r="I1045" i="3"/>
  <c r="H1045" i="3"/>
  <c r="K1044" i="3"/>
  <c r="J1044" i="3"/>
  <c r="I1044" i="3"/>
  <c r="H1044" i="3"/>
  <c r="K1043" i="3"/>
  <c r="J1043" i="3"/>
  <c r="I1043" i="3"/>
  <c r="H1043" i="3"/>
  <c r="K1042" i="3"/>
  <c r="J1042" i="3"/>
  <c r="I1042" i="3"/>
  <c r="H1042" i="3"/>
  <c r="K1041" i="3"/>
  <c r="J1041" i="3"/>
  <c r="I1041" i="3"/>
  <c r="H1041" i="3"/>
  <c r="K1040" i="3"/>
  <c r="J1040" i="3"/>
  <c r="I1040" i="3"/>
  <c r="H1040" i="3"/>
  <c r="K1039" i="3"/>
  <c r="J1039" i="3"/>
  <c r="I1039" i="3"/>
  <c r="H1039" i="3"/>
  <c r="K1038" i="3"/>
  <c r="J1038" i="3"/>
  <c r="I1038" i="3"/>
  <c r="H1038" i="3"/>
  <c r="K1037" i="3"/>
  <c r="J1037" i="3"/>
  <c r="I1037" i="3"/>
  <c r="H1037" i="3"/>
  <c r="K1036" i="3"/>
  <c r="J1036" i="3"/>
  <c r="I1036" i="3"/>
  <c r="H1036" i="3"/>
  <c r="K1035" i="3"/>
  <c r="J1035" i="3"/>
  <c r="I1035" i="3"/>
  <c r="H1035" i="3"/>
  <c r="K1034" i="3"/>
  <c r="J1034" i="3"/>
  <c r="I1034" i="3"/>
  <c r="H1034" i="3"/>
  <c r="K1033" i="3"/>
  <c r="J1033" i="3"/>
  <c r="I1033" i="3"/>
  <c r="H1033" i="3"/>
  <c r="K1032" i="3"/>
  <c r="J1032" i="3"/>
  <c r="I1032" i="3"/>
  <c r="H1032" i="3"/>
  <c r="K1031" i="3"/>
  <c r="J1031" i="3"/>
  <c r="I1031" i="3"/>
  <c r="H1031" i="3"/>
  <c r="K1030" i="3"/>
  <c r="J1030" i="3"/>
  <c r="I1030" i="3"/>
  <c r="H1030" i="3"/>
  <c r="K1029" i="3"/>
  <c r="J1029" i="3"/>
  <c r="I1029" i="3"/>
  <c r="H1029" i="3"/>
  <c r="K1028" i="3"/>
  <c r="J1028" i="3"/>
  <c r="I1028" i="3"/>
  <c r="H1028" i="3"/>
  <c r="K1027" i="3"/>
  <c r="J1027" i="3"/>
  <c r="I1027" i="3"/>
  <c r="H1027" i="3"/>
  <c r="K1026" i="3"/>
  <c r="J1026" i="3"/>
  <c r="I1026" i="3"/>
  <c r="H1026" i="3"/>
  <c r="K1025" i="3"/>
  <c r="J1025" i="3"/>
  <c r="I1025" i="3"/>
  <c r="H1025" i="3"/>
  <c r="K1024" i="3"/>
  <c r="J1024" i="3"/>
  <c r="I1024" i="3"/>
  <c r="H1024" i="3"/>
  <c r="K1023" i="3"/>
  <c r="J1023" i="3"/>
  <c r="I1023" i="3"/>
  <c r="H1023" i="3"/>
  <c r="K1022" i="3"/>
  <c r="J1022" i="3"/>
  <c r="I1022" i="3"/>
  <c r="H1022" i="3"/>
  <c r="K1021" i="3"/>
  <c r="J1021" i="3"/>
  <c r="I1021" i="3"/>
  <c r="H1021" i="3"/>
  <c r="K1020" i="3"/>
  <c r="J1020" i="3"/>
  <c r="I1020" i="3"/>
  <c r="H1020" i="3"/>
  <c r="K1019" i="3"/>
  <c r="J1019" i="3"/>
  <c r="I1019" i="3"/>
  <c r="H1019" i="3"/>
  <c r="K1018" i="3"/>
  <c r="J1018" i="3"/>
  <c r="I1018" i="3"/>
  <c r="H1018" i="3"/>
  <c r="K1017" i="3"/>
  <c r="J1017" i="3"/>
  <c r="I1017" i="3"/>
  <c r="H1017" i="3"/>
  <c r="K1016" i="3"/>
  <c r="J1016" i="3"/>
  <c r="I1016" i="3"/>
  <c r="H1016" i="3"/>
  <c r="K1015" i="3"/>
  <c r="J1015" i="3"/>
  <c r="I1015" i="3"/>
  <c r="H1015" i="3"/>
  <c r="K1014" i="3"/>
  <c r="J1014" i="3"/>
  <c r="I1014" i="3"/>
  <c r="H1014" i="3"/>
  <c r="K1013" i="3"/>
  <c r="J1013" i="3"/>
  <c r="I1013" i="3"/>
  <c r="H1013" i="3"/>
  <c r="K1012" i="3"/>
  <c r="J1012" i="3"/>
  <c r="I1012" i="3"/>
  <c r="H1012" i="3"/>
  <c r="K1011" i="3"/>
  <c r="J1011" i="3"/>
  <c r="I1011" i="3"/>
  <c r="H1011" i="3"/>
  <c r="K1010" i="3"/>
  <c r="J1010" i="3"/>
  <c r="I1010" i="3"/>
  <c r="H1010" i="3"/>
  <c r="K1009" i="3"/>
  <c r="J1009" i="3"/>
  <c r="I1009" i="3"/>
  <c r="H1009" i="3"/>
  <c r="K1008" i="3"/>
  <c r="J1008" i="3"/>
  <c r="I1008" i="3"/>
  <c r="H1008" i="3"/>
  <c r="K1007" i="3"/>
  <c r="J1007" i="3"/>
  <c r="I1007" i="3"/>
  <c r="H1007" i="3"/>
  <c r="K1006" i="3"/>
  <c r="J1006" i="3"/>
  <c r="I1006" i="3"/>
  <c r="H1006" i="3"/>
  <c r="K1005" i="3"/>
  <c r="J1005" i="3"/>
  <c r="I1005" i="3"/>
  <c r="H1005" i="3"/>
  <c r="K1004" i="3"/>
  <c r="J1004" i="3"/>
  <c r="I1004" i="3"/>
  <c r="H1004" i="3"/>
  <c r="K1003" i="3"/>
  <c r="J1003" i="3"/>
  <c r="I1003" i="3"/>
  <c r="H1003" i="3"/>
  <c r="K1002" i="3"/>
  <c r="J1002" i="3"/>
  <c r="I1002" i="3"/>
  <c r="H1002" i="3"/>
  <c r="K1001" i="3"/>
  <c r="J1001" i="3"/>
  <c r="I1001" i="3"/>
  <c r="H1001" i="3"/>
  <c r="K1000" i="3"/>
  <c r="J1000" i="3"/>
  <c r="I1000" i="3"/>
  <c r="H1000" i="3"/>
  <c r="K999" i="3"/>
  <c r="J999" i="3"/>
  <c r="I999" i="3"/>
  <c r="H999" i="3"/>
  <c r="K998" i="3"/>
  <c r="J998" i="3"/>
  <c r="I998" i="3"/>
  <c r="H998" i="3"/>
  <c r="K997" i="3"/>
  <c r="J997" i="3"/>
  <c r="I997" i="3"/>
  <c r="H997" i="3"/>
  <c r="K996" i="3"/>
  <c r="J996" i="3"/>
  <c r="I996" i="3"/>
  <c r="H996" i="3"/>
  <c r="K995" i="3"/>
  <c r="J995" i="3"/>
  <c r="I995" i="3"/>
  <c r="H995" i="3"/>
  <c r="K994" i="3"/>
  <c r="J994" i="3"/>
  <c r="I994" i="3"/>
  <c r="H994" i="3"/>
  <c r="K993" i="3"/>
  <c r="J993" i="3"/>
  <c r="I993" i="3"/>
  <c r="H993" i="3"/>
  <c r="K992" i="3"/>
  <c r="J992" i="3"/>
  <c r="I992" i="3"/>
  <c r="H992" i="3"/>
  <c r="K991" i="3"/>
  <c r="J991" i="3"/>
  <c r="I991" i="3"/>
  <c r="H991" i="3"/>
  <c r="K990" i="3"/>
  <c r="J990" i="3"/>
  <c r="I990" i="3"/>
  <c r="H990" i="3"/>
  <c r="K989" i="3"/>
  <c r="J989" i="3"/>
  <c r="I989" i="3"/>
  <c r="H989" i="3"/>
  <c r="K988" i="3"/>
  <c r="J988" i="3"/>
  <c r="I988" i="3"/>
  <c r="H988" i="3"/>
  <c r="K987" i="3"/>
  <c r="J987" i="3"/>
  <c r="I987" i="3"/>
  <c r="H987" i="3"/>
  <c r="K986" i="3"/>
  <c r="J986" i="3"/>
  <c r="I986" i="3"/>
  <c r="H986" i="3"/>
  <c r="K985" i="3"/>
  <c r="J985" i="3"/>
  <c r="I985" i="3"/>
  <c r="H985" i="3"/>
  <c r="K984" i="3"/>
  <c r="J984" i="3"/>
  <c r="I984" i="3"/>
  <c r="H984" i="3"/>
  <c r="K983" i="3"/>
  <c r="J983" i="3"/>
  <c r="I983" i="3"/>
  <c r="H983" i="3"/>
  <c r="K982" i="3"/>
  <c r="J982" i="3"/>
  <c r="I982" i="3"/>
  <c r="H982" i="3"/>
  <c r="K981" i="3"/>
  <c r="J981" i="3"/>
  <c r="I981" i="3"/>
  <c r="H981" i="3"/>
  <c r="K980" i="3"/>
  <c r="J980" i="3"/>
  <c r="I980" i="3"/>
  <c r="H980" i="3"/>
  <c r="K979" i="3"/>
  <c r="J979" i="3"/>
  <c r="I979" i="3"/>
  <c r="H979" i="3"/>
  <c r="K978" i="3"/>
  <c r="J978" i="3"/>
  <c r="I978" i="3"/>
  <c r="H978" i="3"/>
  <c r="K977" i="3"/>
  <c r="J977" i="3"/>
  <c r="I977" i="3"/>
  <c r="H977" i="3"/>
  <c r="K976" i="3"/>
  <c r="J976" i="3"/>
  <c r="I976" i="3"/>
  <c r="H976" i="3"/>
  <c r="K975" i="3"/>
  <c r="J975" i="3"/>
  <c r="I975" i="3"/>
  <c r="H975" i="3"/>
  <c r="K974" i="3"/>
  <c r="J974" i="3"/>
  <c r="I974" i="3"/>
  <c r="H974" i="3"/>
  <c r="K973" i="3"/>
  <c r="J973" i="3"/>
  <c r="I973" i="3"/>
  <c r="H973" i="3"/>
  <c r="K972" i="3"/>
  <c r="J972" i="3"/>
  <c r="I972" i="3"/>
  <c r="H972" i="3"/>
  <c r="K971" i="3"/>
  <c r="J971" i="3"/>
  <c r="I971" i="3"/>
  <c r="H971" i="3"/>
  <c r="K970" i="3"/>
  <c r="J970" i="3"/>
  <c r="I970" i="3"/>
  <c r="H970" i="3"/>
  <c r="K969" i="3"/>
  <c r="J969" i="3"/>
  <c r="I969" i="3"/>
  <c r="H969" i="3"/>
  <c r="K968" i="3"/>
  <c r="J968" i="3"/>
  <c r="I968" i="3"/>
  <c r="H968" i="3"/>
  <c r="K967" i="3"/>
  <c r="J967" i="3"/>
  <c r="I967" i="3"/>
  <c r="H967" i="3"/>
  <c r="K966" i="3"/>
  <c r="J966" i="3"/>
  <c r="I966" i="3"/>
  <c r="H966" i="3"/>
  <c r="K965" i="3"/>
  <c r="J965" i="3"/>
  <c r="I965" i="3"/>
  <c r="H965" i="3"/>
  <c r="K964" i="3"/>
  <c r="J964" i="3"/>
  <c r="I964" i="3"/>
  <c r="H964" i="3"/>
  <c r="K963" i="3"/>
  <c r="J963" i="3"/>
  <c r="I963" i="3"/>
  <c r="H963" i="3"/>
  <c r="K962" i="3"/>
  <c r="J962" i="3"/>
  <c r="I962" i="3"/>
  <c r="H962" i="3"/>
  <c r="K961" i="3"/>
  <c r="J961" i="3"/>
  <c r="I961" i="3"/>
  <c r="H961" i="3"/>
  <c r="K960" i="3"/>
  <c r="J960" i="3"/>
  <c r="I960" i="3"/>
  <c r="H960" i="3"/>
  <c r="K959" i="3"/>
  <c r="J959" i="3"/>
  <c r="I959" i="3"/>
  <c r="H959" i="3"/>
  <c r="K958" i="3"/>
  <c r="J958" i="3"/>
  <c r="I958" i="3"/>
  <c r="H958" i="3"/>
  <c r="K957" i="3"/>
  <c r="J957" i="3"/>
  <c r="I957" i="3"/>
  <c r="H957" i="3"/>
  <c r="K956" i="3"/>
  <c r="J956" i="3"/>
  <c r="I956" i="3"/>
  <c r="H956" i="3"/>
  <c r="K955" i="3"/>
  <c r="J955" i="3"/>
  <c r="I955" i="3"/>
  <c r="H955" i="3"/>
  <c r="K954" i="3"/>
  <c r="J954" i="3"/>
  <c r="I954" i="3"/>
  <c r="H954" i="3"/>
  <c r="K953" i="3"/>
  <c r="J953" i="3"/>
  <c r="I953" i="3"/>
  <c r="H953" i="3"/>
  <c r="K952" i="3"/>
  <c r="J952" i="3"/>
  <c r="I952" i="3"/>
  <c r="H952" i="3"/>
  <c r="K951" i="3"/>
  <c r="J951" i="3"/>
  <c r="I951" i="3"/>
  <c r="H951" i="3"/>
  <c r="K950" i="3"/>
  <c r="J950" i="3"/>
  <c r="I950" i="3"/>
  <c r="H950" i="3"/>
  <c r="K949" i="3"/>
  <c r="J949" i="3"/>
  <c r="I949" i="3"/>
  <c r="H949" i="3"/>
  <c r="K948" i="3"/>
  <c r="J948" i="3"/>
  <c r="I948" i="3"/>
  <c r="H948" i="3"/>
  <c r="K947" i="3"/>
  <c r="J947" i="3"/>
  <c r="I947" i="3"/>
  <c r="H947" i="3"/>
  <c r="K946" i="3"/>
  <c r="J946" i="3"/>
  <c r="I946" i="3"/>
  <c r="H946" i="3"/>
  <c r="K945" i="3"/>
  <c r="J945" i="3"/>
  <c r="I945" i="3"/>
  <c r="H945" i="3"/>
  <c r="K944" i="3"/>
  <c r="J944" i="3"/>
  <c r="I944" i="3"/>
  <c r="H944" i="3"/>
  <c r="K943" i="3"/>
  <c r="J943" i="3"/>
  <c r="I943" i="3"/>
  <c r="H943" i="3"/>
  <c r="K942" i="3"/>
  <c r="J942" i="3"/>
  <c r="I942" i="3"/>
  <c r="H942" i="3"/>
  <c r="K941" i="3"/>
  <c r="J941" i="3"/>
  <c r="I941" i="3"/>
  <c r="H941" i="3"/>
  <c r="K940" i="3"/>
  <c r="J940" i="3"/>
  <c r="I940" i="3"/>
  <c r="H940" i="3"/>
  <c r="K939" i="3"/>
  <c r="J939" i="3"/>
  <c r="I939" i="3"/>
  <c r="H939" i="3"/>
  <c r="K938" i="3"/>
  <c r="J938" i="3"/>
  <c r="I938" i="3"/>
  <c r="H938" i="3"/>
  <c r="K937" i="3"/>
  <c r="J937" i="3"/>
  <c r="I937" i="3"/>
  <c r="H937" i="3"/>
  <c r="K936" i="3"/>
  <c r="J936" i="3"/>
  <c r="I936" i="3"/>
  <c r="H936" i="3"/>
  <c r="K935" i="3"/>
  <c r="J935" i="3"/>
  <c r="I935" i="3"/>
  <c r="H935" i="3"/>
  <c r="K934" i="3"/>
  <c r="J934" i="3"/>
  <c r="I934" i="3"/>
  <c r="H934" i="3"/>
  <c r="K933" i="3"/>
  <c r="J933" i="3"/>
  <c r="I933" i="3"/>
  <c r="H933" i="3"/>
  <c r="K932" i="3"/>
  <c r="J932" i="3"/>
  <c r="I932" i="3"/>
  <c r="H932" i="3"/>
  <c r="K931" i="3"/>
  <c r="J931" i="3"/>
  <c r="I931" i="3"/>
  <c r="H931" i="3"/>
  <c r="K930" i="3"/>
  <c r="J930" i="3"/>
  <c r="I930" i="3"/>
  <c r="H930" i="3"/>
  <c r="K929" i="3"/>
  <c r="J929" i="3"/>
  <c r="I929" i="3"/>
  <c r="H929" i="3"/>
  <c r="K928" i="3"/>
  <c r="J928" i="3"/>
  <c r="I928" i="3"/>
  <c r="H928" i="3"/>
  <c r="K927" i="3"/>
  <c r="J927" i="3"/>
  <c r="I927" i="3"/>
  <c r="H927" i="3"/>
  <c r="K926" i="3"/>
  <c r="J926" i="3"/>
  <c r="I926" i="3"/>
  <c r="H926" i="3"/>
  <c r="K925" i="3"/>
  <c r="J925" i="3"/>
  <c r="I925" i="3"/>
  <c r="H925" i="3"/>
  <c r="K924" i="3"/>
  <c r="J924" i="3"/>
  <c r="I924" i="3"/>
  <c r="H924" i="3"/>
  <c r="K923" i="3"/>
  <c r="J923" i="3"/>
  <c r="I923" i="3"/>
  <c r="H923" i="3"/>
  <c r="K922" i="3"/>
  <c r="J922" i="3"/>
  <c r="I922" i="3"/>
  <c r="H922" i="3"/>
  <c r="K921" i="3"/>
  <c r="J921" i="3"/>
  <c r="I921" i="3"/>
  <c r="H921" i="3"/>
  <c r="K920" i="3"/>
  <c r="J920" i="3"/>
  <c r="I920" i="3"/>
  <c r="H920" i="3"/>
  <c r="K919" i="3"/>
  <c r="J919" i="3"/>
  <c r="I919" i="3"/>
  <c r="H919" i="3"/>
  <c r="K918" i="3"/>
  <c r="J918" i="3"/>
  <c r="I918" i="3"/>
  <c r="H918" i="3"/>
  <c r="K917" i="3"/>
  <c r="J917" i="3"/>
  <c r="I917" i="3"/>
  <c r="H917" i="3"/>
  <c r="K916" i="3"/>
  <c r="J916" i="3"/>
  <c r="I916" i="3"/>
  <c r="H916" i="3"/>
  <c r="K915" i="3"/>
  <c r="J915" i="3"/>
  <c r="I915" i="3"/>
  <c r="H915" i="3"/>
  <c r="K914" i="3"/>
  <c r="J914" i="3"/>
  <c r="I914" i="3"/>
  <c r="H914" i="3"/>
  <c r="K913" i="3"/>
  <c r="J913" i="3"/>
  <c r="I913" i="3"/>
  <c r="H913" i="3"/>
  <c r="K912" i="3"/>
  <c r="J912" i="3"/>
  <c r="I912" i="3"/>
  <c r="H912" i="3"/>
  <c r="K911" i="3"/>
  <c r="J911" i="3"/>
  <c r="I911" i="3"/>
  <c r="H911" i="3"/>
  <c r="K910" i="3"/>
  <c r="J910" i="3"/>
  <c r="I910" i="3"/>
  <c r="H910" i="3"/>
  <c r="K909" i="3"/>
  <c r="J909" i="3"/>
  <c r="I909" i="3"/>
  <c r="H909" i="3"/>
  <c r="K908" i="3"/>
  <c r="J908" i="3"/>
  <c r="I908" i="3"/>
  <c r="H908" i="3"/>
  <c r="K907" i="3"/>
  <c r="J907" i="3"/>
  <c r="I907" i="3"/>
  <c r="H907" i="3"/>
  <c r="K906" i="3"/>
  <c r="J906" i="3"/>
  <c r="I906" i="3"/>
  <c r="H906" i="3"/>
  <c r="K905" i="3"/>
  <c r="J905" i="3"/>
  <c r="I905" i="3"/>
  <c r="H905" i="3"/>
  <c r="K904" i="3"/>
  <c r="J904" i="3"/>
  <c r="I904" i="3"/>
  <c r="H904" i="3"/>
  <c r="K903" i="3"/>
  <c r="J903" i="3"/>
  <c r="I903" i="3"/>
  <c r="H903" i="3"/>
  <c r="K902" i="3"/>
  <c r="J902" i="3"/>
  <c r="I902" i="3"/>
  <c r="H902" i="3"/>
  <c r="K901" i="3"/>
  <c r="J901" i="3"/>
  <c r="I901" i="3"/>
  <c r="H901" i="3"/>
  <c r="K900" i="3"/>
  <c r="J900" i="3"/>
  <c r="I900" i="3"/>
  <c r="H900" i="3"/>
  <c r="K899" i="3"/>
  <c r="J899" i="3"/>
  <c r="I899" i="3"/>
  <c r="H899" i="3"/>
  <c r="K898" i="3"/>
  <c r="J898" i="3"/>
  <c r="I898" i="3"/>
  <c r="H898" i="3"/>
  <c r="K897" i="3"/>
  <c r="J897" i="3"/>
  <c r="I897" i="3"/>
  <c r="H897" i="3"/>
  <c r="K896" i="3"/>
  <c r="J896" i="3"/>
  <c r="I896" i="3"/>
  <c r="H896" i="3"/>
  <c r="K895" i="3"/>
  <c r="J895" i="3"/>
  <c r="I895" i="3"/>
  <c r="H895" i="3"/>
  <c r="K894" i="3"/>
  <c r="J894" i="3"/>
  <c r="I894" i="3"/>
  <c r="H894" i="3"/>
  <c r="K893" i="3"/>
  <c r="J893" i="3"/>
  <c r="I893" i="3"/>
  <c r="H893" i="3"/>
  <c r="K892" i="3"/>
  <c r="J892" i="3"/>
  <c r="I892" i="3"/>
  <c r="H892" i="3"/>
  <c r="K891" i="3"/>
  <c r="J891" i="3"/>
  <c r="I891" i="3"/>
  <c r="H891" i="3"/>
  <c r="K890" i="3"/>
  <c r="J890" i="3"/>
  <c r="I890" i="3"/>
  <c r="H890" i="3"/>
  <c r="K889" i="3"/>
  <c r="J889" i="3"/>
  <c r="I889" i="3"/>
  <c r="H889" i="3"/>
  <c r="K888" i="3"/>
  <c r="J888" i="3"/>
  <c r="I888" i="3"/>
  <c r="H888" i="3"/>
  <c r="K887" i="3"/>
  <c r="J887" i="3"/>
  <c r="I887" i="3"/>
  <c r="H887" i="3"/>
  <c r="K886" i="3"/>
  <c r="J886" i="3"/>
  <c r="I886" i="3"/>
  <c r="H886" i="3"/>
  <c r="K885" i="3"/>
  <c r="J885" i="3"/>
  <c r="I885" i="3"/>
  <c r="H885" i="3"/>
  <c r="K884" i="3"/>
  <c r="J884" i="3"/>
  <c r="I884" i="3"/>
  <c r="H884" i="3"/>
  <c r="K883" i="3"/>
  <c r="J883" i="3"/>
  <c r="I883" i="3"/>
  <c r="H883" i="3"/>
  <c r="K882" i="3"/>
  <c r="J882" i="3"/>
  <c r="I882" i="3"/>
  <c r="H882" i="3"/>
  <c r="K881" i="3"/>
  <c r="J881" i="3"/>
  <c r="I881" i="3"/>
  <c r="H881" i="3"/>
  <c r="K880" i="3"/>
  <c r="J880" i="3"/>
  <c r="I880" i="3"/>
  <c r="H880" i="3"/>
  <c r="K879" i="3"/>
  <c r="J879" i="3"/>
  <c r="I879" i="3"/>
  <c r="H879" i="3"/>
  <c r="K878" i="3"/>
  <c r="J878" i="3"/>
  <c r="I878" i="3"/>
  <c r="H878" i="3"/>
  <c r="K877" i="3"/>
  <c r="J877" i="3"/>
  <c r="I877" i="3"/>
  <c r="H877" i="3"/>
  <c r="K876" i="3"/>
  <c r="J876" i="3"/>
  <c r="I876" i="3"/>
  <c r="H876" i="3"/>
  <c r="K875" i="3"/>
  <c r="J875" i="3"/>
  <c r="I875" i="3"/>
  <c r="H875" i="3"/>
  <c r="K874" i="3"/>
  <c r="J874" i="3"/>
  <c r="I874" i="3"/>
  <c r="H874" i="3"/>
  <c r="K873" i="3"/>
  <c r="J873" i="3"/>
  <c r="I873" i="3"/>
  <c r="H873" i="3"/>
  <c r="K872" i="3"/>
  <c r="J872" i="3"/>
  <c r="I872" i="3"/>
  <c r="H872" i="3"/>
  <c r="K871" i="3"/>
  <c r="J871" i="3"/>
  <c r="I871" i="3"/>
  <c r="H871" i="3"/>
  <c r="K870" i="3"/>
  <c r="J870" i="3"/>
  <c r="I870" i="3"/>
  <c r="H870" i="3"/>
  <c r="K869" i="3"/>
  <c r="J869" i="3"/>
  <c r="I869" i="3"/>
  <c r="H869" i="3"/>
  <c r="K868" i="3"/>
  <c r="J868" i="3"/>
  <c r="I868" i="3"/>
  <c r="H868" i="3"/>
  <c r="K867" i="3"/>
  <c r="J867" i="3"/>
  <c r="I867" i="3"/>
  <c r="H867" i="3"/>
  <c r="K866" i="3"/>
  <c r="J866" i="3"/>
  <c r="I866" i="3"/>
  <c r="H866" i="3"/>
  <c r="K865" i="3"/>
  <c r="J865" i="3"/>
  <c r="I865" i="3"/>
  <c r="H865" i="3"/>
  <c r="K864" i="3"/>
  <c r="J864" i="3"/>
  <c r="I864" i="3"/>
  <c r="H864" i="3"/>
  <c r="K863" i="3"/>
  <c r="J863" i="3"/>
  <c r="I863" i="3"/>
  <c r="H863" i="3"/>
  <c r="K862" i="3"/>
  <c r="J862" i="3"/>
  <c r="I862" i="3"/>
  <c r="H862" i="3"/>
  <c r="K861" i="3"/>
  <c r="J861" i="3"/>
  <c r="I861" i="3"/>
  <c r="H861" i="3"/>
  <c r="K860" i="3"/>
  <c r="J860" i="3"/>
  <c r="I860" i="3"/>
  <c r="H860" i="3"/>
  <c r="K859" i="3"/>
  <c r="J859" i="3"/>
  <c r="I859" i="3"/>
  <c r="H859" i="3"/>
  <c r="K858" i="3"/>
  <c r="J858" i="3"/>
  <c r="I858" i="3"/>
  <c r="H858" i="3"/>
  <c r="K857" i="3"/>
  <c r="J857" i="3"/>
  <c r="I857" i="3"/>
  <c r="H857" i="3"/>
  <c r="K856" i="3"/>
  <c r="J856" i="3"/>
  <c r="I856" i="3"/>
  <c r="H856" i="3"/>
  <c r="K855" i="3"/>
  <c r="J855" i="3"/>
  <c r="I855" i="3"/>
  <c r="H855" i="3"/>
  <c r="K854" i="3"/>
  <c r="J854" i="3"/>
  <c r="I854" i="3"/>
  <c r="H854" i="3"/>
  <c r="K853" i="3"/>
  <c r="J853" i="3"/>
  <c r="I853" i="3"/>
  <c r="H853" i="3"/>
  <c r="K852" i="3"/>
  <c r="J852" i="3"/>
  <c r="I852" i="3"/>
  <c r="H852" i="3"/>
  <c r="K851" i="3"/>
  <c r="J851" i="3"/>
  <c r="I851" i="3"/>
  <c r="H851" i="3"/>
  <c r="K850" i="3"/>
  <c r="J850" i="3"/>
  <c r="I850" i="3"/>
  <c r="H850" i="3"/>
  <c r="K849" i="3"/>
  <c r="J849" i="3"/>
  <c r="I849" i="3"/>
  <c r="H849" i="3"/>
  <c r="K848" i="3"/>
  <c r="J848" i="3"/>
  <c r="I848" i="3"/>
  <c r="H848" i="3"/>
  <c r="K847" i="3"/>
  <c r="J847" i="3"/>
  <c r="I847" i="3"/>
  <c r="H847" i="3"/>
  <c r="K846" i="3"/>
  <c r="J846" i="3"/>
  <c r="I846" i="3"/>
  <c r="H846" i="3"/>
  <c r="K845" i="3"/>
  <c r="J845" i="3"/>
  <c r="I845" i="3"/>
  <c r="H845" i="3"/>
  <c r="K844" i="3"/>
  <c r="J844" i="3"/>
  <c r="I844" i="3"/>
  <c r="H844" i="3"/>
  <c r="K843" i="3"/>
  <c r="J843" i="3"/>
  <c r="I843" i="3"/>
  <c r="H843" i="3"/>
  <c r="K842" i="3"/>
  <c r="J842" i="3"/>
  <c r="I842" i="3"/>
  <c r="H842" i="3"/>
  <c r="K841" i="3"/>
  <c r="J841" i="3"/>
  <c r="I841" i="3"/>
  <c r="H841" i="3"/>
  <c r="K840" i="3"/>
  <c r="J840" i="3"/>
  <c r="I840" i="3"/>
  <c r="H840" i="3"/>
  <c r="K839" i="3"/>
  <c r="J839" i="3"/>
  <c r="I839" i="3"/>
  <c r="H839" i="3"/>
  <c r="K838" i="3"/>
  <c r="J838" i="3"/>
  <c r="I838" i="3"/>
  <c r="H838" i="3"/>
  <c r="K837" i="3"/>
  <c r="J837" i="3"/>
  <c r="I837" i="3"/>
  <c r="H837" i="3"/>
  <c r="K836" i="3"/>
  <c r="J836" i="3"/>
  <c r="I836" i="3"/>
  <c r="H836" i="3"/>
  <c r="K835" i="3"/>
  <c r="J835" i="3"/>
  <c r="I835" i="3"/>
  <c r="H835" i="3"/>
  <c r="K834" i="3"/>
  <c r="J834" i="3"/>
  <c r="I834" i="3"/>
  <c r="H834" i="3"/>
  <c r="K833" i="3"/>
  <c r="J833" i="3"/>
  <c r="I833" i="3"/>
  <c r="H833" i="3"/>
  <c r="K832" i="3"/>
  <c r="J832" i="3"/>
  <c r="I832" i="3"/>
  <c r="H832" i="3"/>
  <c r="K831" i="3"/>
  <c r="J831" i="3"/>
  <c r="I831" i="3"/>
  <c r="H831" i="3"/>
  <c r="K830" i="3"/>
  <c r="J830" i="3"/>
  <c r="I830" i="3"/>
  <c r="H830" i="3"/>
  <c r="K829" i="3"/>
  <c r="J829" i="3"/>
  <c r="I829" i="3"/>
  <c r="H829" i="3"/>
  <c r="K828" i="3"/>
  <c r="J828" i="3"/>
  <c r="I828" i="3"/>
  <c r="H828" i="3"/>
  <c r="K827" i="3"/>
  <c r="J827" i="3"/>
  <c r="I827" i="3"/>
  <c r="H827" i="3"/>
  <c r="K826" i="3"/>
  <c r="J826" i="3"/>
  <c r="I826" i="3"/>
  <c r="H826" i="3"/>
  <c r="K825" i="3"/>
  <c r="J825" i="3"/>
  <c r="I825" i="3"/>
  <c r="H825" i="3"/>
  <c r="K824" i="3"/>
  <c r="J824" i="3"/>
  <c r="I824" i="3"/>
  <c r="H824" i="3"/>
  <c r="K823" i="3"/>
  <c r="J823" i="3"/>
  <c r="I823" i="3"/>
  <c r="H823" i="3"/>
  <c r="K822" i="3"/>
  <c r="J822" i="3"/>
  <c r="I822" i="3"/>
  <c r="H822" i="3"/>
  <c r="K821" i="3"/>
  <c r="J821" i="3"/>
  <c r="I821" i="3"/>
  <c r="H821" i="3"/>
  <c r="K820" i="3"/>
  <c r="J820" i="3"/>
  <c r="I820" i="3"/>
  <c r="H820" i="3"/>
  <c r="K819" i="3"/>
  <c r="J819" i="3"/>
  <c r="I819" i="3"/>
  <c r="H819" i="3"/>
  <c r="K818" i="3"/>
  <c r="J818" i="3"/>
  <c r="I818" i="3"/>
  <c r="H818" i="3"/>
  <c r="K817" i="3"/>
  <c r="J817" i="3"/>
  <c r="I817" i="3"/>
  <c r="H817" i="3"/>
  <c r="K816" i="3"/>
  <c r="J816" i="3"/>
  <c r="I816" i="3"/>
  <c r="H816" i="3"/>
  <c r="K815" i="3"/>
  <c r="J815" i="3"/>
  <c r="I815" i="3"/>
  <c r="H815" i="3"/>
  <c r="K814" i="3"/>
  <c r="J814" i="3"/>
  <c r="I814" i="3"/>
  <c r="H814" i="3"/>
  <c r="K813" i="3"/>
  <c r="J813" i="3"/>
  <c r="I813" i="3"/>
  <c r="H813" i="3"/>
  <c r="K812" i="3"/>
  <c r="J812" i="3"/>
  <c r="I812" i="3"/>
  <c r="H812" i="3"/>
  <c r="K811" i="3"/>
  <c r="J811" i="3"/>
  <c r="I811" i="3"/>
  <c r="H811" i="3"/>
  <c r="K810" i="3"/>
  <c r="J810" i="3"/>
  <c r="I810" i="3"/>
  <c r="H810" i="3"/>
  <c r="K809" i="3"/>
  <c r="J809" i="3"/>
  <c r="I809" i="3"/>
  <c r="H809" i="3"/>
  <c r="K808" i="3"/>
  <c r="J808" i="3"/>
  <c r="I808" i="3"/>
  <c r="H808" i="3"/>
  <c r="K807" i="3"/>
  <c r="J807" i="3"/>
  <c r="I807" i="3"/>
  <c r="H807" i="3"/>
  <c r="K806" i="3"/>
  <c r="J806" i="3"/>
  <c r="I806" i="3"/>
  <c r="H806" i="3"/>
  <c r="K805" i="3"/>
  <c r="J805" i="3"/>
  <c r="I805" i="3"/>
  <c r="H805" i="3"/>
  <c r="K804" i="3"/>
  <c r="J804" i="3"/>
  <c r="I804" i="3"/>
  <c r="H804" i="3"/>
  <c r="K803" i="3"/>
  <c r="J803" i="3"/>
  <c r="I803" i="3"/>
  <c r="H803" i="3"/>
  <c r="K802" i="3"/>
  <c r="J802" i="3"/>
  <c r="I802" i="3"/>
  <c r="H802" i="3"/>
  <c r="K801" i="3"/>
  <c r="J801" i="3"/>
  <c r="I801" i="3"/>
  <c r="H801" i="3"/>
  <c r="K800" i="3"/>
  <c r="J800" i="3"/>
  <c r="I800" i="3"/>
  <c r="H800" i="3"/>
  <c r="K799" i="3"/>
  <c r="J799" i="3"/>
  <c r="I799" i="3"/>
  <c r="H799" i="3"/>
  <c r="K798" i="3"/>
  <c r="J798" i="3"/>
  <c r="I798" i="3"/>
  <c r="H798" i="3"/>
  <c r="K797" i="3"/>
  <c r="J797" i="3"/>
  <c r="I797" i="3"/>
  <c r="H797" i="3"/>
  <c r="K796" i="3"/>
  <c r="J796" i="3"/>
  <c r="I796" i="3"/>
  <c r="H796" i="3"/>
  <c r="K795" i="3"/>
  <c r="J795" i="3"/>
  <c r="I795" i="3"/>
  <c r="H795" i="3"/>
  <c r="K794" i="3"/>
  <c r="J794" i="3"/>
  <c r="I794" i="3"/>
  <c r="H794" i="3"/>
  <c r="K793" i="3"/>
  <c r="J793" i="3"/>
  <c r="I793" i="3"/>
  <c r="H793" i="3"/>
  <c r="K792" i="3"/>
  <c r="J792" i="3"/>
  <c r="I792" i="3"/>
  <c r="H792" i="3"/>
  <c r="K791" i="3"/>
  <c r="J791" i="3"/>
  <c r="I791" i="3"/>
  <c r="H791" i="3"/>
  <c r="K790" i="3"/>
  <c r="J790" i="3"/>
  <c r="I790" i="3"/>
  <c r="H790" i="3"/>
  <c r="K789" i="3"/>
  <c r="J789" i="3"/>
  <c r="I789" i="3"/>
  <c r="H789" i="3"/>
  <c r="K788" i="3"/>
  <c r="J788" i="3"/>
  <c r="I788" i="3"/>
  <c r="H788" i="3"/>
  <c r="K787" i="3"/>
  <c r="J787" i="3"/>
  <c r="I787" i="3"/>
  <c r="H787" i="3"/>
  <c r="K786" i="3"/>
  <c r="J786" i="3"/>
  <c r="I786" i="3"/>
  <c r="H786" i="3"/>
  <c r="K785" i="3"/>
  <c r="J785" i="3"/>
  <c r="I785" i="3"/>
  <c r="H785" i="3"/>
  <c r="K784" i="3"/>
  <c r="J784" i="3"/>
  <c r="I784" i="3"/>
  <c r="H784" i="3"/>
  <c r="K783" i="3"/>
  <c r="J783" i="3"/>
  <c r="I783" i="3"/>
  <c r="H783" i="3"/>
  <c r="K782" i="3"/>
  <c r="J782" i="3"/>
  <c r="I782" i="3"/>
  <c r="H782" i="3"/>
  <c r="K781" i="3"/>
  <c r="J781" i="3"/>
  <c r="I781" i="3"/>
  <c r="H781" i="3"/>
  <c r="K780" i="3"/>
  <c r="J780" i="3"/>
  <c r="I780" i="3"/>
  <c r="H780" i="3"/>
  <c r="K779" i="3"/>
  <c r="J779" i="3"/>
  <c r="I779" i="3"/>
  <c r="H779" i="3"/>
  <c r="K778" i="3"/>
  <c r="J778" i="3"/>
  <c r="I778" i="3"/>
  <c r="H778" i="3"/>
  <c r="K777" i="3"/>
  <c r="J777" i="3"/>
  <c r="I777" i="3"/>
  <c r="H777" i="3"/>
  <c r="K776" i="3"/>
  <c r="J776" i="3"/>
  <c r="I776" i="3"/>
  <c r="H776" i="3"/>
  <c r="K775" i="3"/>
  <c r="J775" i="3"/>
  <c r="I775" i="3"/>
  <c r="H775" i="3"/>
  <c r="K774" i="3"/>
  <c r="J774" i="3"/>
  <c r="I774" i="3"/>
  <c r="H774" i="3"/>
  <c r="K773" i="3"/>
  <c r="J773" i="3"/>
  <c r="I773" i="3"/>
  <c r="H773" i="3"/>
  <c r="K772" i="3"/>
  <c r="J772" i="3"/>
  <c r="I772" i="3"/>
  <c r="H772" i="3"/>
  <c r="K771" i="3"/>
  <c r="J771" i="3"/>
  <c r="I771" i="3"/>
  <c r="H771" i="3"/>
  <c r="K770" i="3"/>
  <c r="J770" i="3"/>
  <c r="I770" i="3"/>
  <c r="H770" i="3"/>
  <c r="K769" i="3"/>
  <c r="J769" i="3"/>
  <c r="I769" i="3"/>
  <c r="H769" i="3"/>
  <c r="K768" i="3"/>
  <c r="J768" i="3"/>
  <c r="I768" i="3"/>
  <c r="H768" i="3"/>
  <c r="K767" i="3"/>
  <c r="J767" i="3"/>
  <c r="I767" i="3"/>
  <c r="H767" i="3"/>
  <c r="K766" i="3"/>
  <c r="J766" i="3"/>
  <c r="I766" i="3"/>
  <c r="H766" i="3"/>
  <c r="K765" i="3"/>
  <c r="J765" i="3"/>
  <c r="I765" i="3"/>
  <c r="H765" i="3"/>
  <c r="K764" i="3"/>
  <c r="J764" i="3"/>
  <c r="I764" i="3"/>
  <c r="H764" i="3"/>
  <c r="K763" i="3"/>
  <c r="J763" i="3"/>
  <c r="I763" i="3"/>
  <c r="H763" i="3"/>
  <c r="K762" i="3"/>
  <c r="J762" i="3"/>
  <c r="I762" i="3"/>
  <c r="H762" i="3"/>
  <c r="K761" i="3"/>
  <c r="J761" i="3"/>
  <c r="I761" i="3"/>
  <c r="H761" i="3"/>
  <c r="K760" i="3"/>
  <c r="J760" i="3"/>
  <c r="I760" i="3"/>
  <c r="H760" i="3"/>
  <c r="K759" i="3"/>
  <c r="J759" i="3"/>
  <c r="I759" i="3"/>
  <c r="H759" i="3"/>
  <c r="K758" i="3"/>
  <c r="J758" i="3"/>
  <c r="I758" i="3"/>
  <c r="H758" i="3"/>
  <c r="K757" i="3"/>
  <c r="J757" i="3"/>
  <c r="I757" i="3"/>
  <c r="H757" i="3"/>
  <c r="K756" i="3"/>
  <c r="J756" i="3"/>
  <c r="I756" i="3"/>
  <c r="H756" i="3"/>
  <c r="K755" i="3"/>
  <c r="J755" i="3"/>
  <c r="I755" i="3"/>
  <c r="H755" i="3"/>
  <c r="K754" i="3"/>
  <c r="J754" i="3"/>
  <c r="I754" i="3"/>
  <c r="H754" i="3"/>
  <c r="K753" i="3"/>
  <c r="J753" i="3"/>
  <c r="I753" i="3"/>
  <c r="H753" i="3"/>
  <c r="K752" i="3"/>
  <c r="J752" i="3"/>
  <c r="I752" i="3"/>
  <c r="H752" i="3"/>
  <c r="K751" i="3"/>
  <c r="J751" i="3"/>
  <c r="I751" i="3"/>
  <c r="H751" i="3"/>
  <c r="K750" i="3"/>
  <c r="J750" i="3"/>
  <c r="I750" i="3"/>
  <c r="H750" i="3"/>
  <c r="K749" i="3"/>
  <c r="J749" i="3"/>
  <c r="I749" i="3"/>
  <c r="H749" i="3"/>
  <c r="K748" i="3"/>
  <c r="J748" i="3"/>
  <c r="I748" i="3"/>
  <c r="H748" i="3"/>
  <c r="K747" i="3"/>
  <c r="J747" i="3"/>
  <c r="I747" i="3"/>
  <c r="H747" i="3"/>
  <c r="K746" i="3"/>
  <c r="J746" i="3"/>
  <c r="I746" i="3"/>
  <c r="H746" i="3"/>
  <c r="K745" i="3"/>
  <c r="J745" i="3"/>
  <c r="I745" i="3"/>
  <c r="H745" i="3"/>
  <c r="K744" i="3"/>
  <c r="J744" i="3"/>
  <c r="I744" i="3"/>
  <c r="H744" i="3"/>
  <c r="K743" i="3"/>
  <c r="J743" i="3"/>
  <c r="I743" i="3"/>
  <c r="H743" i="3"/>
  <c r="K742" i="3"/>
  <c r="J742" i="3"/>
  <c r="I742" i="3"/>
  <c r="H742" i="3"/>
  <c r="K741" i="3"/>
  <c r="J741" i="3"/>
  <c r="I741" i="3"/>
  <c r="H741" i="3"/>
  <c r="K740" i="3"/>
  <c r="J740" i="3"/>
  <c r="I740" i="3"/>
  <c r="H740" i="3"/>
  <c r="K739" i="3"/>
  <c r="J739" i="3"/>
  <c r="I739" i="3"/>
  <c r="H739" i="3"/>
  <c r="K738" i="3"/>
  <c r="J738" i="3"/>
  <c r="I738" i="3"/>
  <c r="H738" i="3"/>
  <c r="K737" i="3"/>
  <c r="J737" i="3"/>
  <c r="I737" i="3"/>
  <c r="H737" i="3"/>
  <c r="K736" i="3"/>
  <c r="J736" i="3"/>
  <c r="I736" i="3"/>
  <c r="H736" i="3"/>
  <c r="K735" i="3"/>
  <c r="J735" i="3"/>
  <c r="I735" i="3"/>
  <c r="H735" i="3"/>
  <c r="K734" i="3"/>
  <c r="J734" i="3"/>
  <c r="I734" i="3"/>
  <c r="H734" i="3"/>
  <c r="K733" i="3"/>
  <c r="J733" i="3"/>
  <c r="I733" i="3"/>
  <c r="H733" i="3"/>
  <c r="K732" i="3"/>
  <c r="J732" i="3"/>
  <c r="I732" i="3"/>
  <c r="H732" i="3"/>
  <c r="K731" i="3"/>
  <c r="J731" i="3"/>
  <c r="I731" i="3"/>
  <c r="H731" i="3"/>
  <c r="K730" i="3"/>
  <c r="J730" i="3"/>
  <c r="I730" i="3"/>
  <c r="H730" i="3"/>
  <c r="K729" i="3"/>
  <c r="J729" i="3"/>
  <c r="I729" i="3"/>
  <c r="H729" i="3"/>
  <c r="K728" i="3"/>
  <c r="J728" i="3"/>
  <c r="I728" i="3"/>
  <c r="H728" i="3"/>
  <c r="K727" i="3"/>
  <c r="J727" i="3"/>
  <c r="I727" i="3"/>
  <c r="H727" i="3"/>
  <c r="K726" i="3"/>
  <c r="J726" i="3"/>
  <c r="I726" i="3"/>
  <c r="H726" i="3"/>
  <c r="K725" i="3"/>
  <c r="J725" i="3"/>
  <c r="I725" i="3"/>
  <c r="H725" i="3"/>
  <c r="K724" i="3"/>
  <c r="J724" i="3"/>
  <c r="I724" i="3"/>
  <c r="H724" i="3"/>
  <c r="K723" i="3"/>
  <c r="J723" i="3"/>
  <c r="I723" i="3"/>
  <c r="H723" i="3"/>
  <c r="K722" i="3"/>
  <c r="J722" i="3"/>
  <c r="I722" i="3"/>
  <c r="H722" i="3"/>
  <c r="K721" i="3"/>
  <c r="J721" i="3"/>
  <c r="I721" i="3"/>
  <c r="H721" i="3"/>
  <c r="K720" i="3"/>
  <c r="J720" i="3"/>
  <c r="I720" i="3"/>
  <c r="H720" i="3"/>
  <c r="K719" i="3"/>
  <c r="J719" i="3"/>
  <c r="I719" i="3"/>
  <c r="H719" i="3"/>
  <c r="K718" i="3"/>
  <c r="J718" i="3"/>
  <c r="I718" i="3"/>
  <c r="H718" i="3"/>
  <c r="K717" i="3"/>
  <c r="J717" i="3"/>
  <c r="I717" i="3"/>
  <c r="H717" i="3"/>
  <c r="K716" i="3"/>
  <c r="J716" i="3"/>
  <c r="I716" i="3"/>
  <c r="H716" i="3"/>
  <c r="K715" i="3"/>
  <c r="J715" i="3"/>
  <c r="I715" i="3"/>
  <c r="H715" i="3"/>
  <c r="K714" i="3"/>
  <c r="J714" i="3"/>
  <c r="I714" i="3"/>
  <c r="H714" i="3"/>
  <c r="K713" i="3"/>
  <c r="J713" i="3"/>
  <c r="I713" i="3"/>
  <c r="H713" i="3"/>
  <c r="K712" i="3"/>
  <c r="J712" i="3"/>
  <c r="I712" i="3"/>
  <c r="H712" i="3"/>
  <c r="K711" i="3"/>
  <c r="J711" i="3"/>
  <c r="I711" i="3"/>
  <c r="H711" i="3"/>
  <c r="K710" i="3"/>
  <c r="J710" i="3"/>
  <c r="I710" i="3"/>
  <c r="H710" i="3"/>
  <c r="K709" i="3"/>
  <c r="J709" i="3"/>
  <c r="I709" i="3"/>
  <c r="H709" i="3"/>
  <c r="K708" i="3"/>
  <c r="J708" i="3"/>
  <c r="I708" i="3"/>
  <c r="H708" i="3"/>
  <c r="K707" i="3"/>
  <c r="J707" i="3"/>
  <c r="I707" i="3"/>
  <c r="H707" i="3"/>
  <c r="K706" i="3"/>
  <c r="J706" i="3"/>
  <c r="I706" i="3"/>
  <c r="H706" i="3"/>
  <c r="K705" i="3"/>
  <c r="J705" i="3"/>
  <c r="I705" i="3"/>
  <c r="H705" i="3"/>
  <c r="K704" i="3"/>
  <c r="J704" i="3"/>
  <c r="I704" i="3"/>
  <c r="H704" i="3"/>
  <c r="K703" i="3"/>
  <c r="J703" i="3"/>
  <c r="I703" i="3"/>
  <c r="H703" i="3"/>
  <c r="K702" i="3"/>
  <c r="J702" i="3"/>
  <c r="I702" i="3"/>
  <c r="H702" i="3"/>
  <c r="K701" i="3"/>
  <c r="J701" i="3"/>
  <c r="I701" i="3"/>
  <c r="H701" i="3"/>
  <c r="K700" i="3"/>
  <c r="J700" i="3"/>
  <c r="I700" i="3"/>
  <c r="H700" i="3"/>
  <c r="K699" i="3"/>
  <c r="J699" i="3"/>
  <c r="I699" i="3"/>
  <c r="H699" i="3"/>
  <c r="K698" i="3"/>
  <c r="J698" i="3"/>
  <c r="I698" i="3"/>
  <c r="H698" i="3"/>
  <c r="K697" i="3"/>
  <c r="J697" i="3"/>
  <c r="I697" i="3"/>
  <c r="H697" i="3"/>
  <c r="K696" i="3"/>
  <c r="J696" i="3"/>
  <c r="I696" i="3"/>
  <c r="H696" i="3"/>
  <c r="K695" i="3"/>
  <c r="J695" i="3"/>
  <c r="I695" i="3"/>
  <c r="H695" i="3"/>
  <c r="K694" i="3"/>
  <c r="J694" i="3"/>
  <c r="I694" i="3"/>
  <c r="H694" i="3"/>
  <c r="K693" i="3"/>
  <c r="J693" i="3"/>
  <c r="I693" i="3"/>
  <c r="H693" i="3"/>
  <c r="K692" i="3"/>
  <c r="J692" i="3"/>
  <c r="I692" i="3"/>
  <c r="H692" i="3"/>
  <c r="K691" i="3"/>
  <c r="J691" i="3"/>
  <c r="I691" i="3"/>
  <c r="H691" i="3"/>
  <c r="K690" i="3"/>
  <c r="J690" i="3"/>
  <c r="I690" i="3"/>
  <c r="H690" i="3"/>
  <c r="K689" i="3"/>
  <c r="J689" i="3"/>
  <c r="I689" i="3"/>
  <c r="H689" i="3"/>
  <c r="K688" i="3"/>
  <c r="J688" i="3"/>
  <c r="I688" i="3"/>
  <c r="H688" i="3"/>
  <c r="K687" i="3"/>
  <c r="J687" i="3"/>
  <c r="I687" i="3"/>
  <c r="H687" i="3"/>
  <c r="K686" i="3"/>
  <c r="J686" i="3"/>
  <c r="I686" i="3"/>
  <c r="H686" i="3"/>
  <c r="K685" i="3"/>
  <c r="J685" i="3"/>
  <c r="I685" i="3"/>
  <c r="H685" i="3"/>
  <c r="K684" i="3"/>
  <c r="J684" i="3"/>
  <c r="I684" i="3"/>
  <c r="H684" i="3"/>
  <c r="K683" i="3"/>
  <c r="J683" i="3"/>
  <c r="I683" i="3"/>
  <c r="H683" i="3"/>
  <c r="K682" i="3"/>
  <c r="J682" i="3"/>
  <c r="I682" i="3"/>
  <c r="H682" i="3"/>
  <c r="K681" i="3"/>
  <c r="J681" i="3"/>
  <c r="I681" i="3"/>
  <c r="H681" i="3"/>
  <c r="K680" i="3"/>
  <c r="J680" i="3"/>
  <c r="I680" i="3"/>
  <c r="H680" i="3"/>
  <c r="K679" i="3"/>
  <c r="J679" i="3"/>
  <c r="I679" i="3"/>
  <c r="H679" i="3"/>
  <c r="K678" i="3"/>
  <c r="J678" i="3"/>
  <c r="I678" i="3"/>
  <c r="H678" i="3"/>
  <c r="K677" i="3"/>
  <c r="J677" i="3"/>
  <c r="I677" i="3"/>
  <c r="H677" i="3"/>
  <c r="K676" i="3"/>
  <c r="J676" i="3"/>
  <c r="I676" i="3"/>
  <c r="H676" i="3"/>
  <c r="K675" i="3"/>
  <c r="J675" i="3"/>
  <c r="I675" i="3"/>
  <c r="H675" i="3"/>
  <c r="K674" i="3"/>
  <c r="J674" i="3"/>
  <c r="I674" i="3"/>
  <c r="H674" i="3"/>
  <c r="K673" i="3"/>
  <c r="J673" i="3"/>
  <c r="I673" i="3"/>
  <c r="H673" i="3"/>
  <c r="K672" i="3"/>
  <c r="J672" i="3"/>
  <c r="I672" i="3"/>
  <c r="H672" i="3"/>
  <c r="K671" i="3"/>
  <c r="J671" i="3"/>
  <c r="I671" i="3"/>
  <c r="H671" i="3"/>
  <c r="K670" i="3"/>
  <c r="J670" i="3"/>
  <c r="I670" i="3"/>
  <c r="H670" i="3"/>
  <c r="K669" i="3"/>
  <c r="J669" i="3"/>
  <c r="I669" i="3"/>
  <c r="H669" i="3"/>
  <c r="K668" i="3"/>
  <c r="J668" i="3"/>
  <c r="I668" i="3"/>
  <c r="H668" i="3"/>
  <c r="K667" i="3"/>
  <c r="J667" i="3"/>
  <c r="I667" i="3"/>
  <c r="H667" i="3"/>
  <c r="K666" i="3"/>
  <c r="J666" i="3"/>
  <c r="I666" i="3"/>
  <c r="H666" i="3"/>
  <c r="K665" i="3"/>
  <c r="J665" i="3"/>
  <c r="I665" i="3"/>
  <c r="H665" i="3"/>
  <c r="K664" i="3"/>
  <c r="J664" i="3"/>
  <c r="I664" i="3"/>
  <c r="H664" i="3"/>
  <c r="K663" i="3"/>
  <c r="J663" i="3"/>
  <c r="I663" i="3"/>
  <c r="H663" i="3"/>
  <c r="K662" i="3"/>
  <c r="J662" i="3"/>
  <c r="I662" i="3"/>
  <c r="H662" i="3"/>
  <c r="K661" i="3"/>
  <c r="J661" i="3"/>
  <c r="I661" i="3"/>
  <c r="H661" i="3"/>
  <c r="K660" i="3"/>
  <c r="J660" i="3"/>
  <c r="I660" i="3"/>
  <c r="H660" i="3"/>
  <c r="K659" i="3"/>
  <c r="J659" i="3"/>
  <c r="I659" i="3"/>
  <c r="H659" i="3"/>
  <c r="K658" i="3"/>
  <c r="J658" i="3"/>
  <c r="I658" i="3"/>
  <c r="H658" i="3"/>
  <c r="K657" i="3"/>
  <c r="J657" i="3"/>
  <c r="I657" i="3"/>
  <c r="H657" i="3"/>
  <c r="K656" i="3"/>
  <c r="J656" i="3"/>
  <c r="I656" i="3"/>
  <c r="H656" i="3"/>
  <c r="K655" i="3"/>
  <c r="J655" i="3"/>
  <c r="I655" i="3"/>
  <c r="H655" i="3"/>
  <c r="K654" i="3"/>
  <c r="J654" i="3"/>
  <c r="I654" i="3"/>
  <c r="H654" i="3"/>
  <c r="K653" i="3"/>
  <c r="J653" i="3"/>
  <c r="I653" i="3"/>
  <c r="H653" i="3"/>
  <c r="K652" i="3"/>
  <c r="J652" i="3"/>
  <c r="I652" i="3"/>
  <c r="H652" i="3"/>
  <c r="K651" i="3"/>
  <c r="J651" i="3"/>
  <c r="I651" i="3"/>
  <c r="H651" i="3"/>
  <c r="K650" i="3"/>
  <c r="J650" i="3"/>
  <c r="I650" i="3"/>
  <c r="H650" i="3"/>
  <c r="K649" i="3"/>
  <c r="J649" i="3"/>
  <c r="I649" i="3"/>
  <c r="H649" i="3"/>
  <c r="K648" i="3"/>
  <c r="J648" i="3"/>
  <c r="I648" i="3"/>
  <c r="H648" i="3"/>
  <c r="K647" i="3"/>
  <c r="J647" i="3"/>
  <c r="I647" i="3"/>
  <c r="H647" i="3"/>
  <c r="K646" i="3"/>
  <c r="J646" i="3"/>
  <c r="I646" i="3"/>
  <c r="H646" i="3"/>
  <c r="K645" i="3"/>
  <c r="J645" i="3"/>
  <c r="I645" i="3"/>
  <c r="H645" i="3"/>
  <c r="K644" i="3"/>
  <c r="J644" i="3"/>
  <c r="I644" i="3"/>
  <c r="H644" i="3"/>
  <c r="K643" i="3"/>
  <c r="J643" i="3"/>
  <c r="I643" i="3"/>
  <c r="H643" i="3"/>
  <c r="K642" i="3"/>
  <c r="J642" i="3"/>
  <c r="I642" i="3"/>
  <c r="H642" i="3"/>
  <c r="K641" i="3"/>
  <c r="J641" i="3"/>
  <c r="I641" i="3"/>
  <c r="H641" i="3"/>
  <c r="K640" i="3"/>
  <c r="J640" i="3"/>
  <c r="I640" i="3"/>
  <c r="H640" i="3"/>
  <c r="K639" i="3"/>
  <c r="J639" i="3"/>
  <c r="I639" i="3"/>
  <c r="H639" i="3"/>
  <c r="K638" i="3"/>
  <c r="J638" i="3"/>
  <c r="I638" i="3"/>
  <c r="H638" i="3"/>
  <c r="K637" i="3"/>
  <c r="J637" i="3"/>
  <c r="I637" i="3"/>
  <c r="H637" i="3"/>
  <c r="K636" i="3"/>
  <c r="J636" i="3"/>
  <c r="I636" i="3"/>
  <c r="H636" i="3"/>
  <c r="K635" i="3"/>
  <c r="J635" i="3"/>
  <c r="I635" i="3"/>
  <c r="H635" i="3"/>
  <c r="K634" i="3"/>
  <c r="J634" i="3"/>
  <c r="I634" i="3"/>
  <c r="H634" i="3"/>
  <c r="K633" i="3"/>
  <c r="J633" i="3"/>
  <c r="I633" i="3"/>
  <c r="H633" i="3"/>
  <c r="K632" i="3"/>
  <c r="J632" i="3"/>
  <c r="I632" i="3"/>
  <c r="H632" i="3"/>
  <c r="K631" i="3"/>
  <c r="J631" i="3"/>
  <c r="I631" i="3"/>
  <c r="H631" i="3"/>
  <c r="K630" i="3"/>
  <c r="J630" i="3"/>
  <c r="I630" i="3"/>
  <c r="H630" i="3"/>
  <c r="K629" i="3"/>
  <c r="J629" i="3"/>
  <c r="I629" i="3"/>
  <c r="H629" i="3"/>
  <c r="K628" i="3"/>
  <c r="J628" i="3"/>
  <c r="I628" i="3"/>
  <c r="H628" i="3"/>
  <c r="K627" i="3"/>
  <c r="J627" i="3"/>
  <c r="I627" i="3"/>
  <c r="H627" i="3"/>
  <c r="K626" i="3"/>
  <c r="J626" i="3"/>
  <c r="I626" i="3"/>
  <c r="H626" i="3"/>
  <c r="K625" i="3"/>
  <c r="J625" i="3"/>
  <c r="I625" i="3"/>
  <c r="H625" i="3"/>
  <c r="K624" i="3"/>
  <c r="J624" i="3"/>
  <c r="I624" i="3"/>
  <c r="H624" i="3"/>
  <c r="K623" i="3"/>
  <c r="J623" i="3"/>
  <c r="I623" i="3"/>
  <c r="H623" i="3"/>
  <c r="K622" i="3"/>
  <c r="J622" i="3"/>
  <c r="I622" i="3"/>
  <c r="H622" i="3"/>
  <c r="K621" i="3"/>
  <c r="J621" i="3"/>
  <c r="I621" i="3"/>
  <c r="H621" i="3"/>
  <c r="K620" i="3"/>
  <c r="J620" i="3"/>
  <c r="I620" i="3"/>
  <c r="H620" i="3"/>
  <c r="K619" i="3"/>
  <c r="J619" i="3"/>
  <c r="I619" i="3"/>
  <c r="H619" i="3"/>
  <c r="K618" i="3"/>
  <c r="J618" i="3"/>
  <c r="I618" i="3"/>
  <c r="H618" i="3"/>
  <c r="K617" i="3"/>
  <c r="J617" i="3"/>
  <c r="I617" i="3"/>
  <c r="H617" i="3"/>
  <c r="K616" i="3"/>
  <c r="J616" i="3"/>
  <c r="I616" i="3"/>
  <c r="H616" i="3"/>
  <c r="K615" i="3"/>
  <c r="J615" i="3"/>
  <c r="I615" i="3"/>
  <c r="H615" i="3"/>
  <c r="K614" i="3"/>
  <c r="J614" i="3"/>
  <c r="I614" i="3"/>
  <c r="H614" i="3"/>
  <c r="K613" i="3"/>
  <c r="J613" i="3"/>
  <c r="I613" i="3"/>
  <c r="H613" i="3"/>
  <c r="K612" i="3"/>
  <c r="J612" i="3"/>
  <c r="I612" i="3"/>
  <c r="H612" i="3"/>
  <c r="K611" i="3"/>
  <c r="J611" i="3"/>
  <c r="I611" i="3"/>
  <c r="H611" i="3"/>
  <c r="K610" i="3"/>
  <c r="J610" i="3"/>
  <c r="I610" i="3"/>
  <c r="H610" i="3"/>
  <c r="K609" i="3"/>
  <c r="J609" i="3"/>
  <c r="I609" i="3"/>
  <c r="H609" i="3"/>
  <c r="K608" i="3"/>
  <c r="J608" i="3"/>
  <c r="I608" i="3"/>
  <c r="H608" i="3"/>
  <c r="K607" i="3"/>
  <c r="J607" i="3"/>
  <c r="I607" i="3"/>
  <c r="H607" i="3"/>
  <c r="K606" i="3"/>
  <c r="J606" i="3"/>
  <c r="I606" i="3"/>
  <c r="H606" i="3"/>
  <c r="K605" i="3"/>
  <c r="J605" i="3"/>
  <c r="I605" i="3"/>
  <c r="H605" i="3"/>
  <c r="K604" i="3"/>
  <c r="J604" i="3"/>
  <c r="I604" i="3"/>
  <c r="H604" i="3"/>
  <c r="K603" i="3"/>
  <c r="J603" i="3"/>
  <c r="I603" i="3"/>
  <c r="H603" i="3"/>
  <c r="K602" i="3"/>
  <c r="J602" i="3"/>
  <c r="I602" i="3"/>
  <c r="H602" i="3"/>
  <c r="K601" i="3"/>
  <c r="J601" i="3"/>
  <c r="I601" i="3"/>
  <c r="H601" i="3"/>
  <c r="K600" i="3"/>
  <c r="J600" i="3"/>
  <c r="I600" i="3"/>
  <c r="H600" i="3"/>
  <c r="K599" i="3"/>
  <c r="J599" i="3"/>
  <c r="I599" i="3"/>
  <c r="H599" i="3"/>
  <c r="K598" i="3"/>
  <c r="J598" i="3"/>
  <c r="I598" i="3"/>
  <c r="H598" i="3"/>
  <c r="K597" i="3"/>
  <c r="J597" i="3"/>
  <c r="I597" i="3"/>
  <c r="H597" i="3"/>
  <c r="K596" i="3"/>
  <c r="J596" i="3"/>
  <c r="I596" i="3"/>
  <c r="H596" i="3"/>
  <c r="K595" i="3"/>
  <c r="J595" i="3"/>
  <c r="I595" i="3"/>
  <c r="H595" i="3"/>
  <c r="K594" i="3"/>
  <c r="J594" i="3"/>
  <c r="I594" i="3"/>
  <c r="H594" i="3"/>
  <c r="K593" i="3"/>
  <c r="J593" i="3"/>
  <c r="I593" i="3"/>
  <c r="H593" i="3"/>
  <c r="K592" i="3"/>
  <c r="J592" i="3"/>
  <c r="I592" i="3"/>
  <c r="H592" i="3"/>
  <c r="K591" i="3"/>
  <c r="J591" i="3"/>
  <c r="I591" i="3"/>
  <c r="H591" i="3"/>
  <c r="K590" i="3"/>
  <c r="J590" i="3"/>
  <c r="I590" i="3"/>
  <c r="H590" i="3"/>
  <c r="K589" i="3"/>
  <c r="J589" i="3"/>
  <c r="I589" i="3"/>
  <c r="H589" i="3"/>
  <c r="K588" i="3"/>
  <c r="J588" i="3"/>
  <c r="I588" i="3"/>
  <c r="H588" i="3"/>
  <c r="K587" i="3"/>
  <c r="J587" i="3"/>
  <c r="I587" i="3"/>
  <c r="H587" i="3"/>
  <c r="K586" i="3"/>
  <c r="J586" i="3"/>
  <c r="I586" i="3"/>
  <c r="H586" i="3"/>
  <c r="K585" i="3"/>
  <c r="J585" i="3"/>
  <c r="I585" i="3"/>
  <c r="H585" i="3"/>
  <c r="K584" i="3"/>
  <c r="J584" i="3"/>
  <c r="I584" i="3"/>
  <c r="H584" i="3"/>
  <c r="K583" i="3"/>
  <c r="J583" i="3"/>
  <c r="I583" i="3"/>
  <c r="H583" i="3"/>
  <c r="K582" i="3"/>
  <c r="J582" i="3"/>
  <c r="I582" i="3"/>
  <c r="H582" i="3"/>
  <c r="K581" i="3"/>
  <c r="J581" i="3"/>
  <c r="I581" i="3"/>
  <c r="H581" i="3"/>
  <c r="K580" i="3"/>
  <c r="J580" i="3"/>
  <c r="I580" i="3"/>
  <c r="H580" i="3"/>
  <c r="K579" i="3"/>
  <c r="J579" i="3"/>
  <c r="I579" i="3"/>
  <c r="H579" i="3"/>
  <c r="K578" i="3"/>
  <c r="J578" i="3"/>
  <c r="I578" i="3"/>
  <c r="H578" i="3"/>
  <c r="K577" i="3"/>
  <c r="J577" i="3"/>
  <c r="I577" i="3"/>
  <c r="H577" i="3"/>
  <c r="K576" i="3"/>
  <c r="J576" i="3"/>
  <c r="I576" i="3"/>
  <c r="H576" i="3"/>
  <c r="K575" i="3"/>
  <c r="J575" i="3"/>
  <c r="I575" i="3"/>
  <c r="H575" i="3"/>
  <c r="K574" i="3"/>
  <c r="J574" i="3"/>
  <c r="I574" i="3"/>
  <c r="H574" i="3"/>
  <c r="K573" i="3"/>
  <c r="J573" i="3"/>
  <c r="I573" i="3"/>
  <c r="H573" i="3"/>
  <c r="K572" i="3"/>
  <c r="J572" i="3"/>
  <c r="I572" i="3"/>
  <c r="H572" i="3"/>
  <c r="K571" i="3"/>
  <c r="J571" i="3"/>
  <c r="I571" i="3"/>
  <c r="H571" i="3"/>
  <c r="K570" i="3"/>
  <c r="J570" i="3"/>
  <c r="I570" i="3"/>
  <c r="H570" i="3"/>
  <c r="K569" i="3"/>
  <c r="J569" i="3"/>
  <c r="I569" i="3"/>
  <c r="H569" i="3"/>
  <c r="K568" i="3"/>
  <c r="J568" i="3"/>
  <c r="I568" i="3"/>
  <c r="H568" i="3"/>
  <c r="K567" i="3"/>
  <c r="J567" i="3"/>
  <c r="I567" i="3"/>
  <c r="H567" i="3"/>
  <c r="K566" i="3"/>
  <c r="J566" i="3"/>
  <c r="I566" i="3"/>
  <c r="H566" i="3"/>
  <c r="K565" i="3"/>
  <c r="J565" i="3"/>
  <c r="I565" i="3"/>
  <c r="H565" i="3"/>
  <c r="K564" i="3"/>
  <c r="J564" i="3"/>
  <c r="I564" i="3"/>
  <c r="H564" i="3"/>
  <c r="K563" i="3"/>
  <c r="J563" i="3"/>
  <c r="I563" i="3"/>
  <c r="H563" i="3"/>
  <c r="K562" i="3"/>
  <c r="J562" i="3"/>
  <c r="I562" i="3"/>
  <c r="H562" i="3"/>
  <c r="K561" i="3"/>
  <c r="J561" i="3"/>
  <c r="I561" i="3"/>
  <c r="H561" i="3"/>
  <c r="K560" i="3"/>
  <c r="J560" i="3"/>
  <c r="I560" i="3"/>
  <c r="H560" i="3"/>
  <c r="K559" i="3"/>
  <c r="J559" i="3"/>
  <c r="I559" i="3"/>
  <c r="H559" i="3"/>
  <c r="K558" i="3"/>
  <c r="J558" i="3"/>
  <c r="I558" i="3"/>
  <c r="H558" i="3"/>
  <c r="K557" i="3"/>
  <c r="J557" i="3"/>
  <c r="I557" i="3"/>
  <c r="H557" i="3"/>
  <c r="K556" i="3"/>
  <c r="J556" i="3"/>
  <c r="I556" i="3"/>
  <c r="H556" i="3"/>
  <c r="K555" i="3"/>
  <c r="J555" i="3"/>
  <c r="I555" i="3"/>
  <c r="H555" i="3"/>
  <c r="K554" i="3"/>
  <c r="J554" i="3"/>
  <c r="I554" i="3"/>
  <c r="H554" i="3"/>
  <c r="K553" i="3"/>
  <c r="J553" i="3"/>
  <c r="I553" i="3"/>
  <c r="H553" i="3"/>
  <c r="K552" i="3"/>
  <c r="J552" i="3"/>
  <c r="I552" i="3"/>
  <c r="H552" i="3"/>
  <c r="K551" i="3"/>
  <c r="J551" i="3"/>
  <c r="I551" i="3"/>
  <c r="H551" i="3"/>
  <c r="K550" i="3"/>
  <c r="J550" i="3"/>
  <c r="I550" i="3"/>
  <c r="H550" i="3"/>
  <c r="K549" i="3"/>
  <c r="J549" i="3"/>
  <c r="I549" i="3"/>
  <c r="H549" i="3"/>
  <c r="K548" i="3"/>
  <c r="J548" i="3"/>
  <c r="I548" i="3"/>
  <c r="H548" i="3"/>
  <c r="K547" i="3"/>
  <c r="J547" i="3"/>
  <c r="I547" i="3"/>
  <c r="H547" i="3"/>
  <c r="K546" i="3"/>
  <c r="J546" i="3"/>
  <c r="I546" i="3"/>
  <c r="H546" i="3"/>
  <c r="K545" i="3"/>
  <c r="J545" i="3"/>
  <c r="I545" i="3"/>
  <c r="H545" i="3"/>
  <c r="K544" i="3"/>
  <c r="J544" i="3"/>
  <c r="I544" i="3"/>
  <c r="H544" i="3"/>
  <c r="K543" i="3"/>
  <c r="J543" i="3"/>
  <c r="I543" i="3"/>
  <c r="H543" i="3"/>
  <c r="K542" i="3"/>
  <c r="J542" i="3"/>
  <c r="I542" i="3"/>
  <c r="H542" i="3"/>
  <c r="K541" i="3"/>
  <c r="J541" i="3"/>
  <c r="I541" i="3"/>
  <c r="H541" i="3"/>
  <c r="K540" i="3"/>
  <c r="J540" i="3"/>
  <c r="I540" i="3"/>
  <c r="H540" i="3"/>
  <c r="K539" i="3"/>
  <c r="J539" i="3"/>
  <c r="I539" i="3"/>
  <c r="H539" i="3"/>
  <c r="K538" i="3"/>
  <c r="J538" i="3"/>
  <c r="I538" i="3"/>
  <c r="H538" i="3"/>
  <c r="K537" i="3"/>
  <c r="J537" i="3"/>
  <c r="I537" i="3"/>
  <c r="H537" i="3"/>
  <c r="K536" i="3"/>
  <c r="J536" i="3"/>
  <c r="I536" i="3"/>
  <c r="H536" i="3"/>
  <c r="K535" i="3"/>
  <c r="J535" i="3"/>
  <c r="I535" i="3"/>
  <c r="H535" i="3"/>
  <c r="K534" i="3"/>
  <c r="J534" i="3"/>
  <c r="I534" i="3"/>
  <c r="H534" i="3"/>
  <c r="K533" i="3"/>
  <c r="J533" i="3"/>
  <c r="I533" i="3"/>
  <c r="H533" i="3"/>
  <c r="K532" i="3"/>
  <c r="J532" i="3"/>
  <c r="I532" i="3"/>
  <c r="H532" i="3"/>
  <c r="K531" i="3"/>
  <c r="J531" i="3"/>
  <c r="I531" i="3"/>
  <c r="H531" i="3"/>
  <c r="K530" i="3"/>
  <c r="J530" i="3"/>
  <c r="I530" i="3"/>
  <c r="H530" i="3"/>
  <c r="K529" i="3"/>
  <c r="J529" i="3"/>
  <c r="I529" i="3"/>
  <c r="H529" i="3"/>
  <c r="K528" i="3"/>
  <c r="J528" i="3"/>
  <c r="I528" i="3"/>
  <c r="H528" i="3"/>
  <c r="K527" i="3"/>
  <c r="J527" i="3"/>
  <c r="I527" i="3"/>
  <c r="H527" i="3"/>
  <c r="K526" i="3"/>
  <c r="J526" i="3"/>
  <c r="I526" i="3"/>
  <c r="H526" i="3"/>
  <c r="K525" i="3"/>
  <c r="J525" i="3"/>
  <c r="I525" i="3"/>
  <c r="H525" i="3"/>
  <c r="K524" i="3"/>
  <c r="J524" i="3"/>
  <c r="I524" i="3"/>
  <c r="H524" i="3"/>
  <c r="K523" i="3"/>
  <c r="J523" i="3"/>
  <c r="I523" i="3"/>
  <c r="H523" i="3"/>
  <c r="K522" i="3"/>
  <c r="J522" i="3"/>
  <c r="I522" i="3"/>
  <c r="H522" i="3"/>
  <c r="K521" i="3"/>
  <c r="J521" i="3"/>
  <c r="I521" i="3"/>
  <c r="H521" i="3"/>
  <c r="K520" i="3"/>
  <c r="J520" i="3"/>
  <c r="I520" i="3"/>
  <c r="H520" i="3"/>
  <c r="K519" i="3"/>
  <c r="J519" i="3"/>
  <c r="I519" i="3"/>
  <c r="H519" i="3"/>
  <c r="K518" i="3"/>
  <c r="J518" i="3"/>
  <c r="I518" i="3"/>
  <c r="H518" i="3"/>
  <c r="K517" i="3"/>
  <c r="J517" i="3"/>
  <c r="I517" i="3"/>
  <c r="H517" i="3"/>
  <c r="K516" i="3"/>
  <c r="J516" i="3"/>
  <c r="I516" i="3"/>
  <c r="H516" i="3"/>
  <c r="K515" i="3"/>
  <c r="J515" i="3"/>
  <c r="I515" i="3"/>
  <c r="H515" i="3"/>
  <c r="K514" i="3"/>
  <c r="J514" i="3"/>
  <c r="I514" i="3"/>
  <c r="H514" i="3"/>
  <c r="K513" i="3"/>
  <c r="J513" i="3"/>
  <c r="I513" i="3"/>
  <c r="H513" i="3"/>
  <c r="K512" i="3"/>
  <c r="J512" i="3"/>
  <c r="I512" i="3"/>
  <c r="H512" i="3"/>
  <c r="K511" i="3"/>
  <c r="J511" i="3"/>
  <c r="I511" i="3"/>
  <c r="H511" i="3"/>
  <c r="K510" i="3"/>
  <c r="J510" i="3"/>
  <c r="I510" i="3"/>
  <c r="H510" i="3"/>
  <c r="K509" i="3"/>
  <c r="J509" i="3"/>
  <c r="I509" i="3"/>
  <c r="H509" i="3"/>
  <c r="K508" i="3"/>
  <c r="J508" i="3"/>
  <c r="I508" i="3"/>
  <c r="H508" i="3"/>
  <c r="K507" i="3"/>
  <c r="J507" i="3"/>
  <c r="I507" i="3"/>
  <c r="H507" i="3"/>
  <c r="K506" i="3"/>
  <c r="J506" i="3"/>
  <c r="I506" i="3"/>
  <c r="H506" i="3"/>
  <c r="K505" i="3"/>
  <c r="J505" i="3"/>
  <c r="I505" i="3"/>
  <c r="H505" i="3"/>
  <c r="K504" i="3"/>
  <c r="J504" i="3"/>
  <c r="I504" i="3"/>
  <c r="H504" i="3"/>
  <c r="K503" i="3"/>
  <c r="J503" i="3"/>
  <c r="I503" i="3"/>
  <c r="H503" i="3"/>
  <c r="K502" i="3"/>
  <c r="J502" i="3"/>
  <c r="I502" i="3"/>
  <c r="H502" i="3"/>
  <c r="K501" i="3"/>
  <c r="J501" i="3"/>
  <c r="I501" i="3"/>
  <c r="H501" i="3"/>
  <c r="K500" i="3"/>
  <c r="J500" i="3"/>
  <c r="I500" i="3"/>
  <c r="H500" i="3"/>
  <c r="K499" i="3"/>
  <c r="J499" i="3"/>
  <c r="I499" i="3"/>
  <c r="H499" i="3"/>
  <c r="K498" i="3"/>
  <c r="J498" i="3"/>
  <c r="I498" i="3"/>
  <c r="H498" i="3"/>
  <c r="K497" i="3"/>
  <c r="J497" i="3"/>
  <c r="I497" i="3"/>
  <c r="H497" i="3"/>
  <c r="K496" i="3"/>
  <c r="J496" i="3"/>
  <c r="I496" i="3"/>
  <c r="H496" i="3"/>
  <c r="K495" i="3"/>
  <c r="J495" i="3"/>
  <c r="I495" i="3"/>
  <c r="H495" i="3"/>
  <c r="K494" i="3"/>
  <c r="J494" i="3"/>
  <c r="I494" i="3"/>
  <c r="H494" i="3"/>
  <c r="K493" i="3"/>
  <c r="J493" i="3"/>
  <c r="I493" i="3"/>
  <c r="H493" i="3"/>
  <c r="K492" i="3"/>
  <c r="J492" i="3"/>
  <c r="I492" i="3"/>
  <c r="H492" i="3"/>
  <c r="K491" i="3"/>
  <c r="J491" i="3"/>
  <c r="I491" i="3"/>
  <c r="H491" i="3"/>
  <c r="K490" i="3"/>
  <c r="J490" i="3"/>
  <c r="I490" i="3"/>
  <c r="H490" i="3"/>
  <c r="K489" i="3"/>
  <c r="J489" i="3"/>
  <c r="I489" i="3"/>
  <c r="H489" i="3"/>
  <c r="K488" i="3"/>
  <c r="J488" i="3"/>
  <c r="I488" i="3"/>
  <c r="H488" i="3"/>
  <c r="K487" i="3"/>
  <c r="J487" i="3"/>
  <c r="I487" i="3"/>
  <c r="H487" i="3"/>
  <c r="K486" i="3"/>
  <c r="J486" i="3"/>
  <c r="I486" i="3"/>
  <c r="H486" i="3"/>
  <c r="K485" i="3"/>
  <c r="J485" i="3"/>
  <c r="I485" i="3"/>
  <c r="H485" i="3"/>
  <c r="K484" i="3"/>
  <c r="J484" i="3"/>
  <c r="I484" i="3"/>
  <c r="H484" i="3"/>
  <c r="K483" i="3"/>
  <c r="J483" i="3"/>
  <c r="I483" i="3"/>
  <c r="H483" i="3"/>
  <c r="K482" i="3"/>
  <c r="J482" i="3"/>
  <c r="I482" i="3"/>
  <c r="H482" i="3"/>
  <c r="K481" i="3"/>
  <c r="J481" i="3"/>
  <c r="I481" i="3"/>
  <c r="H481" i="3"/>
  <c r="K480" i="3"/>
  <c r="J480" i="3"/>
  <c r="I480" i="3"/>
  <c r="H480" i="3"/>
  <c r="K479" i="3"/>
  <c r="J479" i="3"/>
  <c r="I479" i="3"/>
  <c r="H479" i="3"/>
  <c r="K478" i="3"/>
  <c r="J478" i="3"/>
  <c r="I478" i="3"/>
  <c r="H478" i="3"/>
  <c r="K477" i="3"/>
  <c r="J477" i="3"/>
  <c r="I477" i="3"/>
  <c r="H477" i="3"/>
  <c r="K476" i="3"/>
  <c r="J476" i="3"/>
  <c r="I476" i="3"/>
  <c r="H476" i="3"/>
  <c r="K475" i="3"/>
  <c r="J475" i="3"/>
  <c r="I475" i="3"/>
  <c r="H475" i="3"/>
  <c r="K474" i="3"/>
  <c r="J474" i="3"/>
  <c r="I474" i="3"/>
  <c r="H474" i="3"/>
  <c r="K473" i="3"/>
  <c r="J473" i="3"/>
  <c r="I473" i="3"/>
  <c r="H473" i="3"/>
  <c r="K472" i="3"/>
  <c r="J472" i="3"/>
  <c r="I472" i="3"/>
  <c r="H472" i="3"/>
  <c r="K471" i="3"/>
  <c r="J471" i="3"/>
  <c r="I471" i="3"/>
  <c r="H471" i="3"/>
  <c r="K470" i="3"/>
  <c r="J470" i="3"/>
  <c r="I470" i="3"/>
  <c r="H470" i="3"/>
  <c r="K469" i="3"/>
  <c r="J469" i="3"/>
  <c r="I469" i="3"/>
  <c r="H469" i="3"/>
  <c r="K468" i="3"/>
  <c r="J468" i="3"/>
  <c r="I468" i="3"/>
  <c r="H468" i="3"/>
  <c r="K467" i="3"/>
  <c r="J467" i="3"/>
  <c r="I467" i="3"/>
  <c r="H467" i="3"/>
  <c r="K466" i="3"/>
  <c r="J466" i="3"/>
  <c r="I466" i="3"/>
  <c r="H466" i="3"/>
  <c r="K465" i="3"/>
  <c r="J465" i="3"/>
  <c r="I465" i="3"/>
  <c r="H465" i="3"/>
  <c r="K464" i="3"/>
  <c r="J464" i="3"/>
  <c r="I464" i="3"/>
  <c r="H464" i="3"/>
  <c r="K463" i="3"/>
  <c r="J463" i="3"/>
  <c r="I463" i="3"/>
  <c r="H463" i="3"/>
  <c r="K462" i="3"/>
  <c r="J462" i="3"/>
  <c r="I462" i="3"/>
  <c r="H462" i="3"/>
  <c r="K461" i="3"/>
  <c r="J461" i="3"/>
  <c r="I461" i="3"/>
  <c r="H461" i="3"/>
  <c r="K460" i="3"/>
  <c r="J460" i="3"/>
  <c r="I460" i="3"/>
  <c r="H460" i="3"/>
  <c r="K459" i="3"/>
  <c r="J459" i="3"/>
  <c r="I459" i="3"/>
  <c r="H459" i="3"/>
  <c r="K458" i="3"/>
  <c r="J458" i="3"/>
  <c r="I458" i="3"/>
  <c r="H458" i="3"/>
  <c r="K457" i="3"/>
  <c r="J457" i="3"/>
  <c r="I457" i="3"/>
  <c r="H457" i="3"/>
  <c r="K456" i="3"/>
  <c r="J456" i="3"/>
  <c r="I456" i="3"/>
  <c r="H456" i="3"/>
  <c r="K455" i="3"/>
  <c r="J455" i="3"/>
  <c r="I455" i="3"/>
  <c r="H455" i="3"/>
  <c r="K454" i="3"/>
  <c r="J454" i="3"/>
  <c r="I454" i="3"/>
  <c r="H454" i="3"/>
  <c r="K453" i="3"/>
  <c r="J453" i="3"/>
  <c r="I453" i="3"/>
  <c r="H453" i="3"/>
  <c r="K452" i="3"/>
  <c r="J452" i="3"/>
  <c r="I452" i="3"/>
  <c r="H452" i="3"/>
  <c r="K451" i="3"/>
  <c r="J451" i="3"/>
  <c r="I451" i="3"/>
  <c r="H451" i="3"/>
  <c r="K450" i="3"/>
  <c r="J450" i="3"/>
  <c r="I450" i="3"/>
  <c r="H450" i="3"/>
  <c r="K449" i="3"/>
  <c r="J449" i="3"/>
  <c r="I449" i="3"/>
  <c r="H449" i="3"/>
  <c r="K448" i="3"/>
  <c r="J448" i="3"/>
  <c r="I448" i="3"/>
  <c r="H448" i="3"/>
  <c r="K447" i="3"/>
  <c r="J447" i="3"/>
  <c r="I447" i="3"/>
  <c r="H447" i="3"/>
  <c r="K446" i="3"/>
  <c r="J446" i="3"/>
  <c r="I446" i="3"/>
  <c r="H446" i="3"/>
  <c r="K445" i="3"/>
  <c r="J445" i="3"/>
  <c r="I445" i="3"/>
  <c r="H445" i="3"/>
  <c r="K444" i="3"/>
  <c r="J444" i="3"/>
  <c r="I444" i="3"/>
  <c r="H444" i="3"/>
  <c r="K443" i="3"/>
  <c r="J443" i="3"/>
  <c r="I443" i="3"/>
  <c r="H443" i="3"/>
  <c r="K442" i="3"/>
  <c r="J442" i="3"/>
  <c r="I442" i="3"/>
  <c r="H442" i="3"/>
  <c r="K441" i="3"/>
  <c r="J441" i="3"/>
  <c r="I441" i="3"/>
  <c r="H441" i="3"/>
  <c r="K440" i="3"/>
  <c r="J440" i="3"/>
  <c r="I440" i="3"/>
  <c r="H440" i="3"/>
  <c r="K439" i="3"/>
  <c r="J439" i="3"/>
  <c r="I439" i="3"/>
  <c r="H439" i="3"/>
  <c r="K438" i="3"/>
  <c r="J438" i="3"/>
  <c r="I438" i="3"/>
  <c r="H438" i="3"/>
  <c r="K437" i="3"/>
  <c r="J437" i="3"/>
  <c r="I437" i="3"/>
  <c r="H437" i="3"/>
  <c r="K436" i="3"/>
  <c r="J436" i="3"/>
  <c r="I436" i="3"/>
  <c r="H436" i="3"/>
  <c r="K435" i="3"/>
  <c r="J435" i="3"/>
  <c r="I435" i="3"/>
  <c r="H435" i="3"/>
  <c r="K434" i="3"/>
  <c r="J434" i="3"/>
  <c r="I434" i="3"/>
  <c r="H434" i="3"/>
  <c r="K433" i="3"/>
  <c r="J433" i="3"/>
  <c r="I433" i="3"/>
  <c r="H433" i="3"/>
  <c r="K432" i="3"/>
  <c r="J432" i="3"/>
  <c r="I432" i="3"/>
  <c r="H432" i="3"/>
  <c r="K431" i="3"/>
  <c r="J431" i="3"/>
  <c r="I431" i="3"/>
  <c r="H431" i="3"/>
  <c r="K430" i="3"/>
  <c r="J430" i="3"/>
  <c r="I430" i="3"/>
  <c r="H430" i="3"/>
  <c r="K429" i="3"/>
  <c r="J429" i="3"/>
  <c r="I429" i="3"/>
  <c r="H429" i="3"/>
  <c r="K428" i="3"/>
  <c r="J428" i="3"/>
  <c r="I428" i="3"/>
  <c r="H428" i="3"/>
  <c r="K427" i="3"/>
  <c r="J427" i="3"/>
  <c r="I427" i="3"/>
  <c r="H427" i="3"/>
  <c r="K426" i="3"/>
  <c r="J426" i="3"/>
  <c r="I426" i="3"/>
  <c r="H426" i="3"/>
  <c r="K425" i="3"/>
  <c r="J425" i="3"/>
  <c r="I425" i="3"/>
  <c r="H425" i="3"/>
  <c r="K424" i="3"/>
  <c r="J424" i="3"/>
  <c r="I424" i="3"/>
  <c r="H424" i="3"/>
  <c r="K423" i="3"/>
  <c r="J423" i="3"/>
  <c r="I423" i="3"/>
  <c r="H423" i="3"/>
  <c r="K422" i="3"/>
  <c r="J422" i="3"/>
  <c r="I422" i="3"/>
  <c r="H422" i="3"/>
  <c r="K421" i="3"/>
  <c r="J421" i="3"/>
  <c r="I421" i="3"/>
  <c r="H421" i="3"/>
  <c r="K420" i="3"/>
  <c r="J420" i="3"/>
  <c r="I420" i="3"/>
  <c r="H420" i="3"/>
  <c r="K419" i="3"/>
  <c r="J419" i="3"/>
  <c r="I419" i="3"/>
  <c r="H419" i="3"/>
  <c r="K418" i="3"/>
  <c r="J418" i="3"/>
  <c r="I418" i="3"/>
  <c r="H418" i="3"/>
  <c r="K417" i="3"/>
  <c r="J417" i="3"/>
  <c r="I417" i="3"/>
  <c r="H417" i="3"/>
  <c r="K416" i="3"/>
  <c r="J416" i="3"/>
  <c r="I416" i="3"/>
  <c r="H416" i="3"/>
  <c r="K415" i="3"/>
  <c r="J415" i="3"/>
  <c r="I415" i="3"/>
  <c r="H415" i="3"/>
  <c r="K414" i="3"/>
  <c r="J414" i="3"/>
  <c r="I414" i="3"/>
  <c r="H414" i="3"/>
  <c r="K413" i="3"/>
  <c r="J413" i="3"/>
  <c r="I413" i="3"/>
  <c r="H413" i="3"/>
  <c r="K412" i="3"/>
  <c r="J412" i="3"/>
  <c r="I412" i="3"/>
  <c r="H412" i="3"/>
  <c r="K411" i="3"/>
  <c r="J411" i="3"/>
  <c r="I411" i="3"/>
  <c r="H411" i="3"/>
  <c r="K410" i="3"/>
  <c r="J410" i="3"/>
  <c r="I410" i="3"/>
  <c r="H410" i="3"/>
  <c r="K409" i="3"/>
  <c r="J409" i="3"/>
  <c r="I409" i="3"/>
  <c r="H409" i="3"/>
  <c r="K408" i="3"/>
  <c r="J408" i="3"/>
  <c r="I408" i="3"/>
  <c r="H408" i="3"/>
  <c r="K407" i="3"/>
  <c r="J407" i="3"/>
  <c r="I407" i="3"/>
  <c r="H407" i="3"/>
  <c r="K406" i="3"/>
  <c r="J406" i="3"/>
  <c r="I406" i="3"/>
  <c r="H406" i="3"/>
  <c r="K405" i="3"/>
  <c r="J405" i="3"/>
  <c r="I405" i="3"/>
  <c r="H405" i="3"/>
  <c r="K404" i="3"/>
  <c r="J404" i="3"/>
  <c r="I404" i="3"/>
  <c r="H404" i="3"/>
  <c r="K403" i="3"/>
  <c r="J403" i="3"/>
  <c r="I403" i="3"/>
  <c r="H403" i="3"/>
  <c r="K402" i="3"/>
  <c r="J402" i="3"/>
  <c r="I402" i="3"/>
  <c r="H402" i="3"/>
  <c r="K401" i="3"/>
  <c r="J401" i="3"/>
  <c r="I401" i="3"/>
  <c r="H401" i="3"/>
  <c r="K400" i="3"/>
  <c r="J400" i="3"/>
  <c r="I400" i="3"/>
  <c r="H400" i="3"/>
  <c r="K399" i="3"/>
  <c r="J399" i="3"/>
  <c r="I399" i="3"/>
  <c r="H399" i="3"/>
  <c r="K398" i="3"/>
  <c r="J398" i="3"/>
  <c r="I398" i="3"/>
  <c r="H398" i="3"/>
  <c r="K397" i="3"/>
  <c r="J397" i="3"/>
  <c r="I397" i="3"/>
  <c r="H397" i="3"/>
  <c r="K396" i="3"/>
  <c r="J396" i="3"/>
  <c r="I396" i="3"/>
  <c r="H396" i="3"/>
  <c r="K395" i="3"/>
  <c r="J395" i="3"/>
  <c r="I395" i="3"/>
  <c r="H395" i="3"/>
  <c r="K394" i="3"/>
  <c r="J394" i="3"/>
  <c r="I394" i="3"/>
  <c r="H394" i="3"/>
  <c r="K393" i="3"/>
  <c r="J393" i="3"/>
  <c r="I393" i="3"/>
  <c r="H393" i="3"/>
  <c r="K392" i="3"/>
  <c r="J392" i="3"/>
  <c r="I392" i="3"/>
  <c r="H392" i="3"/>
  <c r="K391" i="3"/>
  <c r="J391" i="3"/>
  <c r="I391" i="3"/>
  <c r="H391" i="3"/>
  <c r="K390" i="3"/>
  <c r="J390" i="3"/>
  <c r="I390" i="3"/>
  <c r="H390" i="3"/>
  <c r="K389" i="3"/>
  <c r="J389" i="3"/>
  <c r="I389" i="3"/>
  <c r="H389" i="3"/>
  <c r="K388" i="3"/>
  <c r="J388" i="3"/>
  <c r="I388" i="3"/>
  <c r="H388" i="3"/>
  <c r="K387" i="3"/>
  <c r="J387" i="3"/>
  <c r="I387" i="3"/>
  <c r="H387" i="3"/>
  <c r="K386" i="3"/>
  <c r="J386" i="3"/>
  <c r="I386" i="3"/>
  <c r="H386" i="3"/>
  <c r="K385" i="3"/>
  <c r="J385" i="3"/>
  <c r="I385" i="3"/>
  <c r="H385" i="3"/>
  <c r="K384" i="3"/>
  <c r="J384" i="3"/>
  <c r="I384" i="3"/>
  <c r="H384" i="3"/>
  <c r="K383" i="3"/>
  <c r="J383" i="3"/>
  <c r="I383" i="3"/>
  <c r="H383" i="3"/>
  <c r="K382" i="3"/>
  <c r="J382" i="3"/>
  <c r="I382" i="3"/>
  <c r="H382" i="3"/>
  <c r="K381" i="3"/>
  <c r="J381" i="3"/>
  <c r="I381" i="3"/>
  <c r="H381" i="3"/>
  <c r="K380" i="3"/>
  <c r="J380" i="3"/>
  <c r="I380" i="3"/>
  <c r="H380" i="3"/>
  <c r="K379" i="3"/>
  <c r="J379" i="3"/>
  <c r="I379" i="3"/>
  <c r="H379" i="3"/>
  <c r="K378" i="3"/>
  <c r="J378" i="3"/>
  <c r="I378" i="3"/>
  <c r="H378" i="3"/>
  <c r="K377" i="3"/>
  <c r="J377" i="3"/>
  <c r="I377" i="3"/>
  <c r="H377" i="3"/>
  <c r="K376" i="3"/>
  <c r="J376" i="3"/>
  <c r="I376" i="3"/>
  <c r="H376" i="3"/>
  <c r="K375" i="3"/>
  <c r="J375" i="3"/>
  <c r="I375" i="3"/>
  <c r="H375" i="3"/>
  <c r="K374" i="3"/>
  <c r="J374" i="3"/>
  <c r="I374" i="3"/>
  <c r="H374" i="3"/>
  <c r="K373" i="3"/>
  <c r="J373" i="3"/>
  <c r="I373" i="3"/>
  <c r="H373" i="3"/>
  <c r="K372" i="3"/>
  <c r="J372" i="3"/>
  <c r="I372" i="3"/>
  <c r="H372" i="3"/>
  <c r="K371" i="3"/>
  <c r="J371" i="3"/>
  <c r="I371" i="3"/>
  <c r="H371" i="3"/>
  <c r="K370" i="3"/>
  <c r="J370" i="3"/>
  <c r="I370" i="3"/>
  <c r="H370" i="3"/>
  <c r="K369" i="3"/>
  <c r="J369" i="3"/>
  <c r="I369" i="3"/>
  <c r="H369" i="3"/>
  <c r="K368" i="3"/>
  <c r="J368" i="3"/>
  <c r="I368" i="3"/>
  <c r="H368" i="3"/>
  <c r="K367" i="3"/>
  <c r="J367" i="3"/>
  <c r="I367" i="3"/>
  <c r="H367" i="3"/>
  <c r="K366" i="3"/>
  <c r="J366" i="3"/>
  <c r="I366" i="3"/>
  <c r="H366" i="3"/>
  <c r="K365" i="3"/>
  <c r="J365" i="3"/>
  <c r="I365" i="3"/>
  <c r="H365" i="3"/>
  <c r="K364" i="3"/>
  <c r="J364" i="3"/>
  <c r="I364" i="3"/>
  <c r="H364" i="3"/>
  <c r="K363" i="3"/>
  <c r="J363" i="3"/>
  <c r="I363" i="3"/>
  <c r="H363" i="3"/>
  <c r="K362" i="3"/>
  <c r="J362" i="3"/>
  <c r="I362" i="3"/>
  <c r="H362" i="3"/>
  <c r="K361" i="3"/>
  <c r="J361" i="3"/>
  <c r="I361" i="3"/>
  <c r="H361" i="3"/>
  <c r="K360" i="3"/>
  <c r="J360" i="3"/>
  <c r="I360" i="3"/>
  <c r="H360" i="3"/>
  <c r="K359" i="3"/>
  <c r="J359" i="3"/>
  <c r="I359" i="3"/>
  <c r="H359" i="3"/>
  <c r="K358" i="3"/>
  <c r="J358" i="3"/>
  <c r="I358" i="3"/>
  <c r="H358" i="3"/>
  <c r="K357" i="3"/>
  <c r="J357" i="3"/>
  <c r="I357" i="3"/>
  <c r="H357" i="3"/>
  <c r="K356" i="3"/>
  <c r="J356" i="3"/>
  <c r="I356" i="3"/>
  <c r="H356" i="3"/>
  <c r="K355" i="3"/>
  <c r="J355" i="3"/>
  <c r="I355" i="3"/>
  <c r="H355" i="3"/>
  <c r="K354" i="3"/>
  <c r="J354" i="3"/>
  <c r="I354" i="3"/>
  <c r="H354" i="3"/>
  <c r="K353" i="3"/>
  <c r="J353" i="3"/>
  <c r="I353" i="3"/>
  <c r="H353" i="3"/>
  <c r="K352" i="3"/>
  <c r="J352" i="3"/>
  <c r="I352" i="3"/>
  <c r="H352" i="3"/>
  <c r="K351" i="3"/>
  <c r="J351" i="3"/>
  <c r="I351" i="3"/>
  <c r="H351" i="3"/>
  <c r="K350" i="3"/>
  <c r="J350" i="3"/>
  <c r="I350" i="3"/>
  <c r="H350" i="3"/>
  <c r="K349" i="3"/>
  <c r="J349" i="3"/>
  <c r="I349" i="3"/>
  <c r="H349" i="3"/>
  <c r="K348" i="3"/>
  <c r="J348" i="3"/>
  <c r="I348" i="3"/>
  <c r="H348" i="3"/>
  <c r="K347" i="3"/>
  <c r="J347" i="3"/>
  <c r="I347" i="3"/>
  <c r="H347" i="3"/>
  <c r="K346" i="3"/>
  <c r="J346" i="3"/>
  <c r="I346" i="3"/>
  <c r="H346" i="3"/>
  <c r="K345" i="3"/>
  <c r="J345" i="3"/>
  <c r="I345" i="3"/>
  <c r="H345" i="3"/>
  <c r="K344" i="3"/>
  <c r="J344" i="3"/>
  <c r="I344" i="3"/>
  <c r="H344" i="3"/>
  <c r="K343" i="3"/>
  <c r="J343" i="3"/>
  <c r="I343" i="3"/>
  <c r="H343" i="3"/>
  <c r="K342" i="3"/>
  <c r="J342" i="3"/>
  <c r="I342" i="3"/>
  <c r="H342" i="3"/>
  <c r="K341" i="3"/>
  <c r="J341" i="3"/>
  <c r="I341" i="3"/>
  <c r="H341" i="3"/>
  <c r="K340" i="3"/>
  <c r="J340" i="3"/>
  <c r="I340" i="3"/>
  <c r="H340" i="3"/>
  <c r="K339" i="3"/>
  <c r="J339" i="3"/>
  <c r="I339" i="3"/>
  <c r="H339" i="3"/>
  <c r="K338" i="3"/>
  <c r="J338" i="3"/>
  <c r="I338" i="3"/>
  <c r="H338" i="3"/>
  <c r="K337" i="3"/>
  <c r="J337" i="3"/>
  <c r="I337" i="3"/>
  <c r="H337" i="3"/>
  <c r="K336" i="3"/>
  <c r="J336" i="3"/>
  <c r="I336" i="3"/>
  <c r="H336" i="3"/>
  <c r="K335" i="3"/>
  <c r="J335" i="3"/>
  <c r="I335" i="3"/>
  <c r="H335" i="3"/>
  <c r="K334" i="3"/>
  <c r="J334" i="3"/>
  <c r="I334" i="3"/>
  <c r="H334" i="3"/>
  <c r="K333" i="3"/>
  <c r="J333" i="3"/>
  <c r="I333" i="3"/>
  <c r="H333" i="3"/>
  <c r="K332" i="3"/>
  <c r="J332" i="3"/>
  <c r="I332" i="3"/>
  <c r="H332" i="3"/>
  <c r="K331" i="3"/>
  <c r="J331" i="3"/>
  <c r="I331" i="3"/>
  <c r="H331" i="3"/>
  <c r="K330" i="3"/>
  <c r="J330" i="3"/>
  <c r="I330" i="3"/>
  <c r="H330" i="3"/>
  <c r="K329" i="3"/>
  <c r="J329" i="3"/>
  <c r="I329" i="3"/>
  <c r="H329" i="3"/>
  <c r="K328" i="3"/>
  <c r="J328" i="3"/>
  <c r="I328" i="3"/>
  <c r="H328" i="3"/>
  <c r="K327" i="3"/>
  <c r="J327" i="3"/>
  <c r="I327" i="3"/>
  <c r="H327" i="3"/>
  <c r="K326" i="3"/>
  <c r="J326" i="3"/>
  <c r="I326" i="3"/>
  <c r="H326" i="3"/>
  <c r="K325" i="3"/>
  <c r="J325" i="3"/>
  <c r="I325" i="3"/>
  <c r="H325" i="3"/>
  <c r="K324" i="3"/>
  <c r="J324" i="3"/>
  <c r="I324" i="3"/>
  <c r="H324" i="3"/>
  <c r="K323" i="3"/>
  <c r="J323" i="3"/>
  <c r="I323" i="3"/>
  <c r="H323" i="3"/>
  <c r="K322" i="3"/>
  <c r="J322" i="3"/>
  <c r="I322" i="3"/>
  <c r="H322" i="3"/>
  <c r="K321" i="3"/>
  <c r="J321" i="3"/>
  <c r="I321" i="3"/>
  <c r="H321" i="3"/>
  <c r="K320" i="3"/>
  <c r="J320" i="3"/>
  <c r="I320" i="3"/>
  <c r="H320" i="3"/>
  <c r="K319" i="3"/>
  <c r="J319" i="3"/>
  <c r="I319" i="3"/>
  <c r="H319" i="3"/>
  <c r="K318" i="3"/>
  <c r="J318" i="3"/>
  <c r="I318" i="3"/>
  <c r="H318" i="3"/>
  <c r="K317" i="3"/>
  <c r="J317" i="3"/>
  <c r="I317" i="3"/>
  <c r="H317" i="3"/>
  <c r="K316" i="3"/>
  <c r="J316" i="3"/>
  <c r="I316" i="3"/>
  <c r="H316" i="3"/>
  <c r="K315" i="3"/>
  <c r="J315" i="3"/>
  <c r="I315" i="3"/>
  <c r="H315" i="3"/>
  <c r="K314" i="3"/>
  <c r="J314" i="3"/>
  <c r="I314" i="3"/>
  <c r="H314" i="3"/>
  <c r="K313" i="3"/>
  <c r="J313" i="3"/>
  <c r="I313" i="3"/>
  <c r="H313" i="3"/>
  <c r="K312" i="3"/>
  <c r="J312" i="3"/>
  <c r="I312" i="3"/>
  <c r="H312" i="3"/>
  <c r="K311" i="3"/>
  <c r="J311" i="3"/>
  <c r="I311" i="3"/>
  <c r="H311" i="3"/>
  <c r="K310" i="3"/>
  <c r="J310" i="3"/>
  <c r="I310" i="3"/>
  <c r="H310" i="3"/>
  <c r="K309" i="3"/>
  <c r="J309" i="3"/>
  <c r="I309" i="3"/>
  <c r="H309" i="3"/>
  <c r="K308" i="3"/>
  <c r="J308" i="3"/>
  <c r="I308" i="3"/>
  <c r="H308" i="3"/>
  <c r="K307" i="3"/>
  <c r="J307" i="3"/>
  <c r="I307" i="3"/>
  <c r="H307" i="3"/>
  <c r="K306" i="3"/>
  <c r="J306" i="3"/>
  <c r="I306" i="3"/>
  <c r="H306" i="3"/>
  <c r="K305" i="3"/>
  <c r="J305" i="3"/>
  <c r="I305" i="3"/>
  <c r="H305" i="3"/>
  <c r="K304" i="3"/>
  <c r="J304" i="3"/>
  <c r="I304" i="3"/>
  <c r="H304" i="3"/>
  <c r="K303" i="3"/>
  <c r="J303" i="3"/>
  <c r="I303" i="3"/>
  <c r="H303" i="3"/>
  <c r="K302" i="3"/>
  <c r="J302" i="3"/>
  <c r="I302" i="3"/>
  <c r="H302" i="3"/>
  <c r="K301" i="3"/>
  <c r="J301" i="3"/>
  <c r="I301" i="3"/>
  <c r="H301" i="3"/>
  <c r="K300" i="3"/>
  <c r="J300" i="3"/>
  <c r="I300" i="3"/>
  <c r="H300" i="3"/>
  <c r="K299" i="3"/>
  <c r="J299" i="3"/>
  <c r="I299" i="3"/>
  <c r="H299" i="3"/>
  <c r="K298" i="3"/>
  <c r="J298" i="3"/>
  <c r="I298" i="3"/>
  <c r="H298" i="3"/>
  <c r="K297" i="3"/>
  <c r="J297" i="3"/>
  <c r="I297" i="3"/>
  <c r="H297" i="3"/>
  <c r="K296" i="3"/>
  <c r="J296" i="3"/>
  <c r="I296" i="3"/>
  <c r="H296" i="3"/>
  <c r="K295" i="3"/>
  <c r="J295" i="3"/>
  <c r="I295" i="3"/>
  <c r="H295" i="3"/>
  <c r="K294" i="3"/>
  <c r="J294" i="3"/>
  <c r="I294" i="3"/>
  <c r="H294" i="3"/>
  <c r="K293" i="3"/>
  <c r="J293" i="3"/>
  <c r="I293" i="3"/>
  <c r="H293" i="3"/>
  <c r="K292" i="3"/>
  <c r="J292" i="3"/>
  <c r="I292" i="3"/>
  <c r="H292" i="3"/>
  <c r="K291" i="3"/>
  <c r="J291" i="3"/>
  <c r="I291" i="3"/>
  <c r="H291" i="3"/>
  <c r="K290" i="3"/>
  <c r="J290" i="3"/>
  <c r="I290" i="3"/>
  <c r="H290" i="3"/>
  <c r="K289" i="3"/>
  <c r="J289" i="3"/>
  <c r="I289" i="3"/>
  <c r="H289" i="3"/>
  <c r="K288" i="3"/>
  <c r="J288" i="3"/>
  <c r="I288" i="3"/>
  <c r="H288" i="3"/>
  <c r="K287" i="3"/>
  <c r="J287" i="3"/>
  <c r="I287" i="3"/>
  <c r="H287" i="3"/>
  <c r="K286" i="3"/>
  <c r="J286" i="3"/>
  <c r="I286" i="3"/>
  <c r="H286" i="3"/>
  <c r="K285" i="3"/>
  <c r="J285" i="3"/>
  <c r="I285" i="3"/>
  <c r="H285" i="3"/>
  <c r="K284" i="3"/>
  <c r="J284" i="3"/>
  <c r="I284" i="3"/>
  <c r="H284" i="3"/>
  <c r="K283" i="3"/>
  <c r="J283" i="3"/>
  <c r="I283" i="3"/>
  <c r="H283" i="3"/>
  <c r="K282" i="3"/>
  <c r="J282" i="3"/>
  <c r="I282" i="3"/>
  <c r="H282" i="3"/>
  <c r="K281" i="3"/>
  <c r="J281" i="3"/>
  <c r="I281" i="3"/>
  <c r="H281" i="3"/>
  <c r="K280" i="3"/>
  <c r="J280" i="3"/>
  <c r="I280" i="3"/>
  <c r="H280" i="3"/>
  <c r="K279" i="3"/>
  <c r="J279" i="3"/>
  <c r="I279" i="3"/>
  <c r="H279" i="3"/>
  <c r="K278" i="3"/>
  <c r="J278" i="3"/>
  <c r="I278" i="3"/>
  <c r="H278" i="3"/>
  <c r="K277" i="3"/>
  <c r="J277" i="3"/>
  <c r="I277" i="3"/>
  <c r="H277" i="3"/>
  <c r="K276" i="3"/>
  <c r="J276" i="3"/>
  <c r="I276" i="3"/>
  <c r="H276" i="3"/>
  <c r="K275" i="3"/>
  <c r="J275" i="3"/>
  <c r="I275" i="3"/>
  <c r="H275" i="3"/>
  <c r="K274" i="3"/>
  <c r="J274" i="3"/>
  <c r="I274" i="3"/>
  <c r="H274" i="3"/>
  <c r="K273" i="3"/>
  <c r="J273" i="3"/>
  <c r="I273" i="3"/>
  <c r="H273" i="3"/>
  <c r="K272" i="3"/>
  <c r="J272" i="3"/>
  <c r="I272" i="3"/>
  <c r="H272" i="3"/>
  <c r="K271" i="3"/>
  <c r="J271" i="3"/>
  <c r="I271" i="3"/>
  <c r="H271" i="3"/>
  <c r="K270" i="3"/>
  <c r="J270" i="3"/>
  <c r="I270" i="3"/>
  <c r="H270" i="3"/>
  <c r="K269" i="3"/>
  <c r="J269" i="3"/>
  <c r="I269" i="3"/>
  <c r="H269" i="3"/>
  <c r="K268" i="3"/>
  <c r="J268" i="3"/>
  <c r="I268" i="3"/>
  <c r="H268" i="3"/>
  <c r="K267" i="3"/>
  <c r="J267" i="3"/>
  <c r="I267" i="3"/>
  <c r="H267" i="3"/>
  <c r="K266" i="3"/>
  <c r="J266" i="3"/>
  <c r="I266" i="3"/>
  <c r="H266" i="3"/>
  <c r="K265" i="3"/>
  <c r="J265" i="3"/>
  <c r="I265" i="3"/>
  <c r="H265" i="3"/>
  <c r="K264" i="3"/>
  <c r="J264" i="3"/>
  <c r="I264" i="3"/>
  <c r="H264" i="3"/>
  <c r="K263" i="3"/>
  <c r="J263" i="3"/>
  <c r="I263" i="3"/>
  <c r="H263" i="3"/>
  <c r="K262" i="3"/>
  <c r="J262" i="3"/>
  <c r="I262" i="3"/>
  <c r="H262" i="3"/>
  <c r="K261" i="3"/>
  <c r="J261" i="3"/>
  <c r="I261" i="3"/>
  <c r="H261" i="3"/>
  <c r="K260" i="3"/>
  <c r="J260" i="3"/>
  <c r="I260" i="3"/>
  <c r="H260" i="3"/>
  <c r="K259" i="3"/>
  <c r="J259" i="3"/>
  <c r="I259" i="3"/>
  <c r="H259" i="3"/>
  <c r="K258" i="3"/>
  <c r="J258" i="3"/>
  <c r="I258" i="3"/>
  <c r="H258" i="3"/>
  <c r="K257" i="3"/>
  <c r="J257" i="3"/>
  <c r="I257" i="3"/>
  <c r="H257" i="3"/>
  <c r="K256" i="3"/>
  <c r="J256" i="3"/>
  <c r="I256" i="3"/>
  <c r="H256" i="3"/>
  <c r="K255" i="3"/>
  <c r="J255" i="3"/>
  <c r="I255" i="3"/>
  <c r="H255" i="3"/>
  <c r="K254" i="3"/>
  <c r="J254" i="3"/>
  <c r="I254" i="3"/>
  <c r="H254" i="3"/>
  <c r="K253" i="3"/>
  <c r="J253" i="3"/>
  <c r="I253" i="3"/>
  <c r="H253" i="3"/>
  <c r="K252" i="3"/>
  <c r="J252" i="3"/>
  <c r="I252" i="3"/>
  <c r="H252" i="3"/>
  <c r="K251" i="3"/>
  <c r="J251" i="3"/>
  <c r="I251" i="3"/>
  <c r="H251" i="3"/>
  <c r="K250" i="3"/>
  <c r="J250" i="3"/>
  <c r="I250" i="3"/>
  <c r="H250" i="3"/>
  <c r="K249" i="3"/>
  <c r="J249" i="3"/>
  <c r="I249" i="3"/>
  <c r="H249" i="3"/>
  <c r="K248" i="3"/>
  <c r="J248" i="3"/>
  <c r="I248" i="3"/>
  <c r="H248" i="3"/>
  <c r="K247" i="3"/>
  <c r="J247" i="3"/>
  <c r="I247" i="3"/>
  <c r="H247" i="3"/>
  <c r="K246" i="3"/>
  <c r="J246" i="3"/>
  <c r="I246" i="3"/>
  <c r="H246" i="3"/>
  <c r="K245" i="3"/>
  <c r="J245" i="3"/>
  <c r="I245" i="3"/>
  <c r="H245" i="3"/>
  <c r="K244" i="3"/>
  <c r="J244" i="3"/>
  <c r="I244" i="3"/>
  <c r="H244" i="3"/>
  <c r="K243" i="3"/>
  <c r="J243" i="3"/>
  <c r="I243" i="3"/>
  <c r="H243" i="3"/>
  <c r="K242" i="3"/>
  <c r="J242" i="3"/>
  <c r="I242" i="3"/>
  <c r="H242" i="3"/>
  <c r="K241" i="3"/>
  <c r="J241" i="3"/>
  <c r="I241" i="3"/>
  <c r="H241" i="3"/>
  <c r="K240" i="3"/>
  <c r="J240" i="3"/>
  <c r="I240" i="3"/>
  <c r="H240" i="3"/>
  <c r="K239" i="3"/>
  <c r="J239" i="3"/>
  <c r="I239" i="3"/>
  <c r="H239" i="3"/>
  <c r="K238" i="3"/>
  <c r="J238" i="3"/>
  <c r="I238" i="3"/>
  <c r="H238" i="3"/>
  <c r="K237" i="3"/>
  <c r="J237" i="3"/>
  <c r="I237" i="3"/>
  <c r="H237" i="3"/>
  <c r="K236" i="3"/>
  <c r="J236" i="3"/>
  <c r="I236" i="3"/>
  <c r="H236" i="3"/>
  <c r="K235" i="3"/>
  <c r="J235" i="3"/>
  <c r="I235" i="3"/>
  <c r="H235" i="3"/>
  <c r="K234" i="3"/>
  <c r="J234" i="3"/>
  <c r="I234" i="3"/>
  <c r="H234" i="3"/>
  <c r="K233" i="3"/>
  <c r="J233" i="3"/>
  <c r="I233" i="3"/>
  <c r="H233" i="3"/>
  <c r="K232" i="3"/>
  <c r="J232" i="3"/>
  <c r="I232" i="3"/>
  <c r="H232" i="3"/>
  <c r="K231" i="3"/>
  <c r="J231" i="3"/>
  <c r="I231" i="3"/>
  <c r="H231" i="3"/>
  <c r="K230" i="3"/>
  <c r="J230" i="3"/>
  <c r="I230" i="3"/>
  <c r="H230" i="3"/>
  <c r="K229" i="3"/>
  <c r="J229" i="3"/>
  <c r="I229" i="3"/>
  <c r="H229" i="3"/>
  <c r="K228" i="3"/>
  <c r="J228" i="3"/>
  <c r="I228" i="3"/>
  <c r="H228" i="3"/>
  <c r="K227" i="3"/>
  <c r="J227" i="3"/>
  <c r="I227" i="3"/>
  <c r="H227" i="3"/>
  <c r="K226" i="3"/>
  <c r="J226" i="3"/>
  <c r="I226" i="3"/>
  <c r="H226" i="3"/>
  <c r="K225" i="3"/>
  <c r="J225" i="3"/>
  <c r="I225" i="3"/>
  <c r="H225" i="3"/>
  <c r="K224" i="3"/>
  <c r="J224" i="3"/>
  <c r="I224" i="3"/>
  <c r="H224" i="3"/>
  <c r="K223" i="3"/>
  <c r="J223" i="3"/>
  <c r="I223" i="3"/>
  <c r="H223" i="3"/>
  <c r="K222" i="3"/>
  <c r="J222" i="3"/>
  <c r="I222" i="3"/>
  <c r="H222" i="3"/>
  <c r="K221" i="3"/>
  <c r="J221" i="3"/>
  <c r="I221" i="3"/>
  <c r="H221" i="3"/>
  <c r="K220" i="3"/>
  <c r="J220" i="3"/>
  <c r="I220" i="3"/>
  <c r="H220" i="3"/>
  <c r="K219" i="3"/>
  <c r="J219" i="3"/>
  <c r="I219" i="3"/>
  <c r="H219" i="3"/>
  <c r="K218" i="3"/>
  <c r="J218" i="3"/>
  <c r="I218" i="3"/>
  <c r="H218" i="3"/>
  <c r="K217" i="3"/>
  <c r="J217" i="3"/>
  <c r="I217" i="3"/>
  <c r="H217" i="3"/>
  <c r="K216" i="3"/>
  <c r="J216" i="3"/>
  <c r="I216" i="3"/>
  <c r="H216" i="3"/>
  <c r="K215" i="3"/>
  <c r="J215" i="3"/>
  <c r="I215" i="3"/>
  <c r="H215" i="3"/>
  <c r="K214" i="3"/>
  <c r="J214" i="3"/>
  <c r="I214" i="3"/>
  <c r="H214" i="3"/>
  <c r="K213" i="3"/>
  <c r="J213" i="3"/>
  <c r="I213" i="3"/>
  <c r="H213" i="3"/>
  <c r="K212" i="3"/>
  <c r="J212" i="3"/>
  <c r="I212" i="3"/>
  <c r="H212" i="3"/>
  <c r="K211" i="3"/>
  <c r="J211" i="3"/>
  <c r="I211" i="3"/>
  <c r="H211" i="3"/>
  <c r="K210" i="3"/>
  <c r="J210" i="3"/>
  <c r="I210" i="3"/>
  <c r="H210" i="3"/>
  <c r="K209" i="3"/>
  <c r="J209" i="3"/>
  <c r="I209" i="3"/>
  <c r="H209" i="3"/>
  <c r="K208" i="3"/>
  <c r="J208" i="3"/>
  <c r="I208" i="3"/>
  <c r="H208" i="3"/>
  <c r="K207" i="3"/>
  <c r="J207" i="3"/>
  <c r="I207" i="3"/>
  <c r="H207" i="3"/>
  <c r="K206" i="3"/>
  <c r="J206" i="3"/>
  <c r="I206" i="3"/>
  <c r="H206" i="3"/>
  <c r="K205" i="3"/>
  <c r="J205" i="3"/>
  <c r="I205" i="3"/>
  <c r="H205" i="3"/>
  <c r="K204" i="3"/>
  <c r="J204" i="3"/>
  <c r="I204" i="3"/>
  <c r="H204" i="3"/>
  <c r="K203" i="3"/>
  <c r="J203" i="3"/>
  <c r="I203" i="3"/>
  <c r="H203" i="3"/>
  <c r="K202" i="3"/>
  <c r="J202" i="3"/>
  <c r="I202" i="3"/>
  <c r="H202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K198" i="3"/>
  <c r="J198" i="3"/>
  <c r="I198" i="3"/>
  <c r="H198" i="3"/>
  <c r="K197" i="3"/>
  <c r="J197" i="3"/>
  <c r="I197" i="3"/>
  <c r="H197" i="3"/>
  <c r="K196" i="3"/>
  <c r="J196" i="3"/>
  <c r="I196" i="3"/>
  <c r="H196" i="3"/>
  <c r="K195" i="3"/>
  <c r="J195" i="3"/>
  <c r="I195" i="3"/>
  <c r="H195" i="3"/>
  <c r="K194" i="3"/>
  <c r="J194" i="3"/>
  <c r="I194" i="3"/>
  <c r="H194" i="3"/>
  <c r="K193" i="3"/>
  <c r="J193" i="3"/>
  <c r="I193" i="3"/>
  <c r="H193" i="3"/>
  <c r="K192" i="3"/>
  <c r="J192" i="3"/>
  <c r="I192" i="3"/>
  <c r="H192" i="3"/>
  <c r="K191" i="3"/>
  <c r="J191" i="3"/>
  <c r="I191" i="3"/>
  <c r="H191" i="3"/>
  <c r="K190" i="3"/>
  <c r="J190" i="3"/>
  <c r="I190" i="3"/>
  <c r="H190" i="3"/>
  <c r="K189" i="3"/>
  <c r="J189" i="3"/>
  <c r="I189" i="3"/>
  <c r="H189" i="3"/>
  <c r="K188" i="3"/>
  <c r="J188" i="3"/>
  <c r="I188" i="3"/>
  <c r="H188" i="3"/>
  <c r="K187" i="3"/>
  <c r="J187" i="3"/>
  <c r="I187" i="3"/>
  <c r="H187" i="3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K182" i="3"/>
  <c r="J182" i="3"/>
  <c r="I182" i="3"/>
  <c r="H182" i="3"/>
  <c r="K181" i="3"/>
  <c r="J181" i="3"/>
  <c r="I181" i="3"/>
  <c r="H181" i="3"/>
  <c r="K180" i="3"/>
  <c r="J180" i="3"/>
  <c r="I180" i="3"/>
  <c r="H180" i="3"/>
  <c r="K179" i="3"/>
  <c r="J179" i="3"/>
  <c r="I179" i="3"/>
  <c r="H179" i="3"/>
  <c r="K178" i="3"/>
  <c r="J178" i="3"/>
  <c r="I178" i="3"/>
  <c r="H178" i="3"/>
  <c r="K177" i="3"/>
  <c r="J177" i="3"/>
  <c r="I177" i="3"/>
  <c r="H177" i="3"/>
  <c r="K176" i="3"/>
  <c r="J176" i="3"/>
  <c r="I176" i="3"/>
  <c r="H176" i="3"/>
  <c r="K175" i="3"/>
  <c r="J175" i="3"/>
  <c r="I175" i="3"/>
  <c r="H175" i="3"/>
  <c r="K174" i="3"/>
  <c r="J174" i="3"/>
  <c r="I174" i="3"/>
  <c r="H174" i="3"/>
  <c r="K173" i="3"/>
  <c r="J173" i="3"/>
  <c r="I173" i="3"/>
  <c r="H173" i="3"/>
  <c r="K172" i="3"/>
  <c r="J172" i="3"/>
  <c r="I172" i="3"/>
  <c r="H172" i="3"/>
  <c r="K171" i="3"/>
  <c r="J171" i="3"/>
  <c r="I171" i="3"/>
  <c r="H171" i="3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K166" i="3"/>
  <c r="J166" i="3"/>
  <c r="I166" i="3"/>
  <c r="H166" i="3"/>
  <c r="K165" i="3"/>
  <c r="J165" i="3"/>
  <c r="I165" i="3"/>
  <c r="H165" i="3"/>
  <c r="K164" i="3"/>
  <c r="J164" i="3"/>
  <c r="I164" i="3"/>
  <c r="H164" i="3"/>
  <c r="K163" i="3"/>
  <c r="J163" i="3"/>
  <c r="I163" i="3"/>
  <c r="H163" i="3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K158" i="3"/>
  <c r="J158" i="3"/>
  <c r="I158" i="3"/>
  <c r="H158" i="3"/>
  <c r="K157" i="3"/>
  <c r="J157" i="3"/>
  <c r="I157" i="3"/>
  <c r="H157" i="3"/>
  <c r="K156" i="3"/>
  <c r="J156" i="3"/>
  <c r="I156" i="3"/>
  <c r="H156" i="3"/>
  <c r="K155" i="3"/>
  <c r="J155" i="3"/>
  <c r="I155" i="3"/>
  <c r="H155" i="3"/>
  <c r="K154" i="3"/>
  <c r="J154" i="3"/>
  <c r="I154" i="3"/>
  <c r="H154" i="3"/>
  <c r="K153" i="3"/>
  <c r="J153" i="3"/>
  <c r="I153" i="3"/>
  <c r="H153" i="3"/>
  <c r="K152" i="3"/>
  <c r="J152" i="3"/>
  <c r="I152" i="3"/>
  <c r="H152" i="3"/>
  <c r="K151" i="3"/>
  <c r="J151" i="3"/>
  <c r="I151" i="3"/>
  <c r="H151" i="3"/>
  <c r="K150" i="3"/>
  <c r="J150" i="3"/>
  <c r="I150" i="3"/>
  <c r="H150" i="3"/>
  <c r="K149" i="3"/>
  <c r="J149" i="3"/>
  <c r="I149" i="3"/>
  <c r="H149" i="3"/>
  <c r="K148" i="3"/>
  <c r="J148" i="3"/>
  <c r="I148" i="3"/>
  <c r="H148" i="3"/>
  <c r="K147" i="3"/>
  <c r="J147" i="3"/>
  <c r="I147" i="3"/>
  <c r="H147" i="3"/>
  <c r="K146" i="3"/>
  <c r="J146" i="3"/>
  <c r="I146" i="3"/>
  <c r="H146" i="3"/>
  <c r="K145" i="3"/>
  <c r="J145" i="3"/>
  <c r="I145" i="3"/>
  <c r="H145" i="3"/>
  <c r="K144" i="3"/>
  <c r="J144" i="3"/>
  <c r="I144" i="3"/>
  <c r="H144" i="3"/>
  <c r="K143" i="3"/>
  <c r="J143" i="3"/>
  <c r="I143" i="3"/>
  <c r="H143" i="3"/>
  <c r="K142" i="3"/>
  <c r="J142" i="3"/>
  <c r="I142" i="3"/>
  <c r="H142" i="3"/>
  <c r="K141" i="3"/>
  <c r="J141" i="3"/>
  <c r="I141" i="3"/>
  <c r="H141" i="3"/>
  <c r="K140" i="3"/>
  <c r="J140" i="3"/>
  <c r="I140" i="3"/>
  <c r="H140" i="3"/>
  <c r="K139" i="3"/>
  <c r="J139" i="3"/>
  <c r="I139" i="3"/>
  <c r="H139" i="3"/>
  <c r="K138" i="3"/>
  <c r="J138" i="3"/>
  <c r="I138" i="3"/>
  <c r="H138" i="3"/>
  <c r="K137" i="3"/>
  <c r="J137" i="3"/>
  <c r="I137" i="3"/>
  <c r="H137" i="3"/>
  <c r="K136" i="3"/>
  <c r="J136" i="3"/>
  <c r="I136" i="3"/>
  <c r="H136" i="3"/>
  <c r="K135" i="3"/>
  <c r="J135" i="3"/>
  <c r="I135" i="3"/>
  <c r="H135" i="3"/>
  <c r="K134" i="3"/>
  <c r="J134" i="3"/>
  <c r="I134" i="3"/>
  <c r="H134" i="3"/>
  <c r="K133" i="3"/>
  <c r="J133" i="3"/>
  <c r="I133" i="3"/>
  <c r="H133" i="3"/>
  <c r="K132" i="3"/>
  <c r="J132" i="3"/>
  <c r="I132" i="3"/>
  <c r="H132" i="3"/>
  <c r="K131" i="3"/>
  <c r="J131" i="3"/>
  <c r="I131" i="3"/>
  <c r="H131" i="3"/>
  <c r="K130" i="3"/>
  <c r="J130" i="3"/>
  <c r="I130" i="3"/>
  <c r="H130" i="3"/>
  <c r="K129" i="3"/>
  <c r="J129" i="3"/>
  <c r="I129" i="3"/>
  <c r="H129" i="3"/>
  <c r="K128" i="3"/>
  <c r="J128" i="3"/>
  <c r="I128" i="3"/>
  <c r="H128" i="3"/>
  <c r="K127" i="3"/>
  <c r="J127" i="3"/>
  <c r="I127" i="3"/>
  <c r="H127" i="3"/>
  <c r="K126" i="3"/>
  <c r="J126" i="3"/>
  <c r="I126" i="3"/>
  <c r="H126" i="3"/>
  <c r="K125" i="3"/>
  <c r="J125" i="3"/>
  <c r="I125" i="3"/>
  <c r="H125" i="3"/>
  <c r="K124" i="3"/>
  <c r="J124" i="3"/>
  <c r="I124" i="3"/>
  <c r="H124" i="3"/>
  <c r="K123" i="3"/>
  <c r="J123" i="3"/>
  <c r="I123" i="3"/>
  <c r="H123" i="3"/>
  <c r="K122" i="3"/>
  <c r="J122" i="3"/>
  <c r="I122" i="3"/>
  <c r="H122" i="3"/>
  <c r="K121" i="3"/>
  <c r="J121" i="3"/>
  <c r="I121" i="3"/>
  <c r="H121" i="3"/>
  <c r="K120" i="3"/>
  <c r="J120" i="3"/>
  <c r="I120" i="3"/>
  <c r="H120" i="3"/>
  <c r="K119" i="3"/>
  <c r="J119" i="3"/>
  <c r="I119" i="3"/>
  <c r="H119" i="3"/>
  <c r="K118" i="3"/>
  <c r="J118" i="3"/>
  <c r="I118" i="3"/>
  <c r="H118" i="3"/>
  <c r="K117" i="3"/>
  <c r="J117" i="3"/>
  <c r="I117" i="3"/>
  <c r="H117" i="3"/>
  <c r="K116" i="3"/>
  <c r="J116" i="3"/>
  <c r="I116" i="3"/>
  <c r="H116" i="3"/>
  <c r="K115" i="3"/>
  <c r="J115" i="3"/>
  <c r="I115" i="3"/>
  <c r="H115" i="3"/>
  <c r="K114" i="3"/>
  <c r="J114" i="3"/>
  <c r="I114" i="3"/>
  <c r="H114" i="3"/>
  <c r="K113" i="3"/>
  <c r="J113" i="3"/>
  <c r="I113" i="3"/>
  <c r="H113" i="3"/>
  <c r="K112" i="3"/>
  <c r="J112" i="3"/>
  <c r="I112" i="3"/>
  <c r="H112" i="3"/>
  <c r="K111" i="3"/>
  <c r="J111" i="3"/>
  <c r="I111" i="3"/>
  <c r="H111" i="3"/>
  <c r="K110" i="3"/>
  <c r="J110" i="3"/>
  <c r="I110" i="3"/>
  <c r="H110" i="3"/>
  <c r="K109" i="3"/>
  <c r="J109" i="3"/>
  <c r="I109" i="3"/>
  <c r="H109" i="3"/>
  <c r="K108" i="3"/>
  <c r="J108" i="3"/>
  <c r="I108" i="3"/>
  <c r="H108" i="3"/>
  <c r="K107" i="3"/>
  <c r="J107" i="3"/>
  <c r="I107" i="3"/>
  <c r="H107" i="3"/>
  <c r="K106" i="3"/>
  <c r="J106" i="3"/>
  <c r="I106" i="3"/>
  <c r="H106" i="3"/>
  <c r="K105" i="3"/>
  <c r="J105" i="3"/>
  <c r="I105" i="3"/>
  <c r="H105" i="3"/>
  <c r="K104" i="3"/>
  <c r="J104" i="3"/>
  <c r="I104" i="3"/>
  <c r="H104" i="3"/>
  <c r="K103" i="3"/>
  <c r="J103" i="3"/>
  <c r="I103" i="3"/>
  <c r="H103" i="3"/>
  <c r="K102" i="3"/>
  <c r="J102" i="3"/>
  <c r="I102" i="3"/>
  <c r="H102" i="3"/>
  <c r="K101" i="3"/>
  <c r="J101" i="3"/>
  <c r="I101" i="3"/>
  <c r="H101" i="3"/>
  <c r="K100" i="3"/>
  <c r="J100" i="3"/>
  <c r="I100" i="3"/>
  <c r="H100" i="3"/>
  <c r="K99" i="3"/>
  <c r="J99" i="3"/>
  <c r="I99" i="3"/>
  <c r="H99" i="3"/>
  <c r="K98" i="3"/>
  <c r="J98" i="3"/>
  <c r="I98" i="3"/>
  <c r="H98" i="3"/>
  <c r="K97" i="3"/>
  <c r="J97" i="3"/>
  <c r="I97" i="3"/>
  <c r="H97" i="3"/>
  <c r="K96" i="3"/>
  <c r="J96" i="3"/>
  <c r="I96" i="3"/>
  <c r="H96" i="3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K87" i="3"/>
  <c r="J87" i="3"/>
  <c r="I87" i="3"/>
  <c r="H87" i="3"/>
  <c r="K86" i="3"/>
  <c r="J86" i="3"/>
  <c r="I86" i="3"/>
  <c r="H86" i="3"/>
  <c r="K85" i="3"/>
  <c r="J85" i="3"/>
  <c r="I85" i="3"/>
  <c r="H85" i="3"/>
  <c r="K84" i="3"/>
  <c r="J84" i="3"/>
  <c r="I84" i="3"/>
  <c r="H84" i="3"/>
  <c r="K83" i="3"/>
  <c r="J83" i="3"/>
  <c r="I83" i="3"/>
  <c r="H83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K77" i="3"/>
  <c r="J77" i="3"/>
  <c r="I77" i="3"/>
  <c r="H77" i="3"/>
  <c r="K76" i="3"/>
  <c r="J76" i="3"/>
  <c r="I76" i="3"/>
  <c r="H76" i="3"/>
  <c r="K75" i="3"/>
  <c r="J75" i="3"/>
  <c r="I75" i="3"/>
  <c r="H75" i="3"/>
  <c r="K74" i="3"/>
  <c r="J74" i="3"/>
  <c r="I74" i="3"/>
  <c r="H74" i="3"/>
  <c r="K73" i="3"/>
  <c r="J73" i="3"/>
  <c r="I73" i="3"/>
  <c r="H73" i="3"/>
  <c r="K72" i="3"/>
  <c r="J72" i="3"/>
  <c r="I72" i="3"/>
  <c r="H72" i="3"/>
  <c r="K71" i="3"/>
  <c r="J71" i="3"/>
  <c r="I71" i="3"/>
  <c r="H71" i="3"/>
  <c r="K70" i="3"/>
  <c r="J70" i="3"/>
  <c r="I70" i="3"/>
  <c r="H70" i="3"/>
  <c r="K69" i="3"/>
  <c r="J69" i="3"/>
  <c r="I69" i="3"/>
  <c r="H69" i="3"/>
  <c r="K68" i="3"/>
  <c r="J68" i="3"/>
  <c r="I68" i="3"/>
  <c r="H68" i="3"/>
  <c r="K67" i="3"/>
  <c r="J67" i="3"/>
  <c r="I67" i="3"/>
  <c r="H67" i="3"/>
  <c r="K66" i="3"/>
  <c r="J66" i="3"/>
  <c r="I66" i="3"/>
  <c r="H66" i="3"/>
  <c r="K65" i="3"/>
  <c r="J65" i="3"/>
  <c r="I65" i="3"/>
  <c r="H65" i="3"/>
  <c r="K64" i="3"/>
  <c r="J64" i="3"/>
  <c r="I64" i="3"/>
  <c r="H64" i="3"/>
  <c r="K63" i="3"/>
  <c r="J63" i="3"/>
  <c r="I63" i="3"/>
  <c r="H63" i="3"/>
  <c r="K62" i="3"/>
  <c r="J62" i="3"/>
  <c r="I62" i="3"/>
  <c r="H62" i="3"/>
  <c r="K61" i="3"/>
  <c r="J61" i="3"/>
  <c r="I61" i="3"/>
  <c r="H61" i="3"/>
  <c r="K60" i="3"/>
  <c r="J60" i="3"/>
  <c r="I60" i="3"/>
  <c r="H60" i="3"/>
  <c r="K59" i="3"/>
  <c r="J59" i="3"/>
  <c r="I59" i="3"/>
  <c r="H59" i="3"/>
  <c r="K58" i="3"/>
  <c r="J58" i="3"/>
  <c r="I58" i="3"/>
  <c r="H58" i="3"/>
  <c r="K57" i="3"/>
  <c r="J57" i="3"/>
  <c r="I57" i="3"/>
  <c r="H57" i="3"/>
  <c r="K56" i="3"/>
  <c r="J56" i="3"/>
  <c r="I56" i="3"/>
  <c r="H56" i="3"/>
  <c r="K55" i="3"/>
  <c r="J55" i="3"/>
  <c r="I55" i="3"/>
  <c r="H55" i="3"/>
  <c r="K54" i="3"/>
  <c r="J54" i="3"/>
  <c r="I54" i="3"/>
  <c r="H54" i="3"/>
  <c r="K53" i="3"/>
  <c r="J53" i="3"/>
  <c r="I53" i="3"/>
  <c r="H53" i="3"/>
  <c r="K52" i="3"/>
  <c r="J52" i="3"/>
  <c r="I52" i="3"/>
  <c r="H52" i="3"/>
  <c r="K51" i="3"/>
  <c r="J51" i="3"/>
  <c r="I51" i="3"/>
  <c r="H51" i="3"/>
  <c r="K50" i="3"/>
  <c r="J50" i="3"/>
  <c r="I50" i="3"/>
  <c r="H50" i="3"/>
  <c r="K49" i="3"/>
  <c r="J49" i="3"/>
  <c r="I49" i="3"/>
  <c r="H49" i="3"/>
  <c r="K48" i="3"/>
  <c r="J48" i="3"/>
  <c r="I48" i="3"/>
  <c r="H48" i="3"/>
  <c r="K47" i="3"/>
  <c r="J47" i="3"/>
  <c r="I47" i="3"/>
  <c r="H47" i="3"/>
  <c r="K46" i="3"/>
  <c r="J46" i="3"/>
  <c r="I46" i="3"/>
  <c r="H46" i="3"/>
  <c r="K45" i="3"/>
  <c r="J45" i="3"/>
  <c r="I45" i="3"/>
  <c r="H45" i="3"/>
  <c r="K44" i="3"/>
  <c r="J44" i="3"/>
  <c r="I44" i="3"/>
  <c r="H44" i="3"/>
  <c r="K43" i="3"/>
  <c r="J43" i="3"/>
  <c r="I43" i="3"/>
  <c r="H43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K38" i="3"/>
  <c r="J38" i="3"/>
  <c r="I38" i="3"/>
  <c r="H38" i="3"/>
  <c r="K37" i="3"/>
  <c r="J37" i="3"/>
  <c r="I37" i="3"/>
  <c r="H37" i="3"/>
  <c r="K36" i="3"/>
  <c r="J36" i="3"/>
  <c r="I36" i="3"/>
  <c r="H36" i="3"/>
  <c r="K35" i="3"/>
  <c r="J35" i="3"/>
  <c r="I35" i="3"/>
  <c r="H35" i="3"/>
  <c r="K34" i="3"/>
  <c r="J34" i="3"/>
  <c r="I34" i="3"/>
  <c r="H34" i="3"/>
  <c r="K33" i="3"/>
  <c r="J33" i="3"/>
  <c r="I33" i="3"/>
  <c r="H33" i="3"/>
  <c r="K32" i="3"/>
  <c r="J32" i="3"/>
  <c r="I32" i="3"/>
  <c r="H32" i="3"/>
  <c r="K31" i="3"/>
  <c r="J31" i="3"/>
  <c r="I31" i="3"/>
  <c r="H31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K3" i="3"/>
  <c r="J3" i="3"/>
  <c r="I3" i="3"/>
  <c r="H3" i="3"/>
  <c r="K2" i="3"/>
  <c r="J2" i="3"/>
  <c r="I2" i="3"/>
  <c r="H2" i="3"/>
  <c r="V2" i="2" a="1"/>
  <c r="V2" i="2" s="1"/>
  <c r="T5" i="2"/>
  <c r="S5" i="2"/>
  <c r="R5" i="2"/>
  <c r="Q5" i="2"/>
  <c r="T4" i="2"/>
  <c r="S4" i="2"/>
  <c r="R4" i="2"/>
  <c r="Q4" i="2"/>
  <c r="T3" i="2"/>
  <c r="S3" i="2"/>
  <c r="R3" i="2"/>
  <c r="Q3" i="2"/>
  <c r="T2" i="2"/>
  <c r="S2" i="2"/>
  <c r="R2" i="2"/>
  <c r="Q2" i="2"/>
  <c r="H3" i="2"/>
  <c r="I3" i="2"/>
  <c r="J3" i="2"/>
  <c r="K3" i="2"/>
  <c r="H4" i="2"/>
  <c r="I4" i="2"/>
  <c r="J4" i="2"/>
  <c r="K4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H62" i="2"/>
  <c r="I62" i="2"/>
  <c r="J62" i="2"/>
  <c r="K62" i="2"/>
  <c r="H63" i="2"/>
  <c r="I63" i="2"/>
  <c r="J63" i="2"/>
  <c r="K63" i="2"/>
  <c r="H64" i="2"/>
  <c r="I64" i="2"/>
  <c r="J64" i="2"/>
  <c r="K64" i="2"/>
  <c r="H65" i="2"/>
  <c r="I65" i="2"/>
  <c r="J65" i="2"/>
  <c r="K65" i="2"/>
  <c r="H66" i="2"/>
  <c r="I66" i="2"/>
  <c r="J66" i="2"/>
  <c r="K66" i="2"/>
  <c r="H67" i="2"/>
  <c r="I67" i="2"/>
  <c r="J67" i="2"/>
  <c r="K67" i="2"/>
  <c r="H68" i="2"/>
  <c r="I68" i="2"/>
  <c r="J68" i="2"/>
  <c r="K68" i="2"/>
  <c r="H69" i="2"/>
  <c r="I69" i="2"/>
  <c r="J69" i="2"/>
  <c r="K69" i="2"/>
  <c r="H70" i="2"/>
  <c r="I70" i="2"/>
  <c r="J70" i="2"/>
  <c r="K70" i="2"/>
  <c r="H71" i="2"/>
  <c r="I71" i="2"/>
  <c r="J71" i="2"/>
  <c r="K71" i="2"/>
  <c r="H72" i="2"/>
  <c r="I72" i="2"/>
  <c r="J72" i="2"/>
  <c r="K72" i="2"/>
  <c r="H73" i="2"/>
  <c r="I73" i="2"/>
  <c r="J73" i="2"/>
  <c r="K73" i="2"/>
  <c r="H74" i="2"/>
  <c r="I74" i="2"/>
  <c r="J74" i="2"/>
  <c r="K74" i="2"/>
  <c r="H75" i="2"/>
  <c r="I75" i="2"/>
  <c r="J75" i="2"/>
  <c r="K75" i="2"/>
  <c r="H76" i="2"/>
  <c r="I76" i="2"/>
  <c r="J76" i="2"/>
  <c r="K76" i="2"/>
  <c r="H77" i="2"/>
  <c r="I77" i="2"/>
  <c r="J77" i="2"/>
  <c r="K77" i="2"/>
  <c r="H78" i="2"/>
  <c r="I78" i="2"/>
  <c r="J78" i="2"/>
  <c r="K78" i="2"/>
  <c r="H79" i="2"/>
  <c r="I79" i="2"/>
  <c r="J79" i="2"/>
  <c r="K79" i="2"/>
  <c r="H80" i="2"/>
  <c r="I80" i="2"/>
  <c r="J80" i="2"/>
  <c r="K80" i="2"/>
  <c r="H81" i="2"/>
  <c r="I81" i="2"/>
  <c r="J81" i="2"/>
  <c r="K81" i="2"/>
  <c r="H82" i="2"/>
  <c r="I82" i="2"/>
  <c r="J82" i="2"/>
  <c r="K82" i="2"/>
  <c r="H83" i="2"/>
  <c r="I83" i="2"/>
  <c r="J83" i="2"/>
  <c r="K83" i="2"/>
  <c r="H84" i="2"/>
  <c r="I84" i="2"/>
  <c r="J84" i="2"/>
  <c r="K84" i="2"/>
  <c r="H85" i="2"/>
  <c r="I85" i="2"/>
  <c r="J85" i="2"/>
  <c r="K85" i="2"/>
  <c r="H86" i="2"/>
  <c r="I86" i="2"/>
  <c r="J86" i="2"/>
  <c r="K86" i="2"/>
  <c r="H87" i="2"/>
  <c r="I87" i="2"/>
  <c r="J87" i="2"/>
  <c r="K87" i="2"/>
  <c r="H88" i="2"/>
  <c r="I88" i="2"/>
  <c r="J88" i="2"/>
  <c r="K88" i="2"/>
  <c r="H89" i="2"/>
  <c r="I89" i="2"/>
  <c r="J89" i="2"/>
  <c r="K89" i="2"/>
  <c r="H90" i="2"/>
  <c r="I90" i="2"/>
  <c r="J90" i="2"/>
  <c r="K90" i="2"/>
  <c r="H91" i="2"/>
  <c r="I91" i="2"/>
  <c r="J91" i="2"/>
  <c r="K91" i="2"/>
  <c r="H92" i="2"/>
  <c r="I92" i="2"/>
  <c r="J92" i="2"/>
  <c r="K92" i="2"/>
  <c r="H93" i="2"/>
  <c r="I93" i="2"/>
  <c r="J93" i="2"/>
  <c r="K93" i="2"/>
  <c r="H94" i="2"/>
  <c r="I94" i="2"/>
  <c r="J94" i="2"/>
  <c r="K94" i="2"/>
  <c r="H95" i="2"/>
  <c r="I95" i="2"/>
  <c r="J95" i="2"/>
  <c r="K95" i="2"/>
  <c r="H96" i="2"/>
  <c r="I96" i="2"/>
  <c r="J96" i="2"/>
  <c r="K96" i="2"/>
  <c r="H97" i="2"/>
  <c r="I97" i="2"/>
  <c r="J97" i="2"/>
  <c r="K97" i="2"/>
  <c r="H98" i="2"/>
  <c r="I98" i="2"/>
  <c r="J98" i="2"/>
  <c r="K98" i="2"/>
  <c r="H99" i="2"/>
  <c r="I99" i="2"/>
  <c r="J99" i="2"/>
  <c r="K99" i="2"/>
  <c r="H100" i="2"/>
  <c r="I100" i="2"/>
  <c r="J100" i="2"/>
  <c r="K100" i="2"/>
  <c r="H101" i="2"/>
  <c r="I101" i="2"/>
  <c r="J101" i="2"/>
  <c r="K101" i="2"/>
  <c r="H102" i="2"/>
  <c r="I102" i="2"/>
  <c r="J102" i="2"/>
  <c r="K102" i="2"/>
  <c r="H103" i="2"/>
  <c r="I103" i="2"/>
  <c r="J103" i="2"/>
  <c r="K103" i="2"/>
  <c r="H104" i="2"/>
  <c r="I104" i="2"/>
  <c r="J104" i="2"/>
  <c r="K104" i="2"/>
  <c r="H105" i="2"/>
  <c r="I105" i="2"/>
  <c r="J105" i="2"/>
  <c r="K105" i="2"/>
  <c r="H106" i="2"/>
  <c r="I106" i="2"/>
  <c r="J106" i="2"/>
  <c r="K106" i="2"/>
  <c r="H107" i="2"/>
  <c r="I107" i="2"/>
  <c r="J107" i="2"/>
  <c r="K107" i="2"/>
  <c r="H108" i="2"/>
  <c r="I108" i="2"/>
  <c r="J108" i="2"/>
  <c r="K108" i="2"/>
  <c r="H109" i="2"/>
  <c r="I109" i="2"/>
  <c r="J109" i="2"/>
  <c r="K109" i="2"/>
  <c r="H110" i="2"/>
  <c r="I110" i="2"/>
  <c r="J110" i="2"/>
  <c r="K110" i="2"/>
  <c r="H111" i="2"/>
  <c r="I111" i="2"/>
  <c r="J111" i="2"/>
  <c r="K111" i="2"/>
  <c r="H112" i="2"/>
  <c r="I112" i="2"/>
  <c r="J112" i="2"/>
  <c r="K112" i="2"/>
  <c r="H113" i="2"/>
  <c r="I113" i="2"/>
  <c r="J113" i="2"/>
  <c r="K113" i="2"/>
  <c r="H114" i="2"/>
  <c r="I114" i="2"/>
  <c r="J114" i="2"/>
  <c r="K114" i="2"/>
  <c r="H115" i="2"/>
  <c r="I115" i="2"/>
  <c r="J115" i="2"/>
  <c r="K115" i="2"/>
  <c r="H116" i="2"/>
  <c r="I116" i="2"/>
  <c r="J116" i="2"/>
  <c r="K116" i="2"/>
  <c r="H117" i="2"/>
  <c r="I117" i="2"/>
  <c r="J117" i="2"/>
  <c r="K117" i="2"/>
  <c r="H118" i="2"/>
  <c r="I118" i="2"/>
  <c r="J118" i="2"/>
  <c r="K118" i="2"/>
  <c r="H119" i="2"/>
  <c r="I119" i="2"/>
  <c r="J119" i="2"/>
  <c r="K119" i="2"/>
  <c r="H120" i="2"/>
  <c r="I120" i="2"/>
  <c r="J120" i="2"/>
  <c r="K120" i="2"/>
  <c r="H121" i="2"/>
  <c r="I121" i="2"/>
  <c r="J121" i="2"/>
  <c r="K121" i="2"/>
  <c r="H122" i="2"/>
  <c r="I122" i="2"/>
  <c r="J122" i="2"/>
  <c r="K122" i="2"/>
  <c r="H123" i="2"/>
  <c r="I123" i="2"/>
  <c r="J123" i="2"/>
  <c r="K123" i="2"/>
  <c r="H124" i="2"/>
  <c r="I124" i="2"/>
  <c r="J124" i="2"/>
  <c r="K124" i="2"/>
  <c r="H125" i="2"/>
  <c r="I125" i="2"/>
  <c r="J125" i="2"/>
  <c r="K125" i="2"/>
  <c r="H126" i="2"/>
  <c r="I126" i="2"/>
  <c r="J126" i="2"/>
  <c r="K126" i="2"/>
  <c r="H127" i="2"/>
  <c r="I127" i="2"/>
  <c r="J127" i="2"/>
  <c r="K127" i="2"/>
  <c r="H128" i="2"/>
  <c r="I128" i="2"/>
  <c r="J128" i="2"/>
  <c r="K128" i="2"/>
  <c r="H129" i="2"/>
  <c r="I129" i="2"/>
  <c r="J129" i="2"/>
  <c r="K129" i="2"/>
  <c r="H130" i="2"/>
  <c r="I130" i="2"/>
  <c r="J130" i="2"/>
  <c r="K130" i="2"/>
  <c r="H131" i="2"/>
  <c r="I131" i="2"/>
  <c r="J131" i="2"/>
  <c r="K131" i="2"/>
  <c r="H132" i="2"/>
  <c r="I132" i="2"/>
  <c r="J132" i="2"/>
  <c r="K132" i="2"/>
  <c r="H133" i="2"/>
  <c r="I133" i="2"/>
  <c r="J133" i="2"/>
  <c r="K133" i="2"/>
  <c r="H134" i="2"/>
  <c r="I134" i="2"/>
  <c r="J134" i="2"/>
  <c r="K134" i="2"/>
  <c r="H135" i="2"/>
  <c r="I135" i="2"/>
  <c r="J135" i="2"/>
  <c r="K135" i="2"/>
  <c r="H136" i="2"/>
  <c r="I136" i="2"/>
  <c r="J136" i="2"/>
  <c r="K136" i="2"/>
  <c r="H137" i="2"/>
  <c r="I137" i="2"/>
  <c r="J137" i="2"/>
  <c r="K137" i="2"/>
  <c r="H138" i="2"/>
  <c r="I138" i="2"/>
  <c r="J138" i="2"/>
  <c r="K138" i="2"/>
  <c r="H139" i="2"/>
  <c r="I139" i="2"/>
  <c r="J139" i="2"/>
  <c r="K139" i="2"/>
  <c r="H140" i="2"/>
  <c r="I140" i="2"/>
  <c r="J140" i="2"/>
  <c r="K140" i="2"/>
  <c r="H141" i="2"/>
  <c r="I141" i="2"/>
  <c r="J141" i="2"/>
  <c r="K141" i="2"/>
  <c r="H142" i="2"/>
  <c r="I142" i="2"/>
  <c r="J142" i="2"/>
  <c r="K142" i="2"/>
  <c r="H143" i="2"/>
  <c r="I143" i="2"/>
  <c r="J143" i="2"/>
  <c r="K143" i="2"/>
  <c r="H144" i="2"/>
  <c r="I144" i="2"/>
  <c r="J144" i="2"/>
  <c r="K144" i="2"/>
  <c r="H145" i="2"/>
  <c r="I145" i="2"/>
  <c r="J145" i="2"/>
  <c r="K145" i="2"/>
  <c r="H146" i="2"/>
  <c r="I146" i="2"/>
  <c r="J146" i="2"/>
  <c r="K146" i="2"/>
  <c r="H147" i="2"/>
  <c r="I147" i="2"/>
  <c r="J147" i="2"/>
  <c r="K147" i="2"/>
  <c r="H148" i="2"/>
  <c r="I148" i="2"/>
  <c r="J148" i="2"/>
  <c r="K148" i="2"/>
  <c r="H149" i="2"/>
  <c r="I149" i="2"/>
  <c r="J149" i="2"/>
  <c r="K149" i="2"/>
  <c r="H150" i="2"/>
  <c r="I150" i="2"/>
  <c r="J150" i="2"/>
  <c r="K150" i="2"/>
  <c r="H151" i="2"/>
  <c r="I151" i="2"/>
  <c r="J151" i="2"/>
  <c r="K151" i="2"/>
  <c r="H152" i="2"/>
  <c r="I152" i="2"/>
  <c r="J152" i="2"/>
  <c r="K152" i="2"/>
  <c r="H153" i="2"/>
  <c r="I153" i="2"/>
  <c r="J153" i="2"/>
  <c r="K153" i="2"/>
  <c r="H154" i="2"/>
  <c r="I154" i="2"/>
  <c r="J154" i="2"/>
  <c r="K154" i="2"/>
  <c r="H155" i="2"/>
  <c r="I155" i="2"/>
  <c r="J155" i="2"/>
  <c r="K155" i="2"/>
  <c r="H156" i="2"/>
  <c r="I156" i="2"/>
  <c r="J156" i="2"/>
  <c r="K156" i="2"/>
  <c r="H157" i="2"/>
  <c r="I157" i="2"/>
  <c r="J157" i="2"/>
  <c r="K157" i="2"/>
  <c r="H158" i="2"/>
  <c r="I158" i="2"/>
  <c r="J158" i="2"/>
  <c r="K158" i="2"/>
  <c r="H159" i="2"/>
  <c r="I159" i="2"/>
  <c r="J159" i="2"/>
  <c r="K159" i="2"/>
  <c r="H160" i="2"/>
  <c r="I160" i="2"/>
  <c r="J160" i="2"/>
  <c r="K160" i="2"/>
  <c r="H161" i="2"/>
  <c r="I161" i="2"/>
  <c r="J161" i="2"/>
  <c r="K161" i="2"/>
  <c r="H162" i="2"/>
  <c r="I162" i="2"/>
  <c r="J162" i="2"/>
  <c r="K162" i="2"/>
  <c r="H163" i="2"/>
  <c r="I163" i="2"/>
  <c r="J163" i="2"/>
  <c r="K163" i="2"/>
  <c r="H164" i="2"/>
  <c r="I164" i="2"/>
  <c r="J164" i="2"/>
  <c r="K164" i="2"/>
  <c r="H165" i="2"/>
  <c r="I165" i="2"/>
  <c r="J165" i="2"/>
  <c r="K165" i="2"/>
  <c r="H166" i="2"/>
  <c r="I166" i="2"/>
  <c r="J166" i="2"/>
  <c r="K166" i="2"/>
  <c r="H167" i="2"/>
  <c r="I167" i="2"/>
  <c r="J167" i="2"/>
  <c r="K167" i="2"/>
  <c r="H168" i="2"/>
  <c r="I168" i="2"/>
  <c r="J168" i="2"/>
  <c r="K168" i="2"/>
  <c r="H169" i="2"/>
  <c r="I169" i="2"/>
  <c r="J169" i="2"/>
  <c r="K169" i="2"/>
  <c r="H170" i="2"/>
  <c r="I170" i="2"/>
  <c r="J170" i="2"/>
  <c r="K170" i="2"/>
  <c r="H171" i="2"/>
  <c r="I171" i="2"/>
  <c r="J171" i="2"/>
  <c r="K171" i="2"/>
  <c r="H172" i="2"/>
  <c r="I172" i="2"/>
  <c r="J172" i="2"/>
  <c r="K172" i="2"/>
  <c r="H173" i="2"/>
  <c r="I173" i="2"/>
  <c r="J173" i="2"/>
  <c r="K173" i="2"/>
  <c r="H174" i="2"/>
  <c r="I174" i="2"/>
  <c r="J174" i="2"/>
  <c r="K174" i="2"/>
  <c r="H175" i="2"/>
  <c r="I175" i="2"/>
  <c r="J175" i="2"/>
  <c r="K175" i="2"/>
  <c r="H176" i="2"/>
  <c r="I176" i="2"/>
  <c r="J176" i="2"/>
  <c r="K176" i="2"/>
  <c r="H177" i="2"/>
  <c r="I177" i="2"/>
  <c r="J177" i="2"/>
  <c r="K177" i="2"/>
  <c r="H178" i="2"/>
  <c r="I178" i="2"/>
  <c r="J178" i="2"/>
  <c r="K178" i="2"/>
  <c r="H179" i="2"/>
  <c r="I179" i="2"/>
  <c r="J179" i="2"/>
  <c r="K179" i="2"/>
  <c r="H180" i="2"/>
  <c r="I180" i="2"/>
  <c r="J180" i="2"/>
  <c r="K180" i="2"/>
  <c r="H181" i="2"/>
  <c r="I181" i="2"/>
  <c r="J181" i="2"/>
  <c r="K181" i="2"/>
  <c r="H182" i="2"/>
  <c r="I182" i="2"/>
  <c r="J182" i="2"/>
  <c r="K182" i="2"/>
  <c r="H183" i="2"/>
  <c r="I183" i="2"/>
  <c r="J183" i="2"/>
  <c r="K183" i="2"/>
  <c r="H184" i="2"/>
  <c r="I184" i="2"/>
  <c r="J184" i="2"/>
  <c r="K184" i="2"/>
  <c r="H185" i="2"/>
  <c r="I185" i="2"/>
  <c r="J185" i="2"/>
  <c r="K185" i="2"/>
  <c r="H186" i="2"/>
  <c r="I186" i="2"/>
  <c r="J186" i="2"/>
  <c r="K186" i="2"/>
  <c r="H187" i="2"/>
  <c r="I187" i="2"/>
  <c r="J187" i="2"/>
  <c r="K187" i="2"/>
  <c r="H188" i="2"/>
  <c r="I188" i="2"/>
  <c r="J188" i="2"/>
  <c r="K188" i="2"/>
  <c r="H189" i="2"/>
  <c r="I189" i="2"/>
  <c r="J189" i="2"/>
  <c r="K189" i="2"/>
  <c r="H190" i="2"/>
  <c r="I190" i="2"/>
  <c r="J190" i="2"/>
  <c r="K190" i="2"/>
  <c r="H191" i="2"/>
  <c r="I191" i="2"/>
  <c r="J191" i="2"/>
  <c r="K191" i="2"/>
  <c r="H192" i="2"/>
  <c r="I192" i="2"/>
  <c r="J192" i="2"/>
  <c r="K192" i="2"/>
  <c r="H193" i="2"/>
  <c r="I193" i="2"/>
  <c r="J193" i="2"/>
  <c r="K193" i="2"/>
  <c r="H194" i="2"/>
  <c r="I194" i="2"/>
  <c r="J194" i="2"/>
  <c r="K194" i="2"/>
  <c r="H195" i="2"/>
  <c r="I195" i="2"/>
  <c r="J195" i="2"/>
  <c r="K195" i="2"/>
  <c r="H196" i="2"/>
  <c r="I196" i="2"/>
  <c r="J196" i="2"/>
  <c r="K196" i="2"/>
  <c r="H197" i="2"/>
  <c r="I197" i="2"/>
  <c r="J197" i="2"/>
  <c r="K197" i="2"/>
  <c r="H198" i="2"/>
  <c r="I198" i="2"/>
  <c r="J198" i="2"/>
  <c r="K198" i="2"/>
  <c r="H199" i="2"/>
  <c r="I199" i="2"/>
  <c r="J199" i="2"/>
  <c r="K199" i="2"/>
  <c r="H200" i="2"/>
  <c r="I200" i="2"/>
  <c r="J200" i="2"/>
  <c r="K200" i="2"/>
  <c r="H201" i="2"/>
  <c r="I201" i="2"/>
  <c r="J201" i="2"/>
  <c r="K201" i="2"/>
  <c r="H202" i="2"/>
  <c r="I202" i="2"/>
  <c r="J202" i="2"/>
  <c r="K202" i="2"/>
  <c r="H203" i="2"/>
  <c r="I203" i="2"/>
  <c r="J203" i="2"/>
  <c r="K203" i="2"/>
  <c r="H204" i="2"/>
  <c r="I204" i="2"/>
  <c r="J204" i="2"/>
  <c r="K204" i="2"/>
  <c r="H205" i="2"/>
  <c r="I205" i="2"/>
  <c r="J205" i="2"/>
  <c r="K205" i="2"/>
  <c r="H206" i="2"/>
  <c r="I206" i="2"/>
  <c r="J206" i="2"/>
  <c r="K206" i="2"/>
  <c r="H207" i="2"/>
  <c r="I207" i="2"/>
  <c r="J207" i="2"/>
  <c r="K207" i="2"/>
  <c r="H208" i="2"/>
  <c r="I208" i="2"/>
  <c r="J208" i="2"/>
  <c r="K208" i="2"/>
  <c r="H209" i="2"/>
  <c r="I209" i="2"/>
  <c r="J209" i="2"/>
  <c r="K209" i="2"/>
  <c r="H210" i="2"/>
  <c r="I210" i="2"/>
  <c r="J210" i="2"/>
  <c r="K210" i="2"/>
  <c r="H211" i="2"/>
  <c r="I211" i="2"/>
  <c r="J211" i="2"/>
  <c r="K211" i="2"/>
  <c r="H212" i="2"/>
  <c r="I212" i="2"/>
  <c r="J212" i="2"/>
  <c r="K212" i="2"/>
  <c r="H213" i="2"/>
  <c r="I213" i="2"/>
  <c r="J213" i="2"/>
  <c r="K213" i="2"/>
  <c r="H214" i="2"/>
  <c r="I214" i="2"/>
  <c r="J214" i="2"/>
  <c r="K214" i="2"/>
  <c r="H215" i="2"/>
  <c r="I215" i="2"/>
  <c r="J215" i="2"/>
  <c r="K215" i="2"/>
  <c r="H216" i="2"/>
  <c r="I216" i="2"/>
  <c r="J216" i="2"/>
  <c r="K216" i="2"/>
  <c r="H217" i="2"/>
  <c r="I217" i="2"/>
  <c r="J217" i="2"/>
  <c r="K217" i="2"/>
  <c r="H218" i="2"/>
  <c r="I218" i="2"/>
  <c r="J218" i="2"/>
  <c r="K218" i="2"/>
  <c r="H219" i="2"/>
  <c r="I219" i="2"/>
  <c r="J219" i="2"/>
  <c r="K219" i="2"/>
  <c r="H220" i="2"/>
  <c r="I220" i="2"/>
  <c r="J220" i="2"/>
  <c r="K220" i="2"/>
  <c r="H221" i="2"/>
  <c r="I221" i="2"/>
  <c r="J221" i="2"/>
  <c r="K221" i="2"/>
  <c r="H222" i="2"/>
  <c r="I222" i="2"/>
  <c r="J222" i="2"/>
  <c r="K222" i="2"/>
  <c r="H223" i="2"/>
  <c r="I223" i="2"/>
  <c r="J223" i="2"/>
  <c r="K223" i="2"/>
  <c r="H224" i="2"/>
  <c r="I224" i="2"/>
  <c r="J224" i="2"/>
  <c r="K224" i="2"/>
  <c r="H225" i="2"/>
  <c r="I225" i="2"/>
  <c r="J225" i="2"/>
  <c r="K225" i="2"/>
  <c r="H226" i="2"/>
  <c r="I226" i="2"/>
  <c r="J226" i="2"/>
  <c r="K226" i="2"/>
  <c r="H227" i="2"/>
  <c r="I227" i="2"/>
  <c r="J227" i="2"/>
  <c r="K227" i="2"/>
  <c r="H228" i="2"/>
  <c r="I228" i="2"/>
  <c r="J228" i="2"/>
  <c r="K228" i="2"/>
  <c r="H229" i="2"/>
  <c r="I229" i="2"/>
  <c r="J229" i="2"/>
  <c r="K229" i="2"/>
  <c r="H230" i="2"/>
  <c r="I230" i="2"/>
  <c r="J230" i="2"/>
  <c r="K230" i="2"/>
  <c r="H231" i="2"/>
  <c r="I231" i="2"/>
  <c r="J231" i="2"/>
  <c r="K231" i="2"/>
  <c r="H232" i="2"/>
  <c r="I232" i="2"/>
  <c r="J232" i="2"/>
  <c r="K232" i="2"/>
  <c r="H233" i="2"/>
  <c r="I233" i="2"/>
  <c r="J233" i="2"/>
  <c r="K233" i="2"/>
  <c r="H234" i="2"/>
  <c r="I234" i="2"/>
  <c r="J234" i="2"/>
  <c r="K234" i="2"/>
  <c r="H235" i="2"/>
  <c r="I235" i="2"/>
  <c r="J235" i="2"/>
  <c r="K235" i="2"/>
  <c r="H236" i="2"/>
  <c r="I236" i="2"/>
  <c r="J236" i="2"/>
  <c r="K236" i="2"/>
  <c r="H237" i="2"/>
  <c r="I237" i="2"/>
  <c r="J237" i="2"/>
  <c r="K237" i="2"/>
  <c r="H238" i="2"/>
  <c r="I238" i="2"/>
  <c r="J238" i="2"/>
  <c r="K238" i="2"/>
  <c r="H239" i="2"/>
  <c r="I239" i="2"/>
  <c r="J239" i="2"/>
  <c r="K239" i="2"/>
  <c r="H240" i="2"/>
  <c r="I240" i="2"/>
  <c r="J240" i="2"/>
  <c r="K240" i="2"/>
  <c r="H241" i="2"/>
  <c r="I241" i="2"/>
  <c r="J241" i="2"/>
  <c r="K241" i="2"/>
  <c r="H242" i="2"/>
  <c r="I242" i="2"/>
  <c r="J242" i="2"/>
  <c r="K242" i="2"/>
  <c r="H243" i="2"/>
  <c r="I243" i="2"/>
  <c r="J243" i="2"/>
  <c r="K243" i="2"/>
  <c r="H244" i="2"/>
  <c r="I244" i="2"/>
  <c r="J244" i="2"/>
  <c r="K244" i="2"/>
  <c r="H245" i="2"/>
  <c r="I245" i="2"/>
  <c r="J245" i="2"/>
  <c r="K245" i="2"/>
  <c r="H246" i="2"/>
  <c r="I246" i="2"/>
  <c r="J246" i="2"/>
  <c r="K246" i="2"/>
  <c r="H247" i="2"/>
  <c r="I247" i="2"/>
  <c r="J247" i="2"/>
  <c r="K247" i="2"/>
  <c r="H248" i="2"/>
  <c r="I248" i="2"/>
  <c r="J248" i="2"/>
  <c r="K248" i="2"/>
  <c r="H249" i="2"/>
  <c r="I249" i="2"/>
  <c r="J249" i="2"/>
  <c r="K249" i="2"/>
  <c r="H250" i="2"/>
  <c r="I250" i="2"/>
  <c r="J250" i="2"/>
  <c r="K250" i="2"/>
  <c r="H251" i="2"/>
  <c r="I251" i="2"/>
  <c r="J251" i="2"/>
  <c r="K251" i="2"/>
  <c r="H252" i="2"/>
  <c r="I252" i="2"/>
  <c r="J252" i="2"/>
  <c r="K252" i="2"/>
  <c r="H253" i="2"/>
  <c r="I253" i="2"/>
  <c r="J253" i="2"/>
  <c r="K253" i="2"/>
  <c r="H254" i="2"/>
  <c r="I254" i="2"/>
  <c r="J254" i="2"/>
  <c r="K254" i="2"/>
  <c r="H255" i="2"/>
  <c r="I255" i="2"/>
  <c r="J255" i="2"/>
  <c r="K255" i="2"/>
  <c r="H256" i="2"/>
  <c r="I256" i="2"/>
  <c r="J256" i="2"/>
  <c r="K256" i="2"/>
  <c r="H257" i="2"/>
  <c r="I257" i="2"/>
  <c r="J257" i="2"/>
  <c r="K257" i="2"/>
  <c r="H258" i="2"/>
  <c r="I258" i="2"/>
  <c r="J258" i="2"/>
  <c r="K258" i="2"/>
  <c r="H259" i="2"/>
  <c r="I259" i="2"/>
  <c r="J259" i="2"/>
  <c r="K259" i="2"/>
  <c r="H260" i="2"/>
  <c r="I260" i="2"/>
  <c r="J260" i="2"/>
  <c r="K260" i="2"/>
  <c r="H261" i="2"/>
  <c r="I261" i="2"/>
  <c r="J261" i="2"/>
  <c r="K261" i="2"/>
  <c r="H262" i="2"/>
  <c r="I262" i="2"/>
  <c r="J262" i="2"/>
  <c r="K262" i="2"/>
  <c r="H263" i="2"/>
  <c r="I263" i="2"/>
  <c r="J263" i="2"/>
  <c r="K263" i="2"/>
  <c r="H264" i="2"/>
  <c r="I264" i="2"/>
  <c r="J264" i="2"/>
  <c r="K264" i="2"/>
  <c r="H265" i="2"/>
  <c r="I265" i="2"/>
  <c r="J265" i="2"/>
  <c r="K265" i="2"/>
  <c r="H266" i="2"/>
  <c r="I266" i="2"/>
  <c r="J266" i="2"/>
  <c r="K266" i="2"/>
  <c r="H267" i="2"/>
  <c r="I267" i="2"/>
  <c r="J267" i="2"/>
  <c r="K267" i="2"/>
  <c r="H268" i="2"/>
  <c r="I268" i="2"/>
  <c r="J268" i="2"/>
  <c r="K268" i="2"/>
  <c r="H269" i="2"/>
  <c r="I269" i="2"/>
  <c r="J269" i="2"/>
  <c r="K269" i="2"/>
  <c r="H270" i="2"/>
  <c r="I270" i="2"/>
  <c r="J270" i="2"/>
  <c r="K270" i="2"/>
  <c r="H271" i="2"/>
  <c r="I271" i="2"/>
  <c r="J271" i="2"/>
  <c r="K271" i="2"/>
  <c r="H272" i="2"/>
  <c r="I272" i="2"/>
  <c r="J272" i="2"/>
  <c r="K272" i="2"/>
  <c r="H273" i="2"/>
  <c r="I273" i="2"/>
  <c r="J273" i="2"/>
  <c r="K273" i="2"/>
  <c r="H274" i="2"/>
  <c r="I274" i="2"/>
  <c r="J274" i="2"/>
  <c r="K274" i="2"/>
  <c r="H275" i="2"/>
  <c r="I275" i="2"/>
  <c r="J275" i="2"/>
  <c r="K275" i="2"/>
  <c r="H276" i="2"/>
  <c r="I276" i="2"/>
  <c r="J276" i="2"/>
  <c r="K276" i="2"/>
  <c r="H277" i="2"/>
  <c r="I277" i="2"/>
  <c r="J277" i="2"/>
  <c r="K277" i="2"/>
  <c r="H278" i="2"/>
  <c r="I278" i="2"/>
  <c r="J278" i="2"/>
  <c r="K278" i="2"/>
  <c r="H279" i="2"/>
  <c r="I279" i="2"/>
  <c r="J279" i="2"/>
  <c r="K279" i="2"/>
  <c r="H280" i="2"/>
  <c r="I280" i="2"/>
  <c r="J280" i="2"/>
  <c r="K280" i="2"/>
  <c r="H281" i="2"/>
  <c r="I281" i="2"/>
  <c r="J281" i="2"/>
  <c r="K281" i="2"/>
  <c r="H282" i="2"/>
  <c r="I282" i="2"/>
  <c r="J282" i="2"/>
  <c r="K282" i="2"/>
  <c r="H283" i="2"/>
  <c r="I283" i="2"/>
  <c r="J283" i="2"/>
  <c r="K283" i="2"/>
  <c r="H284" i="2"/>
  <c r="I284" i="2"/>
  <c r="J284" i="2"/>
  <c r="K284" i="2"/>
  <c r="H285" i="2"/>
  <c r="I285" i="2"/>
  <c r="J285" i="2"/>
  <c r="K285" i="2"/>
  <c r="H286" i="2"/>
  <c r="I286" i="2"/>
  <c r="J286" i="2"/>
  <c r="K286" i="2"/>
  <c r="H287" i="2"/>
  <c r="I287" i="2"/>
  <c r="J287" i="2"/>
  <c r="K287" i="2"/>
  <c r="H288" i="2"/>
  <c r="I288" i="2"/>
  <c r="J288" i="2"/>
  <c r="K288" i="2"/>
  <c r="H289" i="2"/>
  <c r="I289" i="2"/>
  <c r="J289" i="2"/>
  <c r="K289" i="2"/>
  <c r="H290" i="2"/>
  <c r="I290" i="2"/>
  <c r="J290" i="2"/>
  <c r="K290" i="2"/>
  <c r="H291" i="2"/>
  <c r="I291" i="2"/>
  <c r="J291" i="2"/>
  <c r="K291" i="2"/>
  <c r="H292" i="2"/>
  <c r="I292" i="2"/>
  <c r="J292" i="2"/>
  <c r="K292" i="2"/>
  <c r="H293" i="2"/>
  <c r="I293" i="2"/>
  <c r="J293" i="2"/>
  <c r="K293" i="2"/>
  <c r="H294" i="2"/>
  <c r="I294" i="2"/>
  <c r="J294" i="2"/>
  <c r="K294" i="2"/>
  <c r="H295" i="2"/>
  <c r="I295" i="2"/>
  <c r="J295" i="2"/>
  <c r="K295" i="2"/>
  <c r="H296" i="2"/>
  <c r="I296" i="2"/>
  <c r="J296" i="2"/>
  <c r="K296" i="2"/>
  <c r="H297" i="2"/>
  <c r="I297" i="2"/>
  <c r="J297" i="2"/>
  <c r="K297" i="2"/>
  <c r="H298" i="2"/>
  <c r="I298" i="2"/>
  <c r="J298" i="2"/>
  <c r="K298" i="2"/>
  <c r="H299" i="2"/>
  <c r="I299" i="2"/>
  <c r="J299" i="2"/>
  <c r="K299" i="2"/>
  <c r="H300" i="2"/>
  <c r="I300" i="2"/>
  <c r="J300" i="2"/>
  <c r="K300" i="2"/>
  <c r="H301" i="2"/>
  <c r="I301" i="2"/>
  <c r="J301" i="2"/>
  <c r="K301" i="2"/>
  <c r="H302" i="2"/>
  <c r="I302" i="2"/>
  <c r="J302" i="2"/>
  <c r="K302" i="2"/>
  <c r="H303" i="2"/>
  <c r="I303" i="2"/>
  <c r="J303" i="2"/>
  <c r="K303" i="2"/>
  <c r="H304" i="2"/>
  <c r="I304" i="2"/>
  <c r="J304" i="2"/>
  <c r="K304" i="2"/>
  <c r="H305" i="2"/>
  <c r="I305" i="2"/>
  <c r="J305" i="2"/>
  <c r="K305" i="2"/>
  <c r="H306" i="2"/>
  <c r="I306" i="2"/>
  <c r="J306" i="2"/>
  <c r="K306" i="2"/>
  <c r="H307" i="2"/>
  <c r="I307" i="2"/>
  <c r="J307" i="2"/>
  <c r="K307" i="2"/>
  <c r="H308" i="2"/>
  <c r="I308" i="2"/>
  <c r="J308" i="2"/>
  <c r="K308" i="2"/>
  <c r="H309" i="2"/>
  <c r="I309" i="2"/>
  <c r="J309" i="2"/>
  <c r="K309" i="2"/>
  <c r="H310" i="2"/>
  <c r="I310" i="2"/>
  <c r="J310" i="2"/>
  <c r="K310" i="2"/>
  <c r="H311" i="2"/>
  <c r="I311" i="2"/>
  <c r="J311" i="2"/>
  <c r="K311" i="2"/>
  <c r="H312" i="2"/>
  <c r="I312" i="2"/>
  <c r="J312" i="2"/>
  <c r="K312" i="2"/>
  <c r="H313" i="2"/>
  <c r="I313" i="2"/>
  <c r="J313" i="2"/>
  <c r="K313" i="2"/>
  <c r="H314" i="2"/>
  <c r="I314" i="2"/>
  <c r="J314" i="2"/>
  <c r="K314" i="2"/>
  <c r="H315" i="2"/>
  <c r="I315" i="2"/>
  <c r="J315" i="2"/>
  <c r="K315" i="2"/>
  <c r="H316" i="2"/>
  <c r="I316" i="2"/>
  <c r="J316" i="2"/>
  <c r="K316" i="2"/>
  <c r="H317" i="2"/>
  <c r="I317" i="2"/>
  <c r="J317" i="2"/>
  <c r="K317" i="2"/>
  <c r="H318" i="2"/>
  <c r="I318" i="2"/>
  <c r="J318" i="2"/>
  <c r="K318" i="2"/>
  <c r="H319" i="2"/>
  <c r="I319" i="2"/>
  <c r="J319" i="2"/>
  <c r="K319" i="2"/>
  <c r="H320" i="2"/>
  <c r="I320" i="2"/>
  <c r="J320" i="2"/>
  <c r="K320" i="2"/>
  <c r="H321" i="2"/>
  <c r="I321" i="2"/>
  <c r="J321" i="2"/>
  <c r="K321" i="2"/>
  <c r="H322" i="2"/>
  <c r="I322" i="2"/>
  <c r="J322" i="2"/>
  <c r="K322" i="2"/>
  <c r="H323" i="2"/>
  <c r="I323" i="2"/>
  <c r="J323" i="2"/>
  <c r="K323" i="2"/>
  <c r="H324" i="2"/>
  <c r="I324" i="2"/>
  <c r="J324" i="2"/>
  <c r="K324" i="2"/>
  <c r="H325" i="2"/>
  <c r="I325" i="2"/>
  <c r="J325" i="2"/>
  <c r="K325" i="2"/>
  <c r="H326" i="2"/>
  <c r="I326" i="2"/>
  <c r="J326" i="2"/>
  <c r="K326" i="2"/>
  <c r="H327" i="2"/>
  <c r="I327" i="2"/>
  <c r="J327" i="2"/>
  <c r="K327" i="2"/>
  <c r="H328" i="2"/>
  <c r="I328" i="2"/>
  <c r="J328" i="2"/>
  <c r="K328" i="2"/>
  <c r="H329" i="2"/>
  <c r="I329" i="2"/>
  <c r="J329" i="2"/>
  <c r="K329" i="2"/>
  <c r="H330" i="2"/>
  <c r="I330" i="2"/>
  <c r="J330" i="2"/>
  <c r="K330" i="2"/>
  <c r="H331" i="2"/>
  <c r="I331" i="2"/>
  <c r="J331" i="2"/>
  <c r="K331" i="2"/>
  <c r="H332" i="2"/>
  <c r="I332" i="2"/>
  <c r="J332" i="2"/>
  <c r="K332" i="2"/>
  <c r="H333" i="2"/>
  <c r="I333" i="2"/>
  <c r="J333" i="2"/>
  <c r="K333" i="2"/>
  <c r="H334" i="2"/>
  <c r="I334" i="2"/>
  <c r="J334" i="2"/>
  <c r="K334" i="2"/>
  <c r="H335" i="2"/>
  <c r="I335" i="2"/>
  <c r="J335" i="2"/>
  <c r="K335" i="2"/>
  <c r="H336" i="2"/>
  <c r="I336" i="2"/>
  <c r="J336" i="2"/>
  <c r="K336" i="2"/>
  <c r="H337" i="2"/>
  <c r="I337" i="2"/>
  <c r="J337" i="2"/>
  <c r="K337" i="2"/>
  <c r="H338" i="2"/>
  <c r="I338" i="2"/>
  <c r="J338" i="2"/>
  <c r="K338" i="2"/>
  <c r="H339" i="2"/>
  <c r="I339" i="2"/>
  <c r="J339" i="2"/>
  <c r="K339" i="2"/>
  <c r="H340" i="2"/>
  <c r="I340" i="2"/>
  <c r="J340" i="2"/>
  <c r="K340" i="2"/>
  <c r="H341" i="2"/>
  <c r="I341" i="2"/>
  <c r="J341" i="2"/>
  <c r="K341" i="2"/>
  <c r="H342" i="2"/>
  <c r="I342" i="2"/>
  <c r="J342" i="2"/>
  <c r="K342" i="2"/>
  <c r="H343" i="2"/>
  <c r="I343" i="2"/>
  <c r="J343" i="2"/>
  <c r="K343" i="2"/>
  <c r="H344" i="2"/>
  <c r="I344" i="2"/>
  <c r="J344" i="2"/>
  <c r="K344" i="2"/>
  <c r="H345" i="2"/>
  <c r="I345" i="2"/>
  <c r="J345" i="2"/>
  <c r="K345" i="2"/>
  <c r="H346" i="2"/>
  <c r="I346" i="2"/>
  <c r="J346" i="2"/>
  <c r="K346" i="2"/>
  <c r="H347" i="2"/>
  <c r="I347" i="2"/>
  <c r="J347" i="2"/>
  <c r="K347" i="2"/>
  <c r="H348" i="2"/>
  <c r="I348" i="2"/>
  <c r="J348" i="2"/>
  <c r="K348" i="2"/>
  <c r="H349" i="2"/>
  <c r="I349" i="2"/>
  <c r="J349" i="2"/>
  <c r="K349" i="2"/>
  <c r="H350" i="2"/>
  <c r="I350" i="2"/>
  <c r="J350" i="2"/>
  <c r="K350" i="2"/>
  <c r="H351" i="2"/>
  <c r="I351" i="2"/>
  <c r="J351" i="2"/>
  <c r="K351" i="2"/>
  <c r="H352" i="2"/>
  <c r="I352" i="2"/>
  <c r="J352" i="2"/>
  <c r="K352" i="2"/>
  <c r="H353" i="2"/>
  <c r="I353" i="2"/>
  <c r="J353" i="2"/>
  <c r="K353" i="2"/>
  <c r="H354" i="2"/>
  <c r="I354" i="2"/>
  <c r="J354" i="2"/>
  <c r="K354" i="2"/>
  <c r="H355" i="2"/>
  <c r="I355" i="2"/>
  <c r="J355" i="2"/>
  <c r="K355" i="2"/>
  <c r="H356" i="2"/>
  <c r="I356" i="2"/>
  <c r="J356" i="2"/>
  <c r="K356" i="2"/>
  <c r="H357" i="2"/>
  <c r="I357" i="2"/>
  <c r="J357" i="2"/>
  <c r="K357" i="2"/>
  <c r="H358" i="2"/>
  <c r="I358" i="2"/>
  <c r="J358" i="2"/>
  <c r="K358" i="2"/>
  <c r="H359" i="2"/>
  <c r="I359" i="2"/>
  <c r="J359" i="2"/>
  <c r="K359" i="2"/>
  <c r="H360" i="2"/>
  <c r="I360" i="2"/>
  <c r="J360" i="2"/>
  <c r="K360" i="2"/>
  <c r="H361" i="2"/>
  <c r="I361" i="2"/>
  <c r="J361" i="2"/>
  <c r="K361" i="2"/>
  <c r="H362" i="2"/>
  <c r="I362" i="2"/>
  <c r="J362" i="2"/>
  <c r="K362" i="2"/>
  <c r="H363" i="2"/>
  <c r="I363" i="2"/>
  <c r="J363" i="2"/>
  <c r="K363" i="2"/>
  <c r="H364" i="2"/>
  <c r="I364" i="2"/>
  <c r="J364" i="2"/>
  <c r="K364" i="2"/>
  <c r="H365" i="2"/>
  <c r="I365" i="2"/>
  <c r="J365" i="2"/>
  <c r="K365" i="2"/>
  <c r="H366" i="2"/>
  <c r="I366" i="2"/>
  <c r="J366" i="2"/>
  <c r="K366" i="2"/>
  <c r="H367" i="2"/>
  <c r="I367" i="2"/>
  <c r="J367" i="2"/>
  <c r="K367" i="2"/>
  <c r="H368" i="2"/>
  <c r="I368" i="2"/>
  <c r="J368" i="2"/>
  <c r="K368" i="2"/>
  <c r="H369" i="2"/>
  <c r="I369" i="2"/>
  <c r="J369" i="2"/>
  <c r="K369" i="2"/>
  <c r="H370" i="2"/>
  <c r="I370" i="2"/>
  <c r="J370" i="2"/>
  <c r="K370" i="2"/>
  <c r="H371" i="2"/>
  <c r="I371" i="2"/>
  <c r="J371" i="2"/>
  <c r="K371" i="2"/>
  <c r="H372" i="2"/>
  <c r="I372" i="2"/>
  <c r="J372" i="2"/>
  <c r="K372" i="2"/>
  <c r="H373" i="2"/>
  <c r="I373" i="2"/>
  <c r="J373" i="2"/>
  <c r="K373" i="2"/>
  <c r="H374" i="2"/>
  <c r="I374" i="2"/>
  <c r="J374" i="2"/>
  <c r="K374" i="2"/>
  <c r="H375" i="2"/>
  <c r="I375" i="2"/>
  <c r="J375" i="2"/>
  <c r="K375" i="2"/>
  <c r="H376" i="2"/>
  <c r="I376" i="2"/>
  <c r="J376" i="2"/>
  <c r="K376" i="2"/>
  <c r="H377" i="2"/>
  <c r="I377" i="2"/>
  <c r="J377" i="2"/>
  <c r="K377" i="2"/>
  <c r="H378" i="2"/>
  <c r="I378" i="2"/>
  <c r="J378" i="2"/>
  <c r="K378" i="2"/>
  <c r="H379" i="2"/>
  <c r="I379" i="2"/>
  <c r="J379" i="2"/>
  <c r="K379" i="2"/>
  <c r="H380" i="2"/>
  <c r="I380" i="2"/>
  <c r="J380" i="2"/>
  <c r="K380" i="2"/>
  <c r="H381" i="2"/>
  <c r="I381" i="2"/>
  <c r="J381" i="2"/>
  <c r="K381" i="2"/>
  <c r="H382" i="2"/>
  <c r="I382" i="2"/>
  <c r="J382" i="2"/>
  <c r="K382" i="2"/>
  <c r="H383" i="2"/>
  <c r="I383" i="2"/>
  <c r="J383" i="2"/>
  <c r="K383" i="2"/>
  <c r="H384" i="2"/>
  <c r="I384" i="2"/>
  <c r="J384" i="2"/>
  <c r="K384" i="2"/>
  <c r="H385" i="2"/>
  <c r="I385" i="2"/>
  <c r="J385" i="2"/>
  <c r="K385" i="2"/>
  <c r="H386" i="2"/>
  <c r="I386" i="2"/>
  <c r="J386" i="2"/>
  <c r="K386" i="2"/>
  <c r="H387" i="2"/>
  <c r="I387" i="2"/>
  <c r="J387" i="2"/>
  <c r="K387" i="2"/>
  <c r="H388" i="2"/>
  <c r="I388" i="2"/>
  <c r="J388" i="2"/>
  <c r="K388" i="2"/>
  <c r="H389" i="2"/>
  <c r="I389" i="2"/>
  <c r="J389" i="2"/>
  <c r="K389" i="2"/>
  <c r="H390" i="2"/>
  <c r="I390" i="2"/>
  <c r="J390" i="2"/>
  <c r="K390" i="2"/>
  <c r="H391" i="2"/>
  <c r="I391" i="2"/>
  <c r="J391" i="2"/>
  <c r="K391" i="2"/>
  <c r="H392" i="2"/>
  <c r="I392" i="2"/>
  <c r="J392" i="2"/>
  <c r="K392" i="2"/>
  <c r="H393" i="2"/>
  <c r="I393" i="2"/>
  <c r="J393" i="2"/>
  <c r="K393" i="2"/>
  <c r="H394" i="2"/>
  <c r="I394" i="2"/>
  <c r="J394" i="2"/>
  <c r="K394" i="2"/>
  <c r="H395" i="2"/>
  <c r="I395" i="2"/>
  <c r="J395" i="2"/>
  <c r="K395" i="2"/>
  <c r="H396" i="2"/>
  <c r="I396" i="2"/>
  <c r="J396" i="2"/>
  <c r="K396" i="2"/>
  <c r="H397" i="2"/>
  <c r="I397" i="2"/>
  <c r="J397" i="2"/>
  <c r="K397" i="2"/>
  <c r="H398" i="2"/>
  <c r="I398" i="2"/>
  <c r="J398" i="2"/>
  <c r="K398" i="2"/>
  <c r="H399" i="2"/>
  <c r="I399" i="2"/>
  <c r="J399" i="2"/>
  <c r="K399" i="2"/>
  <c r="H400" i="2"/>
  <c r="I400" i="2"/>
  <c r="J400" i="2"/>
  <c r="K400" i="2"/>
  <c r="H401" i="2"/>
  <c r="I401" i="2"/>
  <c r="J401" i="2"/>
  <c r="K401" i="2"/>
  <c r="H402" i="2"/>
  <c r="I402" i="2"/>
  <c r="J402" i="2"/>
  <c r="K402" i="2"/>
  <c r="H403" i="2"/>
  <c r="I403" i="2"/>
  <c r="J403" i="2"/>
  <c r="K403" i="2"/>
  <c r="H404" i="2"/>
  <c r="I404" i="2"/>
  <c r="J404" i="2"/>
  <c r="K404" i="2"/>
  <c r="H405" i="2"/>
  <c r="I405" i="2"/>
  <c r="J405" i="2"/>
  <c r="K405" i="2"/>
  <c r="H406" i="2"/>
  <c r="I406" i="2"/>
  <c r="J406" i="2"/>
  <c r="K406" i="2"/>
  <c r="H407" i="2"/>
  <c r="I407" i="2"/>
  <c r="J407" i="2"/>
  <c r="K407" i="2"/>
  <c r="H408" i="2"/>
  <c r="I408" i="2"/>
  <c r="J408" i="2"/>
  <c r="K408" i="2"/>
  <c r="H409" i="2"/>
  <c r="I409" i="2"/>
  <c r="J409" i="2"/>
  <c r="K409" i="2"/>
  <c r="H410" i="2"/>
  <c r="I410" i="2"/>
  <c r="J410" i="2"/>
  <c r="K410" i="2"/>
  <c r="H411" i="2"/>
  <c r="I411" i="2"/>
  <c r="J411" i="2"/>
  <c r="K411" i="2"/>
  <c r="H412" i="2"/>
  <c r="I412" i="2"/>
  <c r="J412" i="2"/>
  <c r="K412" i="2"/>
  <c r="H413" i="2"/>
  <c r="I413" i="2"/>
  <c r="J413" i="2"/>
  <c r="K413" i="2"/>
  <c r="H414" i="2"/>
  <c r="I414" i="2"/>
  <c r="J414" i="2"/>
  <c r="K414" i="2"/>
  <c r="H415" i="2"/>
  <c r="I415" i="2"/>
  <c r="J415" i="2"/>
  <c r="K415" i="2"/>
  <c r="H416" i="2"/>
  <c r="I416" i="2"/>
  <c r="J416" i="2"/>
  <c r="K416" i="2"/>
  <c r="H417" i="2"/>
  <c r="I417" i="2"/>
  <c r="J417" i="2"/>
  <c r="K417" i="2"/>
  <c r="H418" i="2"/>
  <c r="I418" i="2"/>
  <c r="J418" i="2"/>
  <c r="K418" i="2"/>
  <c r="H419" i="2"/>
  <c r="I419" i="2"/>
  <c r="J419" i="2"/>
  <c r="K419" i="2"/>
  <c r="H420" i="2"/>
  <c r="I420" i="2"/>
  <c r="J420" i="2"/>
  <c r="K420" i="2"/>
  <c r="H421" i="2"/>
  <c r="I421" i="2"/>
  <c r="J421" i="2"/>
  <c r="K421" i="2"/>
  <c r="H422" i="2"/>
  <c r="I422" i="2"/>
  <c r="J422" i="2"/>
  <c r="K422" i="2"/>
  <c r="H423" i="2"/>
  <c r="I423" i="2"/>
  <c r="J423" i="2"/>
  <c r="K423" i="2"/>
  <c r="H424" i="2"/>
  <c r="I424" i="2"/>
  <c r="J424" i="2"/>
  <c r="K424" i="2"/>
  <c r="H425" i="2"/>
  <c r="I425" i="2"/>
  <c r="J425" i="2"/>
  <c r="K425" i="2"/>
  <c r="H426" i="2"/>
  <c r="I426" i="2"/>
  <c r="J426" i="2"/>
  <c r="K426" i="2"/>
  <c r="H427" i="2"/>
  <c r="I427" i="2"/>
  <c r="J427" i="2"/>
  <c r="K427" i="2"/>
  <c r="H428" i="2"/>
  <c r="I428" i="2"/>
  <c r="J428" i="2"/>
  <c r="K428" i="2"/>
  <c r="H429" i="2"/>
  <c r="I429" i="2"/>
  <c r="J429" i="2"/>
  <c r="K429" i="2"/>
  <c r="H430" i="2"/>
  <c r="I430" i="2"/>
  <c r="J430" i="2"/>
  <c r="K430" i="2"/>
  <c r="H431" i="2"/>
  <c r="I431" i="2"/>
  <c r="J431" i="2"/>
  <c r="K431" i="2"/>
  <c r="H432" i="2"/>
  <c r="I432" i="2"/>
  <c r="J432" i="2"/>
  <c r="K432" i="2"/>
  <c r="H433" i="2"/>
  <c r="I433" i="2"/>
  <c r="J433" i="2"/>
  <c r="K433" i="2"/>
  <c r="H434" i="2"/>
  <c r="I434" i="2"/>
  <c r="J434" i="2"/>
  <c r="K434" i="2"/>
  <c r="H435" i="2"/>
  <c r="I435" i="2"/>
  <c r="J435" i="2"/>
  <c r="K435" i="2"/>
  <c r="H436" i="2"/>
  <c r="I436" i="2"/>
  <c r="J436" i="2"/>
  <c r="K436" i="2"/>
  <c r="H437" i="2"/>
  <c r="I437" i="2"/>
  <c r="J437" i="2"/>
  <c r="K437" i="2"/>
  <c r="H438" i="2"/>
  <c r="I438" i="2"/>
  <c r="J438" i="2"/>
  <c r="K438" i="2"/>
  <c r="H439" i="2"/>
  <c r="I439" i="2"/>
  <c r="J439" i="2"/>
  <c r="K439" i="2"/>
  <c r="H440" i="2"/>
  <c r="I440" i="2"/>
  <c r="J440" i="2"/>
  <c r="K440" i="2"/>
  <c r="H441" i="2"/>
  <c r="I441" i="2"/>
  <c r="J441" i="2"/>
  <c r="K441" i="2"/>
  <c r="H442" i="2"/>
  <c r="I442" i="2"/>
  <c r="J442" i="2"/>
  <c r="K442" i="2"/>
  <c r="H443" i="2"/>
  <c r="I443" i="2"/>
  <c r="J443" i="2"/>
  <c r="K443" i="2"/>
  <c r="H444" i="2"/>
  <c r="I444" i="2"/>
  <c r="J444" i="2"/>
  <c r="K444" i="2"/>
  <c r="H445" i="2"/>
  <c r="I445" i="2"/>
  <c r="J445" i="2"/>
  <c r="K445" i="2"/>
  <c r="H446" i="2"/>
  <c r="I446" i="2"/>
  <c r="J446" i="2"/>
  <c r="K446" i="2"/>
  <c r="H447" i="2"/>
  <c r="I447" i="2"/>
  <c r="J447" i="2"/>
  <c r="K447" i="2"/>
  <c r="H448" i="2"/>
  <c r="I448" i="2"/>
  <c r="J448" i="2"/>
  <c r="K448" i="2"/>
  <c r="H449" i="2"/>
  <c r="I449" i="2"/>
  <c r="J449" i="2"/>
  <c r="K449" i="2"/>
  <c r="H450" i="2"/>
  <c r="I450" i="2"/>
  <c r="J450" i="2"/>
  <c r="K450" i="2"/>
  <c r="H451" i="2"/>
  <c r="I451" i="2"/>
  <c r="J451" i="2"/>
  <c r="K451" i="2"/>
  <c r="H452" i="2"/>
  <c r="I452" i="2"/>
  <c r="J452" i="2"/>
  <c r="K452" i="2"/>
  <c r="H453" i="2"/>
  <c r="I453" i="2"/>
  <c r="J453" i="2"/>
  <c r="K453" i="2"/>
  <c r="H454" i="2"/>
  <c r="I454" i="2"/>
  <c r="J454" i="2"/>
  <c r="K454" i="2"/>
  <c r="H455" i="2"/>
  <c r="I455" i="2"/>
  <c r="J455" i="2"/>
  <c r="K455" i="2"/>
  <c r="H456" i="2"/>
  <c r="I456" i="2"/>
  <c r="J456" i="2"/>
  <c r="K456" i="2"/>
  <c r="H457" i="2"/>
  <c r="I457" i="2"/>
  <c r="J457" i="2"/>
  <c r="K457" i="2"/>
  <c r="H458" i="2"/>
  <c r="I458" i="2"/>
  <c r="J458" i="2"/>
  <c r="K458" i="2"/>
  <c r="H459" i="2"/>
  <c r="I459" i="2"/>
  <c r="J459" i="2"/>
  <c r="K459" i="2"/>
  <c r="H460" i="2"/>
  <c r="I460" i="2"/>
  <c r="J460" i="2"/>
  <c r="K460" i="2"/>
  <c r="H461" i="2"/>
  <c r="I461" i="2"/>
  <c r="J461" i="2"/>
  <c r="K461" i="2"/>
  <c r="H462" i="2"/>
  <c r="I462" i="2"/>
  <c r="J462" i="2"/>
  <c r="K462" i="2"/>
  <c r="H463" i="2"/>
  <c r="I463" i="2"/>
  <c r="J463" i="2"/>
  <c r="K463" i="2"/>
  <c r="H464" i="2"/>
  <c r="I464" i="2"/>
  <c r="J464" i="2"/>
  <c r="K464" i="2"/>
  <c r="H465" i="2"/>
  <c r="I465" i="2"/>
  <c r="J465" i="2"/>
  <c r="K465" i="2"/>
  <c r="H466" i="2"/>
  <c r="I466" i="2"/>
  <c r="J466" i="2"/>
  <c r="K466" i="2"/>
  <c r="H467" i="2"/>
  <c r="I467" i="2"/>
  <c r="J467" i="2"/>
  <c r="K467" i="2"/>
  <c r="H468" i="2"/>
  <c r="I468" i="2"/>
  <c r="J468" i="2"/>
  <c r="K468" i="2"/>
  <c r="H469" i="2"/>
  <c r="I469" i="2"/>
  <c r="J469" i="2"/>
  <c r="K469" i="2"/>
  <c r="H470" i="2"/>
  <c r="I470" i="2"/>
  <c r="J470" i="2"/>
  <c r="K470" i="2"/>
  <c r="H471" i="2"/>
  <c r="I471" i="2"/>
  <c r="J471" i="2"/>
  <c r="K471" i="2"/>
  <c r="H472" i="2"/>
  <c r="I472" i="2"/>
  <c r="J472" i="2"/>
  <c r="K472" i="2"/>
  <c r="H473" i="2"/>
  <c r="I473" i="2"/>
  <c r="J473" i="2"/>
  <c r="K473" i="2"/>
  <c r="H474" i="2"/>
  <c r="I474" i="2"/>
  <c r="J474" i="2"/>
  <c r="K474" i="2"/>
  <c r="H475" i="2"/>
  <c r="I475" i="2"/>
  <c r="J475" i="2"/>
  <c r="K475" i="2"/>
  <c r="H476" i="2"/>
  <c r="I476" i="2"/>
  <c r="J476" i="2"/>
  <c r="K476" i="2"/>
  <c r="H477" i="2"/>
  <c r="I477" i="2"/>
  <c r="J477" i="2"/>
  <c r="K477" i="2"/>
  <c r="H478" i="2"/>
  <c r="I478" i="2"/>
  <c r="J478" i="2"/>
  <c r="K478" i="2"/>
  <c r="H479" i="2"/>
  <c r="I479" i="2"/>
  <c r="J479" i="2"/>
  <c r="K479" i="2"/>
  <c r="H480" i="2"/>
  <c r="I480" i="2"/>
  <c r="J480" i="2"/>
  <c r="K480" i="2"/>
  <c r="H481" i="2"/>
  <c r="I481" i="2"/>
  <c r="J481" i="2"/>
  <c r="K481" i="2"/>
  <c r="H482" i="2"/>
  <c r="I482" i="2"/>
  <c r="J482" i="2"/>
  <c r="K482" i="2"/>
  <c r="H483" i="2"/>
  <c r="I483" i="2"/>
  <c r="J483" i="2"/>
  <c r="K483" i="2"/>
  <c r="H484" i="2"/>
  <c r="I484" i="2"/>
  <c r="J484" i="2"/>
  <c r="K484" i="2"/>
  <c r="H485" i="2"/>
  <c r="I485" i="2"/>
  <c r="J485" i="2"/>
  <c r="K485" i="2"/>
  <c r="H486" i="2"/>
  <c r="I486" i="2"/>
  <c r="J486" i="2"/>
  <c r="K486" i="2"/>
  <c r="H487" i="2"/>
  <c r="I487" i="2"/>
  <c r="J487" i="2"/>
  <c r="K487" i="2"/>
  <c r="H488" i="2"/>
  <c r="I488" i="2"/>
  <c r="J488" i="2"/>
  <c r="K488" i="2"/>
  <c r="H489" i="2"/>
  <c r="I489" i="2"/>
  <c r="J489" i="2"/>
  <c r="K489" i="2"/>
  <c r="H490" i="2"/>
  <c r="I490" i="2"/>
  <c r="J490" i="2"/>
  <c r="K490" i="2"/>
  <c r="H491" i="2"/>
  <c r="I491" i="2"/>
  <c r="J491" i="2"/>
  <c r="K491" i="2"/>
  <c r="H492" i="2"/>
  <c r="I492" i="2"/>
  <c r="J492" i="2"/>
  <c r="K492" i="2"/>
  <c r="H493" i="2"/>
  <c r="I493" i="2"/>
  <c r="J493" i="2"/>
  <c r="K493" i="2"/>
  <c r="H494" i="2"/>
  <c r="I494" i="2"/>
  <c r="J494" i="2"/>
  <c r="K494" i="2"/>
  <c r="H495" i="2"/>
  <c r="I495" i="2"/>
  <c r="J495" i="2"/>
  <c r="K495" i="2"/>
  <c r="H496" i="2"/>
  <c r="I496" i="2"/>
  <c r="J496" i="2"/>
  <c r="K496" i="2"/>
  <c r="H497" i="2"/>
  <c r="I497" i="2"/>
  <c r="J497" i="2"/>
  <c r="K497" i="2"/>
  <c r="H498" i="2"/>
  <c r="I498" i="2"/>
  <c r="J498" i="2"/>
  <c r="K498" i="2"/>
  <c r="H499" i="2"/>
  <c r="I499" i="2"/>
  <c r="J499" i="2"/>
  <c r="K499" i="2"/>
  <c r="H500" i="2"/>
  <c r="I500" i="2"/>
  <c r="J500" i="2"/>
  <c r="K500" i="2"/>
  <c r="H501" i="2"/>
  <c r="I501" i="2"/>
  <c r="J501" i="2"/>
  <c r="K501" i="2"/>
  <c r="H502" i="2"/>
  <c r="I502" i="2"/>
  <c r="J502" i="2"/>
  <c r="K502" i="2"/>
  <c r="H503" i="2"/>
  <c r="I503" i="2"/>
  <c r="J503" i="2"/>
  <c r="K503" i="2"/>
  <c r="H504" i="2"/>
  <c r="I504" i="2"/>
  <c r="J504" i="2"/>
  <c r="K504" i="2"/>
  <c r="H505" i="2"/>
  <c r="I505" i="2"/>
  <c r="J505" i="2"/>
  <c r="K505" i="2"/>
  <c r="H506" i="2"/>
  <c r="I506" i="2"/>
  <c r="J506" i="2"/>
  <c r="K506" i="2"/>
  <c r="H507" i="2"/>
  <c r="I507" i="2"/>
  <c r="J507" i="2"/>
  <c r="K507" i="2"/>
  <c r="H508" i="2"/>
  <c r="I508" i="2"/>
  <c r="J508" i="2"/>
  <c r="K508" i="2"/>
  <c r="H509" i="2"/>
  <c r="I509" i="2"/>
  <c r="J509" i="2"/>
  <c r="K509" i="2"/>
  <c r="H510" i="2"/>
  <c r="I510" i="2"/>
  <c r="J510" i="2"/>
  <c r="K510" i="2"/>
  <c r="H511" i="2"/>
  <c r="I511" i="2"/>
  <c r="J511" i="2"/>
  <c r="K511" i="2"/>
  <c r="H512" i="2"/>
  <c r="I512" i="2"/>
  <c r="J512" i="2"/>
  <c r="K512" i="2"/>
  <c r="H513" i="2"/>
  <c r="I513" i="2"/>
  <c r="J513" i="2"/>
  <c r="K513" i="2"/>
  <c r="H514" i="2"/>
  <c r="I514" i="2"/>
  <c r="J514" i="2"/>
  <c r="K514" i="2"/>
  <c r="H515" i="2"/>
  <c r="I515" i="2"/>
  <c r="J515" i="2"/>
  <c r="K515" i="2"/>
  <c r="H516" i="2"/>
  <c r="I516" i="2"/>
  <c r="J516" i="2"/>
  <c r="K516" i="2"/>
  <c r="H517" i="2"/>
  <c r="I517" i="2"/>
  <c r="J517" i="2"/>
  <c r="K517" i="2"/>
  <c r="H518" i="2"/>
  <c r="I518" i="2"/>
  <c r="J518" i="2"/>
  <c r="K518" i="2"/>
  <c r="H519" i="2"/>
  <c r="I519" i="2"/>
  <c r="J519" i="2"/>
  <c r="K519" i="2"/>
  <c r="H520" i="2"/>
  <c r="I520" i="2"/>
  <c r="J520" i="2"/>
  <c r="K520" i="2"/>
  <c r="H521" i="2"/>
  <c r="I521" i="2"/>
  <c r="J521" i="2"/>
  <c r="K521" i="2"/>
  <c r="H522" i="2"/>
  <c r="I522" i="2"/>
  <c r="J522" i="2"/>
  <c r="K522" i="2"/>
  <c r="H523" i="2"/>
  <c r="I523" i="2"/>
  <c r="J523" i="2"/>
  <c r="K523" i="2"/>
  <c r="H524" i="2"/>
  <c r="I524" i="2"/>
  <c r="J524" i="2"/>
  <c r="K524" i="2"/>
  <c r="H525" i="2"/>
  <c r="I525" i="2"/>
  <c r="J525" i="2"/>
  <c r="K525" i="2"/>
  <c r="H526" i="2"/>
  <c r="I526" i="2"/>
  <c r="J526" i="2"/>
  <c r="K526" i="2"/>
  <c r="H527" i="2"/>
  <c r="I527" i="2"/>
  <c r="J527" i="2"/>
  <c r="K527" i="2"/>
  <c r="H528" i="2"/>
  <c r="I528" i="2"/>
  <c r="J528" i="2"/>
  <c r="K528" i="2"/>
  <c r="H529" i="2"/>
  <c r="I529" i="2"/>
  <c r="J529" i="2"/>
  <c r="K529" i="2"/>
  <c r="H530" i="2"/>
  <c r="I530" i="2"/>
  <c r="J530" i="2"/>
  <c r="K530" i="2"/>
  <c r="H531" i="2"/>
  <c r="I531" i="2"/>
  <c r="J531" i="2"/>
  <c r="K531" i="2"/>
  <c r="H532" i="2"/>
  <c r="I532" i="2"/>
  <c r="J532" i="2"/>
  <c r="K532" i="2"/>
  <c r="H533" i="2"/>
  <c r="I533" i="2"/>
  <c r="J533" i="2"/>
  <c r="K533" i="2"/>
  <c r="H534" i="2"/>
  <c r="I534" i="2"/>
  <c r="J534" i="2"/>
  <c r="K534" i="2"/>
  <c r="H535" i="2"/>
  <c r="I535" i="2"/>
  <c r="J535" i="2"/>
  <c r="K535" i="2"/>
  <c r="H536" i="2"/>
  <c r="I536" i="2"/>
  <c r="J536" i="2"/>
  <c r="K536" i="2"/>
  <c r="H537" i="2"/>
  <c r="I537" i="2"/>
  <c r="J537" i="2"/>
  <c r="K537" i="2"/>
  <c r="H538" i="2"/>
  <c r="I538" i="2"/>
  <c r="J538" i="2"/>
  <c r="K538" i="2"/>
  <c r="H539" i="2"/>
  <c r="I539" i="2"/>
  <c r="J539" i="2"/>
  <c r="K539" i="2"/>
  <c r="H540" i="2"/>
  <c r="I540" i="2"/>
  <c r="J540" i="2"/>
  <c r="K540" i="2"/>
  <c r="H541" i="2"/>
  <c r="I541" i="2"/>
  <c r="J541" i="2"/>
  <c r="K541" i="2"/>
  <c r="H542" i="2"/>
  <c r="I542" i="2"/>
  <c r="J542" i="2"/>
  <c r="K542" i="2"/>
  <c r="H543" i="2"/>
  <c r="I543" i="2"/>
  <c r="J543" i="2"/>
  <c r="K543" i="2"/>
  <c r="H544" i="2"/>
  <c r="I544" i="2"/>
  <c r="J544" i="2"/>
  <c r="K544" i="2"/>
  <c r="H545" i="2"/>
  <c r="I545" i="2"/>
  <c r="J545" i="2"/>
  <c r="K545" i="2"/>
  <c r="H546" i="2"/>
  <c r="I546" i="2"/>
  <c r="J546" i="2"/>
  <c r="K546" i="2"/>
  <c r="H547" i="2"/>
  <c r="I547" i="2"/>
  <c r="J547" i="2"/>
  <c r="K547" i="2"/>
  <c r="H548" i="2"/>
  <c r="I548" i="2"/>
  <c r="J548" i="2"/>
  <c r="K548" i="2"/>
  <c r="H549" i="2"/>
  <c r="I549" i="2"/>
  <c r="J549" i="2"/>
  <c r="K549" i="2"/>
  <c r="H550" i="2"/>
  <c r="I550" i="2"/>
  <c r="J550" i="2"/>
  <c r="K550" i="2"/>
  <c r="H551" i="2"/>
  <c r="I551" i="2"/>
  <c r="J551" i="2"/>
  <c r="K551" i="2"/>
  <c r="H552" i="2"/>
  <c r="I552" i="2"/>
  <c r="J552" i="2"/>
  <c r="K552" i="2"/>
  <c r="H553" i="2"/>
  <c r="I553" i="2"/>
  <c r="J553" i="2"/>
  <c r="K553" i="2"/>
  <c r="H554" i="2"/>
  <c r="I554" i="2"/>
  <c r="J554" i="2"/>
  <c r="K554" i="2"/>
  <c r="H555" i="2"/>
  <c r="I555" i="2"/>
  <c r="J555" i="2"/>
  <c r="K555" i="2"/>
  <c r="H556" i="2"/>
  <c r="I556" i="2"/>
  <c r="J556" i="2"/>
  <c r="K556" i="2"/>
  <c r="H557" i="2"/>
  <c r="I557" i="2"/>
  <c r="J557" i="2"/>
  <c r="K557" i="2"/>
  <c r="H558" i="2"/>
  <c r="I558" i="2"/>
  <c r="J558" i="2"/>
  <c r="K558" i="2"/>
  <c r="H559" i="2"/>
  <c r="I559" i="2"/>
  <c r="J559" i="2"/>
  <c r="K559" i="2"/>
  <c r="H560" i="2"/>
  <c r="I560" i="2"/>
  <c r="J560" i="2"/>
  <c r="K560" i="2"/>
  <c r="H561" i="2"/>
  <c r="I561" i="2"/>
  <c r="J561" i="2"/>
  <c r="K561" i="2"/>
  <c r="H562" i="2"/>
  <c r="I562" i="2"/>
  <c r="J562" i="2"/>
  <c r="K562" i="2"/>
  <c r="H563" i="2"/>
  <c r="I563" i="2"/>
  <c r="J563" i="2"/>
  <c r="K563" i="2"/>
  <c r="H564" i="2"/>
  <c r="I564" i="2"/>
  <c r="J564" i="2"/>
  <c r="K564" i="2"/>
  <c r="H565" i="2"/>
  <c r="I565" i="2"/>
  <c r="J565" i="2"/>
  <c r="K565" i="2"/>
  <c r="H566" i="2"/>
  <c r="I566" i="2"/>
  <c r="J566" i="2"/>
  <c r="K566" i="2"/>
  <c r="H567" i="2"/>
  <c r="I567" i="2"/>
  <c r="J567" i="2"/>
  <c r="K567" i="2"/>
  <c r="H568" i="2"/>
  <c r="I568" i="2"/>
  <c r="J568" i="2"/>
  <c r="K568" i="2"/>
  <c r="H569" i="2"/>
  <c r="I569" i="2"/>
  <c r="J569" i="2"/>
  <c r="K569" i="2"/>
  <c r="H570" i="2"/>
  <c r="I570" i="2"/>
  <c r="J570" i="2"/>
  <c r="K570" i="2"/>
  <c r="H571" i="2"/>
  <c r="I571" i="2"/>
  <c r="J571" i="2"/>
  <c r="K571" i="2"/>
  <c r="H572" i="2"/>
  <c r="I572" i="2"/>
  <c r="J572" i="2"/>
  <c r="K572" i="2"/>
  <c r="H573" i="2"/>
  <c r="I573" i="2"/>
  <c r="J573" i="2"/>
  <c r="K573" i="2"/>
  <c r="H574" i="2"/>
  <c r="I574" i="2"/>
  <c r="J574" i="2"/>
  <c r="K574" i="2"/>
  <c r="H575" i="2"/>
  <c r="I575" i="2"/>
  <c r="J575" i="2"/>
  <c r="K575" i="2"/>
  <c r="H576" i="2"/>
  <c r="I576" i="2"/>
  <c r="J576" i="2"/>
  <c r="K576" i="2"/>
  <c r="H577" i="2"/>
  <c r="I577" i="2"/>
  <c r="J577" i="2"/>
  <c r="K577" i="2"/>
  <c r="H578" i="2"/>
  <c r="I578" i="2"/>
  <c r="J578" i="2"/>
  <c r="K578" i="2"/>
  <c r="H579" i="2"/>
  <c r="I579" i="2"/>
  <c r="J579" i="2"/>
  <c r="K579" i="2"/>
  <c r="H580" i="2"/>
  <c r="I580" i="2"/>
  <c r="J580" i="2"/>
  <c r="K580" i="2"/>
  <c r="H581" i="2"/>
  <c r="I581" i="2"/>
  <c r="J581" i="2"/>
  <c r="K581" i="2"/>
  <c r="H582" i="2"/>
  <c r="I582" i="2"/>
  <c r="J582" i="2"/>
  <c r="K582" i="2"/>
  <c r="H583" i="2"/>
  <c r="I583" i="2"/>
  <c r="J583" i="2"/>
  <c r="K583" i="2"/>
  <c r="H584" i="2"/>
  <c r="I584" i="2"/>
  <c r="J584" i="2"/>
  <c r="K584" i="2"/>
  <c r="H585" i="2"/>
  <c r="I585" i="2"/>
  <c r="J585" i="2"/>
  <c r="K585" i="2"/>
  <c r="H586" i="2"/>
  <c r="I586" i="2"/>
  <c r="J586" i="2"/>
  <c r="K586" i="2"/>
  <c r="H587" i="2"/>
  <c r="I587" i="2"/>
  <c r="J587" i="2"/>
  <c r="K587" i="2"/>
  <c r="H588" i="2"/>
  <c r="I588" i="2"/>
  <c r="J588" i="2"/>
  <c r="K588" i="2"/>
  <c r="H589" i="2"/>
  <c r="I589" i="2"/>
  <c r="J589" i="2"/>
  <c r="K589" i="2"/>
  <c r="H590" i="2"/>
  <c r="I590" i="2"/>
  <c r="J590" i="2"/>
  <c r="K590" i="2"/>
  <c r="H591" i="2"/>
  <c r="I591" i="2"/>
  <c r="J591" i="2"/>
  <c r="K591" i="2"/>
  <c r="H592" i="2"/>
  <c r="I592" i="2"/>
  <c r="J592" i="2"/>
  <c r="K592" i="2"/>
  <c r="H593" i="2"/>
  <c r="I593" i="2"/>
  <c r="J593" i="2"/>
  <c r="K593" i="2"/>
  <c r="H594" i="2"/>
  <c r="I594" i="2"/>
  <c r="J594" i="2"/>
  <c r="K594" i="2"/>
  <c r="H595" i="2"/>
  <c r="I595" i="2"/>
  <c r="J595" i="2"/>
  <c r="K595" i="2"/>
  <c r="H596" i="2"/>
  <c r="I596" i="2"/>
  <c r="J596" i="2"/>
  <c r="K596" i="2"/>
  <c r="H597" i="2"/>
  <c r="I597" i="2"/>
  <c r="J597" i="2"/>
  <c r="K597" i="2"/>
  <c r="H598" i="2"/>
  <c r="I598" i="2"/>
  <c r="J598" i="2"/>
  <c r="K598" i="2"/>
  <c r="H599" i="2"/>
  <c r="I599" i="2"/>
  <c r="J599" i="2"/>
  <c r="K599" i="2"/>
  <c r="H600" i="2"/>
  <c r="I600" i="2"/>
  <c r="J600" i="2"/>
  <c r="K600" i="2"/>
  <c r="H601" i="2"/>
  <c r="I601" i="2"/>
  <c r="J601" i="2"/>
  <c r="K601" i="2"/>
  <c r="H602" i="2"/>
  <c r="I602" i="2"/>
  <c r="J602" i="2"/>
  <c r="K602" i="2"/>
  <c r="H603" i="2"/>
  <c r="I603" i="2"/>
  <c r="J603" i="2"/>
  <c r="K603" i="2"/>
  <c r="H604" i="2"/>
  <c r="I604" i="2"/>
  <c r="J604" i="2"/>
  <c r="K604" i="2"/>
  <c r="H605" i="2"/>
  <c r="I605" i="2"/>
  <c r="J605" i="2"/>
  <c r="K605" i="2"/>
  <c r="H606" i="2"/>
  <c r="I606" i="2"/>
  <c r="J606" i="2"/>
  <c r="K606" i="2"/>
  <c r="H607" i="2"/>
  <c r="I607" i="2"/>
  <c r="J607" i="2"/>
  <c r="K607" i="2"/>
  <c r="H608" i="2"/>
  <c r="I608" i="2"/>
  <c r="J608" i="2"/>
  <c r="K608" i="2"/>
  <c r="H609" i="2"/>
  <c r="I609" i="2"/>
  <c r="J609" i="2"/>
  <c r="K609" i="2"/>
  <c r="H610" i="2"/>
  <c r="I610" i="2"/>
  <c r="J610" i="2"/>
  <c r="K610" i="2"/>
  <c r="H611" i="2"/>
  <c r="I611" i="2"/>
  <c r="J611" i="2"/>
  <c r="K611" i="2"/>
  <c r="H612" i="2"/>
  <c r="I612" i="2"/>
  <c r="J612" i="2"/>
  <c r="K612" i="2"/>
  <c r="H613" i="2"/>
  <c r="I613" i="2"/>
  <c r="J613" i="2"/>
  <c r="K613" i="2"/>
  <c r="H614" i="2"/>
  <c r="I614" i="2"/>
  <c r="J614" i="2"/>
  <c r="K614" i="2"/>
  <c r="H615" i="2"/>
  <c r="I615" i="2"/>
  <c r="J615" i="2"/>
  <c r="K615" i="2"/>
  <c r="H616" i="2"/>
  <c r="I616" i="2"/>
  <c r="J616" i="2"/>
  <c r="K616" i="2"/>
  <c r="H617" i="2"/>
  <c r="I617" i="2"/>
  <c r="J617" i="2"/>
  <c r="K617" i="2"/>
  <c r="H618" i="2"/>
  <c r="I618" i="2"/>
  <c r="J618" i="2"/>
  <c r="K618" i="2"/>
  <c r="H619" i="2"/>
  <c r="I619" i="2"/>
  <c r="J619" i="2"/>
  <c r="K619" i="2"/>
  <c r="H620" i="2"/>
  <c r="I620" i="2"/>
  <c r="J620" i="2"/>
  <c r="K620" i="2"/>
  <c r="H621" i="2"/>
  <c r="I621" i="2"/>
  <c r="J621" i="2"/>
  <c r="K621" i="2"/>
  <c r="H622" i="2"/>
  <c r="I622" i="2"/>
  <c r="J622" i="2"/>
  <c r="K622" i="2"/>
  <c r="H623" i="2"/>
  <c r="I623" i="2"/>
  <c r="J623" i="2"/>
  <c r="K623" i="2"/>
  <c r="H624" i="2"/>
  <c r="I624" i="2"/>
  <c r="J624" i="2"/>
  <c r="K624" i="2"/>
  <c r="H625" i="2"/>
  <c r="I625" i="2"/>
  <c r="J625" i="2"/>
  <c r="K625" i="2"/>
  <c r="H626" i="2"/>
  <c r="I626" i="2"/>
  <c r="J626" i="2"/>
  <c r="K626" i="2"/>
  <c r="H627" i="2"/>
  <c r="I627" i="2"/>
  <c r="J627" i="2"/>
  <c r="K627" i="2"/>
  <c r="H628" i="2"/>
  <c r="I628" i="2"/>
  <c r="J628" i="2"/>
  <c r="K628" i="2"/>
  <c r="H629" i="2"/>
  <c r="I629" i="2"/>
  <c r="J629" i="2"/>
  <c r="K629" i="2"/>
  <c r="H630" i="2"/>
  <c r="I630" i="2"/>
  <c r="J630" i="2"/>
  <c r="K630" i="2"/>
  <c r="H631" i="2"/>
  <c r="I631" i="2"/>
  <c r="J631" i="2"/>
  <c r="K631" i="2"/>
  <c r="H632" i="2"/>
  <c r="I632" i="2"/>
  <c r="J632" i="2"/>
  <c r="K632" i="2"/>
  <c r="H633" i="2"/>
  <c r="I633" i="2"/>
  <c r="J633" i="2"/>
  <c r="K633" i="2"/>
  <c r="H634" i="2"/>
  <c r="I634" i="2"/>
  <c r="J634" i="2"/>
  <c r="K634" i="2"/>
  <c r="H635" i="2"/>
  <c r="I635" i="2"/>
  <c r="J635" i="2"/>
  <c r="K635" i="2"/>
  <c r="H636" i="2"/>
  <c r="I636" i="2"/>
  <c r="J636" i="2"/>
  <c r="K636" i="2"/>
  <c r="H637" i="2"/>
  <c r="I637" i="2"/>
  <c r="J637" i="2"/>
  <c r="K637" i="2"/>
  <c r="H638" i="2"/>
  <c r="I638" i="2"/>
  <c r="J638" i="2"/>
  <c r="K638" i="2"/>
  <c r="H639" i="2"/>
  <c r="I639" i="2"/>
  <c r="J639" i="2"/>
  <c r="K639" i="2"/>
  <c r="H640" i="2"/>
  <c r="I640" i="2"/>
  <c r="J640" i="2"/>
  <c r="K640" i="2"/>
  <c r="H641" i="2"/>
  <c r="I641" i="2"/>
  <c r="J641" i="2"/>
  <c r="K641" i="2"/>
  <c r="H642" i="2"/>
  <c r="I642" i="2"/>
  <c r="J642" i="2"/>
  <c r="K642" i="2"/>
  <c r="H643" i="2"/>
  <c r="I643" i="2"/>
  <c r="J643" i="2"/>
  <c r="K643" i="2"/>
  <c r="H644" i="2"/>
  <c r="I644" i="2"/>
  <c r="J644" i="2"/>
  <c r="K644" i="2"/>
  <c r="H645" i="2"/>
  <c r="I645" i="2"/>
  <c r="J645" i="2"/>
  <c r="K645" i="2"/>
  <c r="H646" i="2"/>
  <c r="I646" i="2"/>
  <c r="J646" i="2"/>
  <c r="K646" i="2"/>
  <c r="H647" i="2"/>
  <c r="I647" i="2"/>
  <c r="J647" i="2"/>
  <c r="K647" i="2"/>
  <c r="H648" i="2"/>
  <c r="I648" i="2"/>
  <c r="J648" i="2"/>
  <c r="K648" i="2"/>
  <c r="H649" i="2"/>
  <c r="I649" i="2"/>
  <c r="J649" i="2"/>
  <c r="K649" i="2"/>
  <c r="H650" i="2"/>
  <c r="I650" i="2"/>
  <c r="J650" i="2"/>
  <c r="K650" i="2"/>
  <c r="H651" i="2"/>
  <c r="I651" i="2"/>
  <c r="J651" i="2"/>
  <c r="K651" i="2"/>
  <c r="H652" i="2"/>
  <c r="I652" i="2"/>
  <c r="J652" i="2"/>
  <c r="K652" i="2"/>
  <c r="H653" i="2"/>
  <c r="I653" i="2"/>
  <c r="J653" i="2"/>
  <c r="K653" i="2"/>
  <c r="H654" i="2"/>
  <c r="I654" i="2"/>
  <c r="J654" i="2"/>
  <c r="K654" i="2"/>
  <c r="H655" i="2"/>
  <c r="I655" i="2"/>
  <c r="J655" i="2"/>
  <c r="K655" i="2"/>
  <c r="H656" i="2"/>
  <c r="I656" i="2"/>
  <c r="J656" i="2"/>
  <c r="K656" i="2"/>
  <c r="H657" i="2"/>
  <c r="I657" i="2"/>
  <c r="J657" i="2"/>
  <c r="K657" i="2"/>
  <c r="H658" i="2"/>
  <c r="I658" i="2"/>
  <c r="J658" i="2"/>
  <c r="K658" i="2"/>
  <c r="H659" i="2"/>
  <c r="I659" i="2"/>
  <c r="J659" i="2"/>
  <c r="K659" i="2"/>
  <c r="H660" i="2"/>
  <c r="I660" i="2"/>
  <c r="J660" i="2"/>
  <c r="K660" i="2"/>
  <c r="H661" i="2"/>
  <c r="I661" i="2"/>
  <c r="J661" i="2"/>
  <c r="K661" i="2"/>
  <c r="H662" i="2"/>
  <c r="I662" i="2"/>
  <c r="J662" i="2"/>
  <c r="K662" i="2"/>
  <c r="H663" i="2"/>
  <c r="I663" i="2"/>
  <c r="J663" i="2"/>
  <c r="K663" i="2"/>
  <c r="H664" i="2"/>
  <c r="I664" i="2"/>
  <c r="J664" i="2"/>
  <c r="K664" i="2"/>
  <c r="H665" i="2"/>
  <c r="I665" i="2"/>
  <c r="J665" i="2"/>
  <c r="K665" i="2"/>
  <c r="H666" i="2"/>
  <c r="I666" i="2"/>
  <c r="J666" i="2"/>
  <c r="K666" i="2"/>
  <c r="H667" i="2"/>
  <c r="I667" i="2"/>
  <c r="J667" i="2"/>
  <c r="K667" i="2"/>
  <c r="H668" i="2"/>
  <c r="I668" i="2"/>
  <c r="J668" i="2"/>
  <c r="K668" i="2"/>
  <c r="H669" i="2"/>
  <c r="I669" i="2"/>
  <c r="J669" i="2"/>
  <c r="K669" i="2"/>
  <c r="H670" i="2"/>
  <c r="I670" i="2"/>
  <c r="J670" i="2"/>
  <c r="K670" i="2"/>
  <c r="H671" i="2"/>
  <c r="I671" i="2"/>
  <c r="J671" i="2"/>
  <c r="K671" i="2"/>
  <c r="H672" i="2"/>
  <c r="I672" i="2"/>
  <c r="J672" i="2"/>
  <c r="K672" i="2"/>
  <c r="H673" i="2"/>
  <c r="I673" i="2"/>
  <c r="J673" i="2"/>
  <c r="K673" i="2"/>
  <c r="H674" i="2"/>
  <c r="I674" i="2"/>
  <c r="J674" i="2"/>
  <c r="K674" i="2"/>
  <c r="H675" i="2"/>
  <c r="I675" i="2"/>
  <c r="J675" i="2"/>
  <c r="K675" i="2"/>
  <c r="H676" i="2"/>
  <c r="I676" i="2"/>
  <c r="J676" i="2"/>
  <c r="K676" i="2"/>
  <c r="H677" i="2"/>
  <c r="I677" i="2"/>
  <c r="J677" i="2"/>
  <c r="K677" i="2"/>
  <c r="H678" i="2"/>
  <c r="I678" i="2"/>
  <c r="J678" i="2"/>
  <c r="K678" i="2"/>
  <c r="H679" i="2"/>
  <c r="I679" i="2"/>
  <c r="J679" i="2"/>
  <c r="K679" i="2"/>
  <c r="H680" i="2"/>
  <c r="I680" i="2"/>
  <c r="J680" i="2"/>
  <c r="K680" i="2"/>
  <c r="H681" i="2"/>
  <c r="I681" i="2"/>
  <c r="J681" i="2"/>
  <c r="K681" i="2"/>
  <c r="H682" i="2"/>
  <c r="I682" i="2"/>
  <c r="J682" i="2"/>
  <c r="K682" i="2"/>
  <c r="H683" i="2"/>
  <c r="I683" i="2"/>
  <c r="J683" i="2"/>
  <c r="K683" i="2"/>
  <c r="H684" i="2"/>
  <c r="I684" i="2"/>
  <c r="J684" i="2"/>
  <c r="K684" i="2"/>
  <c r="H685" i="2"/>
  <c r="I685" i="2"/>
  <c r="J685" i="2"/>
  <c r="K685" i="2"/>
  <c r="H686" i="2"/>
  <c r="I686" i="2"/>
  <c r="J686" i="2"/>
  <c r="K686" i="2"/>
  <c r="H687" i="2"/>
  <c r="I687" i="2"/>
  <c r="J687" i="2"/>
  <c r="K687" i="2"/>
  <c r="H688" i="2"/>
  <c r="I688" i="2"/>
  <c r="J688" i="2"/>
  <c r="K688" i="2"/>
  <c r="H689" i="2"/>
  <c r="I689" i="2"/>
  <c r="J689" i="2"/>
  <c r="K689" i="2"/>
  <c r="H690" i="2"/>
  <c r="I690" i="2"/>
  <c r="J690" i="2"/>
  <c r="K690" i="2"/>
  <c r="H691" i="2"/>
  <c r="I691" i="2"/>
  <c r="J691" i="2"/>
  <c r="K691" i="2"/>
  <c r="H692" i="2"/>
  <c r="I692" i="2"/>
  <c r="J692" i="2"/>
  <c r="K692" i="2"/>
  <c r="H693" i="2"/>
  <c r="I693" i="2"/>
  <c r="J693" i="2"/>
  <c r="K693" i="2"/>
  <c r="H694" i="2"/>
  <c r="I694" i="2"/>
  <c r="J694" i="2"/>
  <c r="K694" i="2"/>
  <c r="H695" i="2"/>
  <c r="I695" i="2"/>
  <c r="J695" i="2"/>
  <c r="K695" i="2"/>
  <c r="H696" i="2"/>
  <c r="I696" i="2"/>
  <c r="J696" i="2"/>
  <c r="K696" i="2"/>
  <c r="H697" i="2"/>
  <c r="I697" i="2"/>
  <c r="J697" i="2"/>
  <c r="K697" i="2"/>
  <c r="H698" i="2"/>
  <c r="I698" i="2"/>
  <c r="J698" i="2"/>
  <c r="K698" i="2"/>
  <c r="H699" i="2"/>
  <c r="I699" i="2"/>
  <c r="J699" i="2"/>
  <c r="K699" i="2"/>
  <c r="H700" i="2"/>
  <c r="I700" i="2"/>
  <c r="J700" i="2"/>
  <c r="K700" i="2"/>
  <c r="H701" i="2"/>
  <c r="I701" i="2"/>
  <c r="J701" i="2"/>
  <c r="K701" i="2"/>
  <c r="H702" i="2"/>
  <c r="I702" i="2"/>
  <c r="J702" i="2"/>
  <c r="K702" i="2"/>
  <c r="H703" i="2"/>
  <c r="I703" i="2"/>
  <c r="J703" i="2"/>
  <c r="K703" i="2"/>
  <c r="H704" i="2"/>
  <c r="I704" i="2"/>
  <c r="J704" i="2"/>
  <c r="K704" i="2"/>
  <c r="H705" i="2"/>
  <c r="I705" i="2"/>
  <c r="J705" i="2"/>
  <c r="K705" i="2"/>
  <c r="H706" i="2"/>
  <c r="I706" i="2"/>
  <c r="J706" i="2"/>
  <c r="K706" i="2"/>
  <c r="H707" i="2"/>
  <c r="I707" i="2"/>
  <c r="J707" i="2"/>
  <c r="K707" i="2"/>
  <c r="H708" i="2"/>
  <c r="I708" i="2"/>
  <c r="J708" i="2"/>
  <c r="K708" i="2"/>
  <c r="H709" i="2"/>
  <c r="I709" i="2"/>
  <c r="J709" i="2"/>
  <c r="K709" i="2"/>
  <c r="H710" i="2"/>
  <c r="I710" i="2"/>
  <c r="J710" i="2"/>
  <c r="K710" i="2"/>
  <c r="H711" i="2"/>
  <c r="I711" i="2"/>
  <c r="J711" i="2"/>
  <c r="K711" i="2"/>
  <c r="H712" i="2"/>
  <c r="I712" i="2"/>
  <c r="J712" i="2"/>
  <c r="K712" i="2"/>
  <c r="H713" i="2"/>
  <c r="I713" i="2"/>
  <c r="J713" i="2"/>
  <c r="K713" i="2"/>
  <c r="H714" i="2"/>
  <c r="I714" i="2"/>
  <c r="J714" i="2"/>
  <c r="K714" i="2"/>
  <c r="H715" i="2"/>
  <c r="I715" i="2"/>
  <c r="J715" i="2"/>
  <c r="K715" i="2"/>
  <c r="H716" i="2"/>
  <c r="I716" i="2"/>
  <c r="J716" i="2"/>
  <c r="K716" i="2"/>
  <c r="H717" i="2"/>
  <c r="I717" i="2"/>
  <c r="J717" i="2"/>
  <c r="K717" i="2"/>
  <c r="H718" i="2"/>
  <c r="I718" i="2"/>
  <c r="J718" i="2"/>
  <c r="K718" i="2"/>
  <c r="H719" i="2"/>
  <c r="I719" i="2"/>
  <c r="J719" i="2"/>
  <c r="K719" i="2"/>
  <c r="H720" i="2"/>
  <c r="I720" i="2"/>
  <c r="J720" i="2"/>
  <c r="K720" i="2"/>
  <c r="H721" i="2"/>
  <c r="I721" i="2"/>
  <c r="J721" i="2"/>
  <c r="K721" i="2"/>
  <c r="H722" i="2"/>
  <c r="I722" i="2"/>
  <c r="J722" i="2"/>
  <c r="K722" i="2"/>
  <c r="H723" i="2"/>
  <c r="I723" i="2"/>
  <c r="J723" i="2"/>
  <c r="K723" i="2"/>
  <c r="H724" i="2"/>
  <c r="I724" i="2"/>
  <c r="J724" i="2"/>
  <c r="K724" i="2"/>
  <c r="H725" i="2"/>
  <c r="I725" i="2"/>
  <c r="J725" i="2"/>
  <c r="K725" i="2"/>
  <c r="H726" i="2"/>
  <c r="I726" i="2"/>
  <c r="J726" i="2"/>
  <c r="K726" i="2"/>
  <c r="H727" i="2"/>
  <c r="I727" i="2"/>
  <c r="J727" i="2"/>
  <c r="K727" i="2"/>
  <c r="H728" i="2"/>
  <c r="I728" i="2"/>
  <c r="J728" i="2"/>
  <c r="K728" i="2"/>
  <c r="H729" i="2"/>
  <c r="I729" i="2"/>
  <c r="J729" i="2"/>
  <c r="K729" i="2"/>
  <c r="H730" i="2"/>
  <c r="I730" i="2"/>
  <c r="J730" i="2"/>
  <c r="K730" i="2"/>
  <c r="H731" i="2"/>
  <c r="I731" i="2"/>
  <c r="J731" i="2"/>
  <c r="K731" i="2"/>
  <c r="H732" i="2"/>
  <c r="I732" i="2"/>
  <c r="J732" i="2"/>
  <c r="K732" i="2"/>
  <c r="H733" i="2"/>
  <c r="I733" i="2"/>
  <c r="J733" i="2"/>
  <c r="K733" i="2"/>
  <c r="H734" i="2"/>
  <c r="I734" i="2"/>
  <c r="J734" i="2"/>
  <c r="K734" i="2"/>
  <c r="H735" i="2"/>
  <c r="I735" i="2"/>
  <c r="J735" i="2"/>
  <c r="K735" i="2"/>
  <c r="H736" i="2"/>
  <c r="I736" i="2"/>
  <c r="J736" i="2"/>
  <c r="K736" i="2"/>
  <c r="H737" i="2"/>
  <c r="I737" i="2"/>
  <c r="J737" i="2"/>
  <c r="K737" i="2"/>
  <c r="H738" i="2"/>
  <c r="I738" i="2"/>
  <c r="J738" i="2"/>
  <c r="K738" i="2"/>
  <c r="H739" i="2"/>
  <c r="I739" i="2"/>
  <c r="J739" i="2"/>
  <c r="K739" i="2"/>
  <c r="H740" i="2"/>
  <c r="I740" i="2"/>
  <c r="J740" i="2"/>
  <c r="K740" i="2"/>
  <c r="H741" i="2"/>
  <c r="I741" i="2"/>
  <c r="J741" i="2"/>
  <c r="K741" i="2"/>
  <c r="H742" i="2"/>
  <c r="I742" i="2"/>
  <c r="J742" i="2"/>
  <c r="K742" i="2"/>
  <c r="H743" i="2"/>
  <c r="I743" i="2"/>
  <c r="J743" i="2"/>
  <c r="K743" i="2"/>
  <c r="H744" i="2"/>
  <c r="I744" i="2"/>
  <c r="J744" i="2"/>
  <c r="K744" i="2"/>
  <c r="H745" i="2"/>
  <c r="I745" i="2"/>
  <c r="J745" i="2"/>
  <c r="K745" i="2"/>
  <c r="H746" i="2"/>
  <c r="I746" i="2"/>
  <c r="J746" i="2"/>
  <c r="K746" i="2"/>
  <c r="H747" i="2"/>
  <c r="I747" i="2"/>
  <c r="J747" i="2"/>
  <c r="K747" i="2"/>
  <c r="H748" i="2"/>
  <c r="I748" i="2"/>
  <c r="J748" i="2"/>
  <c r="K748" i="2"/>
  <c r="H749" i="2"/>
  <c r="I749" i="2"/>
  <c r="J749" i="2"/>
  <c r="K749" i="2"/>
  <c r="H750" i="2"/>
  <c r="I750" i="2"/>
  <c r="J750" i="2"/>
  <c r="K750" i="2"/>
  <c r="H751" i="2"/>
  <c r="I751" i="2"/>
  <c r="J751" i="2"/>
  <c r="K751" i="2"/>
  <c r="H752" i="2"/>
  <c r="I752" i="2"/>
  <c r="J752" i="2"/>
  <c r="K752" i="2"/>
  <c r="H753" i="2"/>
  <c r="I753" i="2"/>
  <c r="J753" i="2"/>
  <c r="K753" i="2"/>
  <c r="H754" i="2"/>
  <c r="I754" i="2"/>
  <c r="J754" i="2"/>
  <c r="K754" i="2"/>
  <c r="H755" i="2"/>
  <c r="I755" i="2"/>
  <c r="J755" i="2"/>
  <c r="K755" i="2"/>
  <c r="H756" i="2"/>
  <c r="I756" i="2"/>
  <c r="J756" i="2"/>
  <c r="K756" i="2"/>
  <c r="H757" i="2"/>
  <c r="I757" i="2"/>
  <c r="J757" i="2"/>
  <c r="K757" i="2"/>
  <c r="H758" i="2"/>
  <c r="I758" i="2"/>
  <c r="J758" i="2"/>
  <c r="K758" i="2"/>
  <c r="H759" i="2"/>
  <c r="I759" i="2"/>
  <c r="J759" i="2"/>
  <c r="K759" i="2"/>
  <c r="H760" i="2"/>
  <c r="I760" i="2"/>
  <c r="J760" i="2"/>
  <c r="K760" i="2"/>
  <c r="H761" i="2"/>
  <c r="I761" i="2"/>
  <c r="J761" i="2"/>
  <c r="K761" i="2"/>
  <c r="H762" i="2"/>
  <c r="I762" i="2"/>
  <c r="J762" i="2"/>
  <c r="K762" i="2"/>
  <c r="H763" i="2"/>
  <c r="I763" i="2"/>
  <c r="J763" i="2"/>
  <c r="K763" i="2"/>
  <c r="H764" i="2"/>
  <c r="I764" i="2"/>
  <c r="J764" i="2"/>
  <c r="K764" i="2"/>
  <c r="H765" i="2"/>
  <c r="I765" i="2"/>
  <c r="J765" i="2"/>
  <c r="K765" i="2"/>
  <c r="H766" i="2"/>
  <c r="I766" i="2"/>
  <c r="J766" i="2"/>
  <c r="K766" i="2"/>
  <c r="H767" i="2"/>
  <c r="I767" i="2"/>
  <c r="J767" i="2"/>
  <c r="K767" i="2"/>
  <c r="H768" i="2"/>
  <c r="I768" i="2"/>
  <c r="J768" i="2"/>
  <c r="K768" i="2"/>
  <c r="H769" i="2"/>
  <c r="I769" i="2"/>
  <c r="J769" i="2"/>
  <c r="K769" i="2"/>
  <c r="H770" i="2"/>
  <c r="I770" i="2"/>
  <c r="J770" i="2"/>
  <c r="K770" i="2"/>
  <c r="H771" i="2"/>
  <c r="I771" i="2"/>
  <c r="J771" i="2"/>
  <c r="K771" i="2"/>
  <c r="H772" i="2"/>
  <c r="I772" i="2"/>
  <c r="J772" i="2"/>
  <c r="K772" i="2"/>
  <c r="H773" i="2"/>
  <c r="I773" i="2"/>
  <c r="J773" i="2"/>
  <c r="K773" i="2"/>
  <c r="H774" i="2"/>
  <c r="I774" i="2"/>
  <c r="J774" i="2"/>
  <c r="K774" i="2"/>
  <c r="H775" i="2"/>
  <c r="I775" i="2"/>
  <c r="J775" i="2"/>
  <c r="K775" i="2"/>
  <c r="H776" i="2"/>
  <c r="I776" i="2"/>
  <c r="J776" i="2"/>
  <c r="K776" i="2"/>
  <c r="H777" i="2"/>
  <c r="I777" i="2"/>
  <c r="J777" i="2"/>
  <c r="K777" i="2"/>
  <c r="H778" i="2"/>
  <c r="I778" i="2"/>
  <c r="J778" i="2"/>
  <c r="K778" i="2"/>
  <c r="H779" i="2"/>
  <c r="I779" i="2"/>
  <c r="J779" i="2"/>
  <c r="K779" i="2"/>
  <c r="H780" i="2"/>
  <c r="I780" i="2"/>
  <c r="J780" i="2"/>
  <c r="K780" i="2"/>
  <c r="H781" i="2"/>
  <c r="I781" i="2"/>
  <c r="J781" i="2"/>
  <c r="K781" i="2"/>
  <c r="H782" i="2"/>
  <c r="I782" i="2"/>
  <c r="J782" i="2"/>
  <c r="K782" i="2"/>
  <c r="H783" i="2"/>
  <c r="I783" i="2"/>
  <c r="J783" i="2"/>
  <c r="K783" i="2"/>
  <c r="H784" i="2"/>
  <c r="I784" i="2"/>
  <c r="J784" i="2"/>
  <c r="K784" i="2"/>
  <c r="H785" i="2"/>
  <c r="I785" i="2"/>
  <c r="J785" i="2"/>
  <c r="K785" i="2"/>
  <c r="H786" i="2"/>
  <c r="I786" i="2"/>
  <c r="J786" i="2"/>
  <c r="K786" i="2"/>
  <c r="H787" i="2"/>
  <c r="I787" i="2"/>
  <c r="J787" i="2"/>
  <c r="K787" i="2"/>
  <c r="H788" i="2"/>
  <c r="I788" i="2"/>
  <c r="J788" i="2"/>
  <c r="K788" i="2"/>
  <c r="H789" i="2"/>
  <c r="I789" i="2"/>
  <c r="J789" i="2"/>
  <c r="K789" i="2"/>
  <c r="H790" i="2"/>
  <c r="I790" i="2"/>
  <c r="J790" i="2"/>
  <c r="K790" i="2"/>
  <c r="H791" i="2"/>
  <c r="I791" i="2"/>
  <c r="J791" i="2"/>
  <c r="K791" i="2"/>
  <c r="H792" i="2"/>
  <c r="I792" i="2"/>
  <c r="J792" i="2"/>
  <c r="K792" i="2"/>
  <c r="H793" i="2"/>
  <c r="I793" i="2"/>
  <c r="J793" i="2"/>
  <c r="K793" i="2"/>
  <c r="H794" i="2"/>
  <c r="I794" i="2"/>
  <c r="J794" i="2"/>
  <c r="K794" i="2"/>
  <c r="H795" i="2"/>
  <c r="I795" i="2"/>
  <c r="J795" i="2"/>
  <c r="K795" i="2"/>
  <c r="H796" i="2"/>
  <c r="I796" i="2"/>
  <c r="J796" i="2"/>
  <c r="K796" i="2"/>
  <c r="H797" i="2"/>
  <c r="I797" i="2"/>
  <c r="J797" i="2"/>
  <c r="K797" i="2"/>
  <c r="H798" i="2"/>
  <c r="I798" i="2"/>
  <c r="J798" i="2"/>
  <c r="K798" i="2"/>
  <c r="H799" i="2"/>
  <c r="I799" i="2"/>
  <c r="J799" i="2"/>
  <c r="K799" i="2"/>
  <c r="H800" i="2"/>
  <c r="I800" i="2"/>
  <c r="J800" i="2"/>
  <c r="K800" i="2"/>
  <c r="H801" i="2"/>
  <c r="I801" i="2"/>
  <c r="J801" i="2"/>
  <c r="K801" i="2"/>
  <c r="H802" i="2"/>
  <c r="I802" i="2"/>
  <c r="J802" i="2"/>
  <c r="K802" i="2"/>
  <c r="H803" i="2"/>
  <c r="I803" i="2"/>
  <c r="J803" i="2"/>
  <c r="K803" i="2"/>
  <c r="H804" i="2"/>
  <c r="I804" i="2"/>
  <c r="J804" i="2"/>
  <c r="K804" i="2"/>
  <c r="H805" i="2"/>
  <c r="I805" i="2"/>
  <c r="J805" i="2"/>
  <c r="K805" i="2"/>
  <c r="H806" i="2"/>
  <c r="I806" i="2"/>
  <c r="J806" i="2"/>
  <c r="K806" i="2"/>
  <c r="H807" i="2"/>
  <c r="I807" i="2"/>
  <c r="J807" i="2"/>
  <c r="K807" i="2"/>
  <c r="H808" i="2"/>
  <c r="I808" i="2"/>
  <c r="J808" i="2"/>
  <c r="K808" i="2"/>
  <c r="H809" i="2"/>
  <c r="I809" i="2"/>
  <c r="J809" i="2"/>
  <c r="K809" i="2"/>
  <c r="H810" i="2"/>
  <c r="I810" i="2"/>
  <c r="J810" i="2"/>
  <c r="K810" i="2"/>
  <c r="H811" i="2"/>
  <c r="I811" i="2"/>
  <c r="J811" i="2"/>
  <c r="K811" i="2"/>
  <c r="H812" i="2"/>
  <c r="I812" i="2"/>
  <c r="J812" i="2"/>
  <c r="K812" i="2"/>
  <c r="H813" i="2"/>
  <c r="I813" i="2"/>
  <c r="J813" i="2"/>
  <c r="K813" i="2"/>
  <c r="H814" i="2"/>
  <c r="I814" i="2"/>
  <c r="J814" i="2"/>
  <c r="K814" i="2"/>
  <c r="H815" i="2"/>
  <c r="I815" i="2"/>
  <c r="J815" i="2"/>
  <c r="K815" i="2"/>
  <c r="H816" i="2"/>
  <c r="I816" i="2"/>
  <c r="J816" i="2"/>
  <c r="K816" i="2"/>
  <c r="H817" i="2"/>
  <c r="I817" i="2"/>
  <c r="J817" i="2"/>
  <c r="K817" i="2"/>
  <c r="H818" i="2"/>
  <c r="I818" i="2"/>
  <c r="J818" i="2"/>
  <c r="K818" i="2"/>
  <c r="H819" i="2"/>
  <c r="I819" i="2"/>
  <c r="J819" i="2"/>
  <c r="K819" i="2"/>
  <c r="H820" i="2"/>
  <c r="I820" i="2"/>
  <c r="J820" i="2"/>
  <c r="K820" i="2"/>
  <c r="H821" i="2"/>
  <c r="I821" i="2"/>
  <c r="J821" i="2"/>
  <c r="K821" i="2"/>
  <c r="H822" i="2"/>
  <c r="I822" i="2"/>
  <c r="J822" i="2"/>
  <c r="K822" i="2"/>
  <c r="H823" i="2"/>
  <c r="I823" i="2"/>
  <c r="J823" i="2"/>
  <c r="K823" i="2"/>
  <c r="H824" i="2"/>
  <c r="I824" i="2"/>
  <c r="J824" i="2"/>
  <c r="K824" i="2"/>
  <c r="H825" i="2"/>
  <c r="I825" i="2"/>
  <c r="J825" i="2"/>
  <c r="K825" i="2"/>
  <c r="H826" i="2"/>
  <c r="I826" i="2"/>
  <c r="J826" i="2"/>
  <c r="K826" i="2"/>
  <c r="H827" i="2"/>
  <c r="I827" i="2"/>
  <c r="J827" i="2"/>
  <c r="K827" i="2"/>
  <c r="H828" i="2"/>
  <c r="I828" i="2"/>
  <c r="J828" i="2"/>
  <c r="K828" i="2"/>
  <c r="H829" i="2"/>
  <c r="I829" i="2"/>
  <c r="J829" i="2"/>
  <c r="K829" i="2"/>
  <c r="H830" i="2"/>
  <c r="I830" i="2"/>
  <c r="J830" i="2"/>
  <c r="K830" i="2"/>
  <c r="H831" i="2"/>
  <c r="I831" i="2"/>
  <c r="J831" i="2"/>
  <c r="K831" i="2"/>
  <c r="H832" i="2"/>
  <c r="I832" i="2"/>
  <c r="J832" i="2"/>
  <c r="K832" i="2"/>
  <c r="H833" i="2"/>
  <c r="I833" i="2"/>
  <c r="J833" i="2"/>
  <c r="K833" i="2"/>
  <c r="H834" i="2"/>
  <c r="I834" i="2"/>
  <c r="J834" i="2"/>
  <c r="K834" i="2"/>
  <c r="H835" i="2"/>
  <c r="I835" i="2"/>
  <c r="J835" i="2"/>
  <c r="K835" i="2"/>
  <c r="H836" i="2"/>
  <c r="I836" i="2"/>
  <c r="J836" i="2"/>
  <c r="K836" i="2"/>
  <c r="H837" i="2"/>
  <c r="I837" i="2"/>
  <c r="J837" i="2"/>
  <c r="K837" i="2"/>
  <c r="H838" i="2"/>
  <c r="I838" i="2"/>
  <c r="J838" i="2"/>
  <c r="K838" i="2"/>
  <c r="H839" i="2"/>
  <c r="I839" i="2"/>
  <c r="J839" i="2"/>
  <c r="K839" i="2"/>
  <c r="H840" i="2"/>
  <c r="I840" i="2"/>
  <c r="J840" i="2"/>
  <c r="K840" i="2"/>
  <c r="H841" i="2"/>
  <c r="I841" i="2"/>
  <c r="J841" i="2"/>
  <c r="K841" i="2"/>
  <c r="H842" i="2"/>
  <c r="I842" i="2"/>
  <c r="J842" i="2"/>
  <c r="K842" i="2"/>
  <c r="H843" i="2"/>
  <c r="I843" i="2"/>
  <c r="J843" i="2"/>
  <c r="K843" i="2"/>
  <c r="H844" i="2"/>
  <c r="I844" i="2"/>
  <c r="J844" i="2"/>
  <c r="K844" i="2"/>
  <c r="H845" i="2"/>
  <c r="I845" i="2"/>
  <c r="J845" i="2"/>
  <c r="K845" i="2"/>
  <c r="H846" i="2"/>
  <c r="I846" i="2"/>
  <c r="J846" i="2"/>
  <c r="K846" i="2"/>
  <c r="H847" i="2"/>
  <c r="I847" i="2"/>
  <c r="J847" i="2"/>
  <c r="K847" i="2"/>
  <c r="H848" i="2"/>
  <c r="I848" i="2"/>
  <c r="J848" i="2"/>
  <c r="K848" i="2"/>
  <c r="H849" i="2"/>
  <c r="I849" i="2"/>
  <c r="J849" i="2"/>
  <c r="K849" i="2"/>
  <c r="H850" i="2"/>
  <c r="I850" i="2"/>
  <c r="J850" i="2"/>
  <c r="K850" i="2"/>
  <c r="H851" i="2"/>
  <c r="I851" i="2"/>
  <c r="J851" i="2"/>
  <c r="K851" i="2"/>
  <c r="H852" i="2"/>
  <c r="I852" i="2"/>
  <c r="J852" i="2"/>
  <c r="K852" i="2"/>
  <c r="H853" i="2"/>
  <c r="I853" i="2"/>
  <c r="J853" i="2"/>
  <c r="K853" i="2"/>
  <c r="H854" i="2"/>
  <c r="I854" i="2"/>
  <c r="J854" i="2"/>
  <c r="K854" i="2"/>
  <c r="H855" i="2"/>
  <c r="I855" i="2"/>
  <c r="J855" i="2"/>
  <c r="K855" i="2"/>
  <c r="H856" i="2"/>
  <c r="I856" i="2"/>
  <c r="J856" i="2"/>
  <c r="K856" i="2"/>
  <c r="H857" i="2"/>
  <c r="I857" i="2"/>
  <c r="J857" i="2"/>
  <c r="K857" i="2"/>
  <c r="H858" i="2"/>
  <c r="I858" i="2"/>
  <c r="J858" i="2"/>
  <c r="K858" i="2"/>
  <c r="H859" i="2"/>
  <c r="I859" i="2"/>
  <c r="J859" i="2"/>
  <c r="K859" i="2"/>
  <c r="H860" i="2"/>
  <c r="I860" i="2"/>
  <c r="J860" i="2"/>
  <c r="K860" i="2"/>
  <c r="H861" i="2"/>
  <c r="I861" i="2"/>
  <c r="J861" i="2"/>
  <c r="K861" i="2"/>
  <c r="H862" i="2"/>
  <c r="I862" i="2"/>
  <c r="J862" i="2"/>
  <c r="K862" i="2"/>
  <c r="H863" i="2"/>
  <c r="I863" i="2"/>
  <c r="J863" i="2"/>
  <c r="K863" i="2"/>
  <c r="H864" i="2"/>
  <c r="I864" i="2"/>
  <c r="J864" i="2"/>
  <c r="K864" i="2"/>
  <c r="H865" i="2"/>
  <c r="I865" i="2"/>
  <c r="J865" i="2"/>
  <c r="K865" i="2"/>
  <c r="H866" i="2"/>
  <c r="I866" i="2"/>
  <c r="J866" i="2"/>
  <c r="K866" i="2"/>
  <c r="H867" i="2"/>
  <c r="I867" i="2"/>
  <c r="J867" i="2"/>
  <c r="K867" i="2"/>
  <c r="H868" i="2"/>
  <c r="I868" i="2"/>
  <c r="J868" i="2"/>
  <c r="K868" i="2"/>
  <c r="H869" i="2"/>
  <c r="I869" i="2"/>
  <c r="J869" i="2"/>
  <c r="K869" i="2"/>
  <c r="H870" i="2"/>
  <c r="I870" i="2"/>
  <c r="J870" i="2"/>
  <c r="K870" i="2"/>
  <c r="H871" i="2"/>
  <c r="I871" i="2"/>
  <c r="J871" i="2"/>
  <c r="K871" i="2"/>
  <c r="H872" i="2"/>
  <c r="I872" i="2"/>
  <c r="J872" i="2"/>
  <c r="K872" i="2"/>
  <c r="H873" i="2"/>
  <c r="I873" i="2"/>
  <c r="J873" i="2"/>
  <c r="K873" i="2"/>
  <c r="H874" i="2"/>
  <c r="I874" i="2"/>
  <c r="J874" i="2"/>
  <c r="K874" i="2"/>
  <c r="H875" i="2"/>
  <c r="I875" i="2"/>
  <c r="J875" i="2"/>
  <c r="K875" i="2"/>
  <c r="H876" i="2"/>
  <c r="I876" i="2"/>
  <c r="J876" i="2"/>
  <c r="K876" i="2"/>
  <c r="H877" i="2"/>
  <c r="I877" i="2"/>
  <c r="J877" i="2"/>
  <c r="K877" i="2"/>
  <c r="H878" i="2"/>
  <c r="I878" i="2"/>
  <c r="J878" i="2"/>
  <c r="K878" i="2"/>
  <c r="H879" i="2"/>
  <c r="I879" i="2"/>
  <c r="J879" i="2"/>
  <c r="K879" i="2"/>
  <c r="H880" i="2"/>
  <c r="I880" i="2"/>
  <c r="J880" i="2"/>
  <c r="K880" i="2"/>
  <c r="H881" i="2"/>
  <c r="I881" i="2"/>
  <c r="J881" i="2"/>
  <c r="K881" i="2"/>
  <c r="H882" i="2"/>
  <c r="I882" i="2"/>
  <c r="J882" i="2"/>
  <c r="K882" i="2"/>
  <c r="H883" i="2"/>
  <c r="I883" i="2"/>
  <c r="J883" i="2"/>
  <c r="K883" i="2"/>
  <c r="H884" i="2"/>
  <c r="I884" i="2"/>
  <c r="J884" i="2"/>
  <c r="K884" i="2"/>
  <c r="H885" i="2"/>
  <c r="I885" i="2"/>
  <c r="J885" i="2"/>
  <c r="K885" i="2"/>
  <c r="H886" i="2"/>
  <c r="I886" i="2"/>
  <c r="J886" i="2"/>
  <c r="K886" i="2"/>
  <c r="H887" i="2"/>
  <c r="I887" i="2"/>
  <c r="J887" i="2"/>
  <c r="K887" i="2"/>
  <c r="H888" i="2"/>
  <c r="I888" i="2"/>
  <c r="J888" i="2"/>
  <c r="K888" i="2"/>
  <c r="H889" i="2"/>
  <c r="I889" i="2"/>
  <c r="J889" i="2"/>
  <c r="K889" i="2"/>
  <c r="H890" i="2"/>
  <c r="I890" i="2"/>
  <c r="J890" i="2"/>
  <c r="K890" i="2"/>
  <c r="H891" i="2"/>
  <c r="I891" i="2"/>
  <c r="J891" i="2"/>
  <c r="K891" i="2"/>
  <c r="H892" i="2"/>
  <c r="I892" i="2"/>
  <c r="J892" i="2"/>
  <c r="K892" i="2"/>
  <c r="H893" i="2"/>
  <c r="I893" i="2"/>
  <c r="J893" i="2"/>
  <c r="K893" i="2"/>
  <c r="H894" i="2"/>
  <c r="I894" i="2"/>
  <c r="J894" i="2"/>
  <c r="K894" i="2"/>
  <c r="H895" i="2"/>
  <c r="I895" i="2"/>
  <c r="J895" i="2"/>
  <c r="K895" i="2"/>
  <c r="H896" i="2"/>
  <c r="I896" i="2"/>
  <c r="J896" i="2"/>
  <c r="K896" i="2"/>
  <c r="H897" i="2"/>
  <c r="I897" i="2"/>
  <c r="J897" i="2"/>
  <c r="K897" i="2"/>
  <c r="H898" i="2"/>
  <c r="I898" i="2"/>
  <c r="J898" i="2"/>
  <c r="K898" i="2"/>
  <c r="H899" i="2"/>
  <c r="I899" i="2"/>
  <c r="J899" i="2"/>
  <c r="K899" i="2"/>
  <c r="H900" i="2"/>
  <c r="I900" i="2"/>
  <c r="J900" i="2"/>
  <c r="K900" i="2"/>
  <c r="H901" i="2"/>
  <c r="I901" i="2"/>
  <c r="J901" i="2"/>
  <c r="K901" i="2"/>
  <c r="H902" i="2"/>
  <c r="I902" i="2"/>
  <c r="J902" i="2"/>
  <c r="K902" i="2"/>
  <c r="H903" i="2"/>
  <c r="I903" i="2"/>
  <c r="J903" i="2"/>
  <c r="K903" i="2"/>
  <c r="H904" i="2"/>
  <c r="I904" i="2"/>
  <c r="J904" i="2"/>
  <c r="K904" i="2"/>
  <c r="H905" i="2"/>
  <c r="I905" i="2"/>
  <c r="J905" i="2"/>
  <c r="K905" i="2"/>
  <c r="H906" i="2"/>
  <c r="I906" i="2"/>
  <c r="J906" i="2"/>
  <c r="K906" i="2"/>
  <c r="H907" i="2"/>
  <c r="I907" i="2"/>
  <c r="J907" i="2"/>
  <c r="K907" i="2"/>
  <c r="H908" i="2"/>
  <c r="I908" i="2"/>
  <c r="J908" i="2"/>
  <c r="K908" i="2"/>
  <c r="H909" i="2"/>
  <c r="I909" i="2"/>
  <c r="J909" i="2"/>
  <c r="K909" i="2"/>
  <c r="H910" i="2"/>
  <c r="I910" i="2"/>
  <c r="J910" i="2"/>
  <c r="K910" i="2"/>
  <c r="H911" i="2"/>
  <c r="I911" i="2"/>
  <c r="J911" i="2"/>
  <c r="K911" i="2"/>
  <c r="H912" i="2"/>
  <c r="I912" i="2"/>
  <c r="J912" i="2"/>
  <c r="K912" i="2"/>
  <c r="H913" i="2"/>
  <c r="I913" i="2"/>
  <c r="J913" i="2"/>
  <c r="K913" i="2"/>
  <c r="H914" i="2"/>
  <c r="I914" i="2"/>
  <c r="J914" i="2"/>
  <c r="K914" i="2"/>
  <c r="H915" i="2"/>
  <c r="I915" i="2"/>
  <c r="J915" i="2"/>
  <c r="K915" i="2"/>
  <c r="H916" i="2"/>
  <c r="I916" i="2"/>
  <c r="J916" i="2"/>
  <c r="K916" i="2"/>
  <c r="H917" i="2"/>
  <c r="I917" i="2"/>
  <c r="J917" i="2"/>
  <c r="K917" i="2"/>
  <c r="H918" i="2"/>
  <c r="I918" i="2"/>
  <c r="J918" i="2"/>
  <c r="K918" i="2"/>
  <c r="H919" i="2"/>
  <c r="I919" i="2"/>
  <c r="J919" i="2"/>
  <c r="K919" i="2"/>
  <c r="H920" i="2"/>
  <c r="I920" i="2"/>
  <c r="J920" i="2"/>
  <c r="K920" i="2"/>
  <c r="H921" i="2"/>
  <c r="I921" i="2"/>
  <c r="J921" i="2"/>
  <c r="K921" i="2"/>
  <c r="H922" i="2"/>
  <c r="I922" i="2"/>
  <c r="J922" i="2"/>
  <c r="K922" i="2"/>
  <c r="H923" i="2"/>
  <c r="I923" i="2"/>
  <c r="J923" i="2"/>
  <c r="K923" i="2"/>
  <c r="H924" i="2"/>
  <c r="I924" i="2"/>
  <c r="J924" i="2"/>
  <c r="K924" i="2"/>
  <c r="H925" i="2"/>
  <c r="I925" i="2"/>
  <c r="J925" i="2"/>
  <c r="K925" i="2"/>
  <c r="H926" i="2"/>
  <c r="I926" i="2"/>
  <c r="J926" i="2"/>
  <c r="K926" i="2"/>
  <c r="H927" i="2"/>
  <c r="I927" i="2"/>
  <c r="J927" i="2"/>
  <c r="K927" i="2"/>
  <c r="H928" i="2"/>
  <c r="I928" i="2"/>
  <c r="J928" i="2"/>
  <c r="K928" i="2"/>
  <c r="H929" i="2"/>
  <c r="I929" i="2"/>
  <c r="J929" i="2"/>
  <c r="K929" i="2"/>
  <c r="H930" i="2"/>
  <c r="I930" i="2"/>
  <c r="J930" i="2"/>
  <c r="K930" i="2"/>
  <c r="H931" i="2"/>
  <c r="I931" i="2"/>
  <c r="J931" i="2"/>
  <c r="K931" i="2"/>
  <c r="H932" i="2"/>
  <c r="I932" i="2"/>
  <c r="J932" i="2"/>
  <c r="K932" i="2"/>
  <c r="H933" i="2"/>
  <c r="I933" i="2"/>
  <c r="J933" i="2"/>
  <c r="K933" i="2"/>
  <c r="H934" i="2"/>
  <c r="I934" i="2"/>
  <c r="J934" i="2"/>
  <c r="K934" i="2"/>
  <c r="H935" i="2"/>
  <c r="I935" i="2"/>
  <c r="J935" i="2"/>
  <c r="K935" i="2"/>
  <c r="H936" i="2"/>
  <c r="I936" i="2"/>
  <c r="J936" i="2"/>
  <c r="K936" i="2"/>
  <c r="H937" i="2"/>
  <c r="I937" i="2"/>
  <c r="J937" i="2"/>
  <c r="K937" i="2"/>
  <c r="H938" i="2"/>
  <c r="I938" i="2"/>
  <c r="J938" i="2"/>
  <c r="K938" i="2"/>
  <c r="H939" i="2"/>
  <c r="I939" i="2"/>
  <c r="J939" i="2"/>
  <c r="K939" i="2"/>
  <c r="H940" i="2"/>
  <c r="I940" i="2"/>
  <c r="J940" i="2"/>
  <c r="K940" i="2"/>
  <c r="H941" i="2"/>
  <c r="I941" i="2"/>
  <c r="J941" i="2"/>
  <c r="K941" i="2"/>
  <c r="H942" i="2"/>
  <c r="I942" i="2"/>
  <c r="J942" i="2"/>
  <c r="K942" i="2"/>
  <c r="H943" i="2"/>
  <c r="I943" i="2"/>
  <c r="J943" i="2"/>
  <c r="K943" i="2"/>
  <c r="H944" i="2"/>
  <c r="I944" i="2"/>
  <c r="J944" i="2"/>
  <c r="K944" i="2"/>
  <c r="H945" i="2"/>
  <c r="I945" i="2"/>
  <c r="J945" i="2"/>
  <c r="K945" i="2"/>
  <c r="H946" i="2"/>
  <c r="I946" i="2"/>
  <c r="J946" i="2"/>
  <c r="K946" i="2"/>
  <c r="H947" i="2"/>
  <c r="I947" i="2"/>
  <c r="J947" i="2"/>
  <c r="K947" i="2"/>
  <c r="H948" i="2"/>
  <c r="I948" i="2"/>
  <c r="J948" i="2"/>
  <c r="K948" i="2"/>
  <c r="H949" i="2"/>
  <c r="I949" i="2"/>
  <c r="J949" i="2"/>
  <c r="K949" i="2"/>
  <c r="H950" i="2"/>
  <c r="I950" i="2"/>
  <c r="J950" i="2"/>
  <c r="K950" i="2"/>
  <c r="H951" i="2"/>
  <c r="I951" i="2"/>
  <c r="J951" i="2"/>
  <c r="K951" i="2"/>
  <c r="H952" i="2"/>
  <c r="I952" i="2"/>
  <c r="J952" i="2"/>
  <c r="K952" i="2"/>
  <c r="H953" i="2"/>
  <c r="I953" i="2"/>
  <c r="J953" i="2"/>
  <c r="K953" i="2"/>
  <c r="H954" i="2"/>
  <c r="I954" i="2"/>
  <c r="J954" i="2"/>
  <c r="K954" i="2"/>
  <c r="H955" i="2"/>
  <c r="I955" i="2"/>
  <c r="J955" i="2"/>
  <c r="K955" i="2"/>
  <c r="H956" i="2"/>
  <c r="I956" i="2"/>
  <c r="J956" i="2"/>
  <c r="K956" i="2"/>
  <c r="H957" i="2"/>
  <c r="I957" i="2"/>
  <c r="J957" i="2"/>
  <c r="K957" i="2"/>
  <c r="H958" i="2"/>
  <c r="I958" i="2"/>
  <c r="J958" i="2"/>
  <c r="K958" i="2"/>
  <c r="H959" i="2"/>
  <c r="I959" i="2"/>
  <c r="J959" i="2"/>
  <c r="K959" i="2"/>
  <c r="H960" i="2"/>
  <c r="I960" i="2"/>
  <c r="J960" i="2"/>
  <c r="K960" i="2"/>
  <c r="H961" i="2"/>
  <c r="I961" i="2"/>
  <c r="J961" i="2"/>
  <c r="K961" i="2"/>
  <c r="H962" i="2"/>
  <c r="I962" i="2"/>
  <c r="J962" i="2"/>
  <c r="K962" i="2"/>
  <c r="H963" i="2"/>
  <c r="I963" i="2"/>
  <c r="J963" i="2"/>
  <c r="K963" i="2"/>
  <c r="H964" i="2"/>
  <c r="I964" i="2"/>
  <c r="J964" i="2"/>
  <c r="K964" i="2"/>
  <c r="H965" i="2"/>
  <c r="I965" i="2"/>
  <c r="J965" i="2"/>
  <c r="K965" i="2"/>
  <c r="H966" i="2"/>
  <c r="I966" i="2"/>
  <c r="J966" i="2"/>
  <c r="K966" i="2"/>
  <c r="H967" i="2"/>
  <c r="I967" i="2"/>
  <c r="J967" i="2"/>
  <c r="K967" i="2"/>
  <c r="H968" i="2"/>
  <c r="I968" i="2"/>
  <c r="J968" i="2"/>
  <c r="K968" i="2"/>
  <c r="H969" i="2"/>
  <c r="I969" i="2"/>
  <c r="J969" i="2"/>
  <c r="K969" i="2"/>
  <c r="H970" i="2"/>
  <c r="I970" i="2"/>
  <c r="J970" i="2"/>
  <c r="K970" i="2"/>
  <c r="H971" i="2"/>
  <c r="I971" i="2"/>
  <c r="J971" i="2"/>
  <c r="K971" i="2"/>
  <c r="H972" i="2"/>
  <c r="I972" i="2"/>
  <c r="J972" i="2"/>
  <c r="K972" i="2"/>
  <c r="H973" i="2"/>
  <c r="I973" i="2"/>
  <c r="J973" i="2"/>
  <c r="K973" i="2"/>
  <c r="H974" i="2"/>
  <c r="I974" i="2"/>
  <c r="J974" i="2"/>
  <c r="K974" i="2"/>
  <c r="H975" i="2"/>
  <c r="I975" i="2"/>
  <c r="J975" i="2"/>
  <c r="K975" i="2"/>
  <c r="H976" i="2"/>
  <c r="I976" i="2"/>
  <c r="J976" i="2"/>
  <c r="K976" i="2"/>
  <c r="H977" i="2"/>
  <c r="I977" i="2"/>
  <c r="J977" i="2"/>
  <c r="K977" i="2"/>
  <c r="H978" i="2"/>
  <c r="I978" i="2"/>
  <c r="J978" i="2"/>
  <c r="K978" i="2"/>
  <c r="H979" i="2"/>
  <c r="I979" i="2"/>
  <c r="J979" i="2"/>
  <c r="K979" i="2"/>
  <c r="H980" i="2"/>
  <c r="I980" i="2"/>
  <c r="J980" i="2"/>
  <c r="K980" i="2"/>
  <c r="H981" i="2"/>
  <c r="I981" i="2"/>
  <c r="J981" i="2"/>
  <c r="K981" i="2"/>
  <c r="H982" i="2"/>
  <c r="I982" i="2"/>
  <c r="J982" i="2"/>
  <c r="K982" i="2"/>
  <c r="H983" i="2"/>
  <c r="I983" i="2"/>
  <c r="J983" i="2"/>
  <c r="K983" i="2"/>
  <c r="H984" i="2"/>
  <c r="I984" i="2"/>
  <c r="J984" i="2"/>
  <c r="K984" i="2"/>
  <c r="H985" i="2"/>
  <c r="I985" i="2"/>
  <c r="J985" i="2"/>
  <c r="K985" i="2"/>
  <c r="H986" i="2"/>
  <c r="I986" i="2"/>
  <c r="J986" i="2"/>
  <c r="K986" i="2"/>
  <c r="H987" i="2"/>
  <c r="I987" i="2"/>
  <c r="J987" i="2"/>
  <c r="K987" i="2"/>
  <c r="H988" i="2"/>
  <c r="I988" i="2"/>
  <c r="J988" i="2"/>
  <c r="K988" i="2"/>
  <c r="H989" i="2"/>
  <c r="I989" i="2"/>
  <c r="J989" i="2"/>
  <c r="K989" i="2"/>
  <c r="H990" i="2"/>
  <c r="I990" i="2"/>
  <c r="J990" i="2"/>
  <c r="K990" i="2"/>
  <c r="H991" i="2"/>
  <c r="I991" i="2"/>
  <c r="J991" i="2"/>
  <c r="K991" i="2"/>
  <c r="H992" i="2"/>
  <c r="I992" i="2"/>
  <c r="J992" i="2"/>
  <c r="K992" i="2"/>
  <c r="H993" i="2"/>
  <c r="I993" i="2"/>
  <c r="J993" i="2"/>
  <c r="K993" i="2"/>
  <c r="H994" i="2"/>
  <c r="I994" i="2"/>
  <c r="J994" i="2"/>
  <c r="K994" i="2"/>
  <c r="H995" i="2"/>
  <c r="I995" i="2"/>
  <c r="J995" i="2"/>
  <c r="K995" i="2"/>
  <c r="H996" i="2"/>
  <c r="I996" i="2"/>
  <c r="J996" i="2"/>
  <c r="K996" i="2"/>
  <c r="H997" i="2"/>
  <c r="I997" i="2"/>
  <c r="J997" i="2"/>
  <c r="K997" i="2"/>
  <c r="H998" i="2"/>
  <c r="I998" i="2"/>
  <c r="J998" i="2"/>
  <c r="K998" i="2"/>
  <c r="H999" i="2"/>
  <c r="I999" i="2"/>
  <c r="J999" i="2"/>
  <c r="K999" i="2"/>
  <c r="H1000" i="2"/>
  <c r="I1000" i="2"/>
  <c r="J1000" i="2"/>
  <c r="K1000" i="2"/>
  <c r="H1001" i="2"/>
  <c r="I1001" i="2"/>
  <c r="J1001" i="2"/>
  <c r="K1001" i="2"/>
  <c r="H1002" i="2"/>
  <c r="I1002" i="2"/>
  <c r="J1002" i="2"/>
  <c r="K1002" i="2"/>
  <c r="H1003" i="2"/>
  <c r="I1003" i="2"/>
  <c r="J1003" i="2"/>
  <c r="K1003" i="2"/>
  <c r="H1004" i="2"/>
  <c r="I1004" i="2"/>
  <c r="J1004" i="2"/>
  <c r="K1004" i="2"/>
  <c r="H1005" i="2"/>
  <c r="I1005" i="2"/>
  <c r="J1005" i="2"/>
  <c r="K1005" i="2"/>
  <c r="H1006" i="2"/>
  <c r="I1006" i="2"/>
  <c r="J1006" i="2"/>
  <c r="K1006" i="2"/>
  <c r="H1007" i="2"/>
  <c r="I1007" i="2"/>
  <c r="J1007" i="2"/>
  <c r="K1007" i="2"/>
  <c r="H1008" i="2"/>
  <c r="I1008" i="2"/>
  <c r="J1008" i="2"/>
  <c r="K1008" i="2"/>
  <c r="H1009" i="2"/>
  <c r="I1009" i="2"/>
  <c r="J1009" i="2"/>
  <c r="K1009" i="2"/>
  <c r="H1010" i="2"/>
  <c r="I1010" i="2"/>
  <c r="J1010" i="2"/>
  <c r="K1010" i="2"/>
  <c r="H1011" i="2"/>
  <c r="I1011" i="2"/>
  <c r="J1011" i="2"/>
  <c r="K1011" i="2"/>
  <c r="H1012" i="2"/>
  <c r="I1012" i="2"/>
  <c r="J1012" i="2"/>
  <c r="K1012" i="2"/>
  <c r="H1013" i="2"/>
  <c r="I1013" i="2"/>
  <c r="J1013" i="2"/>
  <c r="K1013" i="2"/>
  <c r="H1014" i="2"/>
  <c r="I1014" i="2"/>
  <c r="J1014" i="2"/>
  <c r="K1014" i="2"/>
  <c r="H1015" i="2"/>
  <c r="I1015" i="2"/>
  <c r="J1015" i="2"/>
  <c r="K1015" i="2"/>
  <c r="H1016" i="2"/>
  <c r="I1016" i="2"/>
  <c r="J1016" i="2"/>
  <c r="K1016" i="2"/>
  <c r="H1017" i="2"/>
  <c r="I1017" i="2"/>
  <c r="J1017" i="2"/>
  <c r="K1017" i="2"/>
  <c r="H1018" i="2"/>
  <c r="I1018" i="2"/>
  <c r="J1018" i="2"/>
  <c r="K1018" i="2"/>
  <c r="H1019" i="2"/>
  <c r="I1019" i="2"/>
  <c r="J1019" i="2"/>
  <c r="K1019" i="2"/>
  <c r="H1020" i="2"/>
  <c r="I1020" i="2"/>
  <c r="J1020" i="2"/>
  <c r="K1020" i="2"/>
  <c r="H1021" i="2"/>
  <c r="I1021" i="2"/>
  <c r="J1021" i="2"/>
  <c r="K1021" i="2"/>
  <c r="H1022" i="2"/>
  <c r="I1022" i="2"/>
  <c r="J1022" i="2"/>
  <c r="K1022" i="2"/>
  <c r="H1023" i="2"/>
  <c r="I1023" i="2"/>
  <c r="J1023" i="2"/>
  <c r="K1023" i="2"/>
  <c r="H1024" i="2"/>
  <c r="I1024" i="2"/>
  <c r="J1024" i="2"/>
  <c r="K1024" i="2"/>
  <c r="H1025" i="2"/>
  <c r="I1025" i="2"/>
  <c r="J1025" i="2"/>
  <c r="K1025" i="2"/>
  <c r="H1026" i="2"/>
  <c r="I1026" i="2"/>
  <c r="J1026" i="2"/>
  <c r="K1026" i="2"/>
  <c r="H1027" i="2"/>
  <c r="I1027" i="2"/>
  <c r="J1027" i="2"/>
  <c r="K1027" i="2"/>
  <c r="H1028" i="2"/>
  <c r="I1028" i="2"/>
  <c r="J1028" i="2"/>
  <c r="K1028" i="2"/>
  <c r="H1029" i="2"/>
  <c r="I1029" i="2"/>
  <c r="J1029" i="2"/>
  <c r="K1029" i="2"/>
  <c r="H1030" i="2"/>
  <c r="I1030" i="2"/>
  <c r="J1030" i="2"/>
  <c r="K1030" i="2"/>
  <c r="H1031" i="2"/>
  <c r="I1031" i="2"/>
  <c r="J1031" i="2"/>
  <c r="K1031" i="2"/>
  <c r="H1032" i="2"/>
  <c r="I1032" i="2"/>
  <c r="J1032" i="2"/>
  <c r="K1032" i="2"/>
  <c r="H1033" i="2"/>
  <c r="I1033" i="2"/>
  <c r="J1033" i="2"/>
  <c r="K1033" i="2"/>
  <c r="H1034" i="2"/>
  <c r="I1034" i="2"/>
  <c r="J1034" i="2"/>
  <c r="K1034" i="2"/>
  <c r="H1035" i="2"/>
  <c r="I1035" i="2"/>
  <c r="J1035" i="2"/>
  <c r="K1035" i="2"/>
  <c r="H1036" i="2"/>
  <c r="I1036" i="2"/>
  <c r="J1036" i="2"/>
  <c r="K1036" i="2"/>
  <c r="H1037" i="2"/>
  <c r="I1037" i="2"/>
  <c r="J1037" i="2"/>
  <c r="K1037" i="2"/>
  <c r="H1038" i="2"/>
  <c r="I1038" i="2"/>
  <c r="J1038" i="2"/>
  <c r="K1038" i="2"/>
  <c r="H1039" i="2"/>
  <c r="I1039" i="2"/>
  <c r="J1039" i="2"/>
  <c r="K1039" i="2"/>
  <c r="H1040" i="2"/>
  <c r="I1040" i="2"/>
  <c r="J1040" i="2"/>
  <c r="K1040" i="2"/>
  <c r="H1041" i="2"/>
  <c r="I1041" i="2"/>
  <c r="J1041" i="2"/>
  <c r="K1041" i="2"/>
  <c r="H1042" i="2"/>
  <c r="I1042" i="2"/>
  <c r="J1042" i="2"/>
  <c r="K1042" i="2"/>
  <c r="H1043" i="2"/>
  <c r="I1043" i="2"/>
  <c r="J1043" i="2"/>
  <c r="K1043" i="2"/>
  <c r="H1044" i="2"/>
  <c r="I1044" i="2"/>
  <c r="J1044" i="2"/>
  <c r="K1044" i="2"/>
  <c r="H1045" i="2"/>
  <c r="I1045" i="2"/>
  <c r="J1045" i="2"/>
  <c r="K1045" i="2"/>
  <c r="H1046" i="2"/>
  <c r="I1046" i="2"/>
  <c r="J1046" i="2"/>
  <c r="K1046" i="2"/>
  <c r="H1047" i="2"/>
  <c r="I1047" i="2"/>
  <c r="J1047" i="2"/>
  <c r="K1047" i="2"/>
  <c r="H1048" i="2"/>
  <c r="I1048" i="2"/>
  <c r="J1048" i="2"/>
  <c r="K1048" i="2"/>
  <c r="H1049" i="2"/>
  <c r="I1049" i="2"/>
  <c r="J1049" i="2"/>
  <c r="K1049" i="2"/>
  <c r="H1050" i="2"/>
  <c r="I1050" i="2"/>
  <c r="J1050" i="2"/>
  <c r="K1050" i="2"/>
  <c r="H1051" i="2"/>
  <c r="I1051" i="2"/>
  <c r="J1051" i="2"/>
  <c r="K1051" i="2"/>
  <c r="H1052" i="2"/>
  <c r="I1052" i="2"/>
  <c r="J1052" i="2"/>
  <c r="K1052" i="2"/>
  <c r="H1053" i="2"/>
  <c r="I1053" i="2"/>
  <c r="J1053" i="2"/>
  <c r="K1053" i="2"/>
  <c r="H1054" i="2"/>
  <c r="I1054" i="2"/>
  <c r="J1054" i="2"/>
  <c r="K1054" i="2"/>
  <c r="H1055" i="2"/>
  <c r="I1055" i="2"/>
  <c r="J1055" i="2"/>
  <c r="K1055" i="2"/>
  <c r="H1056" i="2"/>
  <c r="I1056" i="2"/>
  <c r="J1056" i="2"/>
  <c r="K1056" i="2"/>
  <c r="H1057" i="2"/>
  <c r="I1057" i="2"/>
  <c r="J1057" i="2"/>
  <c r="K1057" i="2"/>
  <c r="H1058" i="2"/>
  <c r="I1058" i="2"/>
  <c r="J1058" i="2"/>
  <c r="K1058" i="2"/>
  <c r="H1059" i="2"/>
  <c r="I1059" i="2"/>
  <c r="J1059" i="2"/>
  <c r="K1059" i="2"/>
  <c r="H1060" i="2"/>
  <c r="I1060" i="2"/>
  <c r="J1060" i="2"/>
  <c r="K1060" i="2"/>
  <c r="H1061" i="2"/>
  <c r="I1061" i="2"/>
  <c r="J1061" i="2"/>
  <c r="K1061" i="2"/>
  <c r="H1062" i="2"/>
  <c r="I1062" i="2"/>
  <c r="J1062" i="2"/>
  <c r="K1062" i="2"/>
  <c r="H1063" i="2"/>
  <c r="I1063" i="2"/>
  <c r="J1063" i="2"/>
  <c r="K1063" i="2"/>
  <c r="H1064" i="2"/>
  <c r="I1064" i="2"/>
  <c r="J1064" i="2"/>
  <c r="K1064" i="2"/>
  <c r="H1065" i="2"/>
  <c r="I1065" i="2"/>
  <c r="J1065" i="2"/>
  <c r="K1065" i="2"/>
  <c r="H1066" i="2"/>
  <c r="I1066" i="2"/>
  <c r="J1066" i="2"/>
  <c r="K1066" i="2"/>
  <c r="H1067" i="2"/>
  <c r="I1067" i="2"/>
  <c r="J1067" i="2"/>
  <c r="K1067" i="2"/>
  <c r="H1068" i="2"/>
  <c r="I1068" i="2"/>
  <c r="J1068" i="2"/>
  <c r="K1068" i="2"/>
  <c r="H1069" i="2"/>
  <c r="I1069" i="2"/>
  <c r="J1069" i="2"/>
  <c r="K1069" i="2"/>
  <c r="H1070" i="2"/>
  <c r="I1070" i="2"/>
  <c r="J1070" i="2"/>
  <c r="K1070" i="2"/>
  <c r="H1071" i="2"/>
  <c r="I1071" i="2"/>
  <c r="J1071" i="2"/>
  <c r="K1071" i="2"/>
  <c r="H1072" i="2"/>
  <c r="I1072" i="2"/>
  <c r="J1072" i="2"/>
  <c r="K1072" i="2"/>
  <c r="H1073" i="2"/>
  <c r="I1073" i="2"/>
  <c r="J1073" i="2"/>
  <c r="K1073" i="2"/>
  <c r="H1074" i="2"/>
  <c r="I1074" i="2"/>
  <c r="J1074" i="2"/>
  <c r="K1074" i="2"/>
  <c r="H1075" i="2"/>
  <c r="I1075" i="2"/>
  <c r="J1075" i="2"/>
  <c r="K1075" i="2"/>
  <c r="H1076" i="2"/>
  <c r="I1076" i="2"/>
  <c r="J1076" i="2"/>
  <c r="K1076" i="2"/>
  <c r="H1077" i="2"/>
  <c r="I1077" i="2"/>
  <c r="J1077" i="2"/>
  <c r="K1077" i="2"/>
  <c r="H1078" i="2"/>
  <c r="I1078" i="2"/>
  <c r="J1078" i="2"/>
  <c r="K1078" i="2"/>
  <c r="H1079" i="2"/>
  <c r="I1079" i="2"/>
  <c r="J1079" i="2"/>
  <c r="K1079" i="2"/>
  <c r="H1080" i="2"/>
  <c r="I1080" i="2"/>
  <c r="J1080" i="2"/>
  <c r="K1080" i="2"/>
  <c r="H1081" i="2"/>
  <c r="I1081" i="2"/>
  <c r="J1081" i="2"/>
  <c r="K1081" i="2"/>
  <c r="H1082" i="2"/>
  <c r="I1082" i="2"/>
  <c r="J1082" i="2"/>
  <c r="K1082" i="2"/>
  <c r="H1083" i="2"/>
  <c r="I1083" i="2"/>
  <c r="J1083" i="2"/>
  <c r="K1083" i="2"/>
  <c r="H1084" i="2"/>
  <c r="I1084" i="2"/>
  <c r="J1084" i="2"/>
  <c r="K1084" i="2"/>
  <c r="H1085" i="2"/>
  <c r="I1085" i="2"/>
  <c r="J1085" i="2"/>
  <c r="K1085" i="2"/>
  <c r="H1086" i="2"/>
  <c r="I1086" i="2"/>
  <c r="J1086" i="2"/>
  <c r="K1086" i="2"/>
  <c r="H1087" i="2"/>
  <c r="I1087" i="2"/>
  <c r="J1087" i="2"/>
  <c r="K1087" i="2"/>
  <c r="H1088" i="2"/>
  <c r="I1088" i="2"/>
  <c r="J1088" i="2"/>
  <c r="K1088" i="2"/>
  <c r="H1089" i="2"/>
  <c r="I1089" i="2"/>
  <c r="J1089" i="2"/>
  <c r="K1089" i="2"/>
  <c r="H1090" i="2"/>
  <c r="I1090" i="2"/>
  <c r="J1090" i="2"/>
  <c r="K1090" i="2"/>
  <c r="H1091" i="2"/>
  <c r="I1091" i="2"/>
  <c r="J1091" i="2"/>
  <c r="K1091" i="2"/>
  <c r="H1092" i="2"/>
  <c r="I1092" i="2"/>
  <c r="J1092" i="2"/>
  <c r="K1092" i="2"/>
  <c r="H1093" i="2"/>
  <c r="I1093" i="2"/>
  <c r="J1093" i="2"/>
  <c r="K1093" i="2"/>
  <c r="H1094" i="2"/>
  <c r="I1094" i="2"/>
  <c r="J1094" i="2"/>
  <c r="K1094" i="2"/>
  <c r="H1095" i="2"/>
  <c r="I1095" i="2"/>
  <c r="J1095" i="2"/>
  <c r="K1095" i="2"/>
  <c r="H1096" i="2"/>
  <c r="I1096" i="2"/>
  <c r="J1096" i="2"/>
  <c r="K1096" i="2"/>
  <c r="H1097" i="2"/>
  <c r="I1097" i="2"/>
  <c r="J1097" i="2"/>
  <c r="K1097" i="2"/>
  <c r="H1098" i="2"/>
  <c r="I1098" i="2"/>
  <c r="J1098" i="2"/>
  <c r="K1098" i="2"/>
  <c r="H1099" i="2"/>
  <c r="I1099" i="2"/>
  <c r="J1099" i="2"/>
  <c r="K1099" i="2"/>
  <c r="H1100" i="2"/>
  <c r="I1100" i="2"/>
  <c r="J1100" i="2"/>
  <c r="K1100" i="2"/>
  <c r="H1101" i="2"/>
  <c r="I1101" i="2"/>
  <c r="J1101" i="2"/>
  <c r="K1101" i="2"/>
  <c r="H1102" i="2"/>
  <c r="I1102" i="2"/>
  <c r="J1102" i="2"/>
  <c r="K1102" i="2"/>
  <c r="H1103" i="2"/>
  <c r="I1103" i="2"/>
  <c r="J1103" i="2"/>
  <c r="K1103" i="2"/>
  <c r="H1104" i="2"/>
  <c r="I1104" i="2"/>
  <c r="J1104" i="2"/>
  <c r="K1104" i="2"/>
  <c r="H1105" i="2"/>
  <c r="I1105" i="2"/>
  <c r="J1105" i="2"/>
  <c r="K1105" i="2"/>
  <c r="H1106" i="2"/>
  <c r="I1106" i="2"/>
  <c r="J1106" i="2"/>
  <c r="K1106" i="2"/>
  <c r="H1107" i="2"/>
  <c r="I1107" i="2"/>
  <c r="J1107" i="2"/>
  <c r="K1107" i="2"/>
  <c r="H1108" i="2"/>
  <c r="I1108" i="2"/>
  <c r="J1108" i="2"/>
  <c r="K1108" i="2"/>
  <c r="H1109" i="2"/>
  <c r="I1109" i="2"/>
  <c r="J1109" i="2"/>
  <c r="K1109" i="2"/>
  <c r="H1110" i="2"/>
  <c r="I1110" i="2"/>
  <c r="J1110" i="2"/>
  <c r="K1110" i="2"/>
  <c r="H1111" i="2"/>
  <c r="I1111" i="2"/>
  <c r="J1111" i="2"/>
  <c r="K1111" i="2"/>
  <c r="H1112" i="2"/>
  <c r="I1112" i="2"/>
  <c r="J1112" i="2"/>
  <c r="K1112" i="2"/>
  <c r="H1113" i="2"/>
  <c r="I1113" i="2"/>
  <c r="J1113" i="2"/>
  <c r="K1113" i="2"/>
  <c r="H1114" i="2"/>
  <c r="I1114" i="2"/>
  <c r="J1114" i="2"/>
  <c r="K1114" i="2"/>
  <c r="H1115" i="2"/>
  <c r="I1115" i="2"/>
  <c r="J1115" i="2"/>
  <c r="K1115" i="2"/>
  <c r="H1116" i="2"/>
  <c r="I1116" i="2"/>
  <c r="J1116" i="2"/>
  <c r="K1116" i="2"/>
  <c r="H1117" i="2"/>
  <c r="I1117" i="2"/>
  <c r="J1117" i="2"/>
  <c r="K1117" i="2"/>
  <c r="H1118" i="2"/>
  <c r="I1118" i="2"/>
  <c r="J1118" i="2"/>
  <c r="K1118" i="2"/>
  <c r="H1119" i="2"/>
  <c r="I1119" i="2"/>
  <c r="J1119" i="2"/>
  <c r="K1119" i="2"/>
  <c r="H1120" i="2"/>
  <c r="I1120" i="2"/>
  <c r="J1120" i="2"/>
  <c r="K1120" i="2"/>
  <c r="H1121" i="2"/>
  <c r="I1121" i="2"/>
  <c r="J1121" i="2"/>
  <c r="K1121" i="2"/>
  <c r="H1122" i="2"/>
  <c r="I1122" i="2"/>
  <c r="J1122" i="2"/>
  <c r="K1122" i="2"/>
  <c r="H1123" i="2"/>
  <c r="I1123" i="2"/>
  <c r="J1123" i="2"/>
  <c r="K1123" i="2"/>
  <c r="H1124" i="2"/>
  <c r="I1124" i="2"/>
  <c r="J1124" i="2"/>
  <c r="K1124" i="2"/>
  <c r="H1125" i="2"/>
  <c r="I1125" i="2"/>
  <c r="J1125" i="2"/>
  <c r="K1125" i="2"/>
  <c r="H1126" i="2"/>
  <c r="I1126" i="2"/>
  <c r="J1126" i="2"/>
  <c r="K1126" i="2"/>
  <c r="H1127" i="2"/>
  <c r="I1127" i="2"/>
  <c r="J1127" i="2"/>
  <c r="K1127" i="2"/>
  <c r="H1128" i="2"/>
  <c r="I1128" i="2"/>
  <c r="J1128" i="2"/>
  <c r="K1128" i="2"/>
  <c r="H1129" i="2"/>
  <c r="I1129" i="2"/>
  <c r="J1129" i="2"/>
  <c r="K1129" i="2"/>
  <c r="H1130" i="2"/>
  <c r="I1130" i="2"/>
  <c r="J1130" i="2"/>
  <c r="K1130" i="2"/>
  <c r="H1131" i="2"/>
  <c r="I1131" i="2"/>
  <c r="J1131" i="2"/>
  <c r="K1131" i="2"/>
  <c r="H1132" i="2"/>
  <c r="I1132" i="2"/>
  <c r="J1132" i="2"/>
  <c r="K1132" i="2"/>
  <c r="H1133" i="2"/>
  <c r="I1133" i="2"/>
  <c r="J1133" i="2"/>
  <c r="K1133" i="2"/>
  <c r="H1134" i="2"/>
  <c r="I1134" i="2"/>
  <c r="J1134" i="2"/>
  <c r="K1134" i="2"/>
  <c r="H1135" i="2"/>
  <c r="I1135" i="2"/>
  <c r="J1135" i="2"/>
  <c r="K1135" i="2"/>
  <c r="H1136" i="2"/>
  <c r="I1136" i="2"/>
  <c r="J1136" i="2"/>
  <c r="K1136" i="2"/>
  <c r="H1137" i="2"/>
  <c r="I1137" i="2"/>
  <c r="J1137" i="2"/>
  <c r="K1137" i="2"/>
  <c r="H1138" i="2"/>
  <c r="I1138" i="2"/>
  <c r="J1138" i="2"/>
  <c r="K1138" i="2"/>
  <c r="H1139" i="2"/>
  <c r="I1139" i="2"/>
  <c r="J1139" i="2"/>
  <c r="K1139" i="2"/>
  <c r="H1140" i="2"/>
  <c r="I1140" i="2"/>
  <c r="J1140" i="2"/>
  <c r="K1140" i="2"/>
  <c r="H1141" i="2"/>
  <c r="I1141" i="2"/>
  <c r="J1141" i="2"/>
  <c r="K1141" i="2"/>
  <c r="H1142" i="2"/>
  <c r="I1142" i="2"/>
  <c r="J1142" i="2"/>
  <c r="K1142" i="2"/>
  <c r="H1143" i="2"/>
  <c r="I1143" i="2"/>
  <c r="J1143" i="2"/>
  <c r="K1143" i="2"/>
  <c r="H1144" i="2"/>
  <c r="I1144" i="2"/>
  <c r="J1144" i="2"/>
  <c r="K1144" i="2"/>
  <c r="H1145" i="2"/>
  <c r="I1145" i="2"/>
  <c r="J1145" i="2"/>
  <c r="K1145" i="2"/>
  <c r="H1146" i="2"/>
  <c r="I1146" i="2"/>
  <c r="J1146" i="2"/>
  <c r="K1146" i="2"/>
  <c r="H1147" i="2"/>
  <c r="I1147" i="2"/>
  <c r="J1147" i="2"/>
  <c r="K1147" i="2"/>
  <c r="H1148" i="2"/>
  <c r="I1148" i="2"/>
  <c r="J1148" i="2"/>
  <c r="K1148" i="2"/>
  <c r="H1149" i="2"/>
  <c r="I1149" i="2"/>
  <c r="J1149" i="2"/>
  <c r="K1149" i="2"/>
  <c r="H1150" i="2"/>
  <c r="I1150" i="2"/>
  <c r="J1150" i="2"/>
  <c r="K1150" i="2"/>
  <c r="H1151" i="2"/>
  <c r="I1151" i="2"/>
  <c r="J1151" i="2"/>
  <c r="K1151" i="2"/>
  <c r="H1152" i="2"/>
  <c r="I1152" i="2"/>
  <c r="J1152" i="2"/>
  <c r="K1152" i="2"/>
  <c r="H1153" i="2"/>
  <c r="I1153" i="2"/>
  <c r="J1153" i="2"/>
  <c r="K1153" i="2"/>
  <c r="H1154" i="2"/>
  <c r="I1154" i="2"/>
  <c r="J1154" i="2"/>
  <c r="K1154" i="2"/>
  <c r="H1155" i="2"/>
  <c r="I1155" i="2"/>
  <c r="J1155" i="2"/>
  <c r="K1155" i="2"/>
  <c r="H1156" i="2"/>
  <c r="I1156" i="2"/>
  <c r="J1156" i="2"/>
  <c r="K1156" i="2"/>
  <c r="H1157" i="2"/>
  <c r="I1157" i="2"/>
  <c r="J1157" i="2"/>
  <c r="K1157" i="2"/>
  <c r="H1158" i="2"/>
  <c r="I1158" i="2"/>
  <c r="J1158" i="2"/>
  <c r="K1158" i="2"/>
  <c r="H1159" i="2"/>
  <c r="I1159" i="2"/>
  <c r="J1159" i="2"/>
  <c r="K1159" i="2"/>
  <c r="H1160" i="2"/>
  <c r="I1160" i="2"/>
  <c r="J1160" i="2"/>
  <c r="K1160" i="2"/>
  <c r="H1161" i="2"/>
  <c r="I1161" i="2"/>
  <c r="J1161" i="2"/>
  <c r="K1161" i="2"/>
  <c r="H1162" i="2"/>
  <c r="I1162" i="2"/>
  <c r="J1162" i="2"/>
  <c r="K1162" i="2"/>
  <c r="H1163" i="2"/>
  <c r="I1163" i="2"/>
  <c r="J1163" i="2"/>
  <c r="K1163" i="2"/>
  <c r="H1164" i="2"/>
  <c r="I1164" i="2"/>
  <c r="J1164" i="2"/>
  <c r="K1164" i="2"/>
  <c r="H1165" i="2"/>
  <c r="I1165" i="2"/>
  <c r="J1165" i="2"/>
  <c r="K1165" i="2"/>
  <c r="H1166" i="2"/>
  <c r="I1166" i="2"/>
  <c r="J1166" i="2"/>
  <c r="K1166" i="2"/>
  <c r="H1167" i="2"/>
  <c r="I1167" i="2"/>
  <c r="J1167" i="2"/>
  <c r="K1167" i="2"/>
  <c r="H1168" i="2"/>
  <c r="I1168" i="2"/>
  <c r="J1168" i="2"/>
  <c r="K1168" i="2"/>
  <c r="H1169" i="2"/>
  <c r="I1169" i="2"/>
  <c r="J1169" i="2"/>
  <c r="K1169" i="2"/>
  <c r="H1170" i="2"/>
  <c r="I1170" i="2"/>
  <c r="J1170" i="2"/>
  <c r="K1170" i="2"/>
  <c r="H1171" i="2"/>
  <c r="I1171" i="2"/>
  <c r="J1171" i="2"/>
  <c r="K1171" i="2"/>
  <c r="H1172" i="2"/>
  <c r="I1172" i="2"/>
  <c r="J1172" i="2"/>
  <c r="K1172" i="2"/>
  <c r="H1173" i="2"/>
  <c r="I1173" i="2"/>
  <c r="J1173" i="2"/>
  <c r="K1173" i="2"/>
  <c r="H1174" i="2"/>
  <c r="I1174" i="2"/>
  <c r="J1174" i="2"/>
  <c r="K1174" i="2"/>
  <c r="H1175" i="2"/>
  <c r="I1175" i="2"/>
  <c r="J1175" i="2"/>
  <c r="K1175" i="2"/>
  <c r="H1176" i="2"/>
  <c r="I1176" i="2"/>
  <c r="J1176" i="2"/>
  <c r="K1176" i="2"/>
  <c r="H1177" i="2"/>
  <c r="I1177" i="2"/>
  <c r="J1177" i="2"/>
  <c r="K1177" i="2"/>
  <c r="H1178" i="2"/>
  <c r="I1178" i="2"/>
  <c r="J1178" i="2"/>
  <c r="K1178" i="2"/>
  <c r="H1179" i="2"/>
  <c r="I1179" i="2"/>
  <c r="J1179" i="2"/>
  <c r="K1179" i="2"/>
  <c r="H1180" i="2"/>
  <c r="I1180" i="2"/>
  <c r="J1180" i="2"/>
  <c r="K1180" i="2"/>
  <c r="H1181" i="2"/>
  <c r="I1181" i="2"/>
  <c r="J1181" i="2"/>
  <c r="K1181" i="2"/>
  <c r="H1182" i="2"/>
  <c r="I1182" i="2"/>
  <c r="J1182" i="2"/>
  <c r="K1182" i="2"/>
  <c r="H1183" i="2"/>
  <c r="I1183" i="2"/>
  <c r="J1183" i="2"/>
  <c r="K1183" i="2"/>
  <c r="H1184" i="2"/>
  <c r="I1184" i="2"/>
  <c r="J1184" i="2"/>
  <c r="K1184" i="2"/>
  <c r="H1185" i="2"/>
  <c r="I1185" i="2"/>
  <c r="J1185" i="2"/>
  <c r="K1185" i="2"/>
  <c r="H1186" i="2"/>
  <c r="I1186" i="2"/>
  <c r="J1186" i="2"/>
  <c r="K1186" i="2"/>
  <c r="H1187" i="2"/>
  <c r="I1187" i="2"/>
  <c r="J1187" i="2"/>
  <c r="K1187" i="2"/>
  <c r="H1188" i="2"/>
  <c r="I1188" i="2"/>
  <c r="J1188" i="2"/>
  <c r="K1188" i="2"/>
  <c r="H1189" i="2"/>
  <c r="I1189" i="2"/>
  <c r="J1189" i="2"/>
  <c r="K1189" i="2"/>
  <c r="H1190" i="2"/>
  <c r="I1190" i="2"/>
  <c r="J1190" i="2"/>
  <c r="K1190" i="2"/>
  <c r="H1191" i="2"/>
  <c r="I1191" i="2"/>
  <c r="J1191" i="2"/>
  <c r="K1191" i="2"/>
  <c r="H1192" i="2"/>
  <c r="I1192" i="2"/>
  <c r="J1192" i="2"/>
  <c r="K1192" i="2"/>
  <c r="H1193" i="2"/>
  <c r="I1193" i="2"/>
  <c r="J1193" i="2"/>
  <c r="K1193" i="2"/>
  <c r="H1194" i="2"/>
  <c r="I1194" i="2"/>
  <c r="J1194" i="2"/>
  <c r="K1194" i="2"/>
  <c r="H1195" i="2"/>
  <c r="I1195" i="2"/>
  <c r="J1195" i="2"/>
  <c r="K1195" i="2"/>
  <c r="H1196" i="2"/>
  <c r="I1196" i="2"/>
  <c r="J1196" i="2"/>
  <c r="K1196" i="2"/>
  <c r="H1197" i="2"/>
  <c r="I1197" i="2"/>
  <c r="J1197" i="2"/>
  <c r="K1197" i="2"/>
  <c r="H1198" i="2"/>
  <c r="I1198" i="2"/>
  <c r="J1198" i="2"/>
  <c r="K1198" i="2"/>
  <c r="H1199" i="2"/>
  <c r="I1199" i="2"/>
  <c r="J1199" i="2"/>
  <c r="K1199" i="2"/>
  <c r="H1200" i="2"/>
  <c r="I1200" i="2"/>
  <c r="J1200" i="2"/>
  <c r="K1200" i="2"/>
  <c r="H1201" i="2"/>
  <c r="I1201" i="2"/>
  <c r="J1201" i="2"/>
  <c r="K1201" i="2"/>
  <c r="H1202" i="2"/>
  <c r="I1202" i="2"/>
  <c r="J1202" i="2"/>
  <c r="K1202" i="2"/>
  <c r="H1203" i="2"/>
  <c r="I1203" i="2"/>
  <c r="J1203" i="2"/>
  <c r="K1203" i="2"/>
  <c r="H1204" i="2"/>
  <c r="I1204" i="2"/>
  <c r="J1204" i="2"/>
  <c r="K1204" i="2"/>
  <c r="H1205" i="2"/>
  <c r="I1205" i="2"/>
  <c r="J1205" i="2"/>
  <c r="K1205" i="2"/>
  <c r="H1206" i="2"/>
  <c r="I1206" i="2"/>
  <c r="J1206" i="2"/>
  <c r="K1206" i="2"/>
  <c r="H1207" i="2"/>
  <c r="I1207" i="2"/>
  <c r="J1207" i="2"/>
  <c r="K1207" i="2"/>
  <c r="H1208" i="2"/>
  <c r="I1208" i="2"/>
  <c r="J1208" i="2"/>
  <c r="K1208" i="2"/>
  <c r="H1209" i="2"/>
  <c r="I1209" i="2"/>
  <c r="J1209" i="2"/>
  <c r="K1209" i="2"/>
  <c r="H1210" i="2"/>
  <c r="I1210" i="2"/>
  <c r="J1210" i="2"/>
  <c r="K1210" i="2"/>
  <c r="H1211" i="2"/>
  <c r="I1211" i="2"/>
  <c r="J1211" i="2"/>
  <c r="K1211" i="2"/>
  <c r="H1212" i="2"/>
  <c r="I1212" i="2"/>
  <c r="J1212" i="2"/>
  <c r="K1212" i="2"/>
  <c r="H1213" i="2"/>
  <c r="I1213" i="2"/>
  <c r="J1213" i="2"/>
  <c r="K1213" i="2"/>
  <c r="H1214" i="2"/>
  <c r="I1214" i="2"/>
  <c r="J1214" i="2"/>
  <c r="K1214" i="2"/>
  <c r="H1215" i="2"/>
  <c r="I1215" i="2"/>
  <c r="J1215" i="2"/>
  <c r="K1215" i="2"/>
  <c r="H1216" i="2"/>
  <c r="I1216" i="2"/>
  <c r="J1216" i="2"/>
  <c r="K1216" i="2"/>
  <c r="H1217" i="2"/>
  <c r="I1217" i="2"/>
  <c r="J1217" i="2"/>
  <c r="K1217" i="2"/>
  <c r="H1218" i="2"/>
  <c r="I1218" i="2"/>
  <c r="J1218" i="2"/>
  <c r="K1218" i="2"/>
  <c r="H1219" i="2"/>
  <c r="I1219" i="2"/>
  <c r="J1219" i="2"/>
  <c r="K1219" i="2"/>
  <c r="H1220" i="2"/>
  <c r="I1220" i="2"/>
  <c r="J1220" i="2"/>
  <c r="K1220" i="2"/>
  <c r="H1221" i="2"/>
  <c r="I1221" i="2"/>
  <c r="J1221" i="2"/>
  <c r="K1221" i="2"/>
  <c r="H1222" i="2"/>
  <c r="I1222" i="2"/>
  <c r="J1222" i="2"/>
  <c r="K1222" i="2"/>
  <c r="H1223" i="2"/>
  <c r="I1223" i="2"/>
  <c r="J1223" i="2"/>
  <c r="K1223" i="2"/>
  <c r="H1224" i="2"/>
  <c r="I1224" i="2"/>
  <c r="J1224" i="2"/>
  <c r="K1224" i="2"/>
  <c r="H1225" i="2"/>
  <c r="I1225" i="2"/>
  <c r="J1225" i="2"/>
  <c r="K1225" i="2"/>
  <c r="H1226" i="2"/>
  <c r="I1226" i="2"/>
  <c r="J1226" i="2"/>
  <c r="K1226" i="2"/>
  <c r="H1227" i="2"/>
  <c r="I1227" i="2"/>
  <c r="J1227" i="2"/>
  <c r="K1227" i="2"/>
  <c r="H1228" i="2"/>
  <c r="I1228" i="2"/>
  <c r="J1228" i="2"/>
  <c r="K1228" i="2"/>
  <c r="H1229" i="2"/>
  <c r="I1229" i="2"/>
  <c r="J1229" i="2"/>
  <c r="K1229" i="2"/>
  <c r="H1230" i="2"/>
  <c r="I1230" i="2"/>
  <c r="J1230" i="2"/>
  <c r="K1230" i="2"/>
  <c r="H1231" i="2"/>
  <c r="I1231" i="2"/>
  <c r="J1231" i="2"/>
  <c r="K1231" i="2"/>
  <c r="H1232" i="2"/>
  <c r="I1232" i="2"/>
  <c r="J1232" i="2"/>
  <c r="K1232" i="2"/>
  <c r="H1233" i="2"/>
  <c r="I1233" i="2"/>
  <c r="J1233" i="2"/>
  <c r="K1233" i="2"/>
  <c r="H1234" i="2"/>
  <c r="I1234" i="2"/>
  <c r="J1234" i="2"/>
  <c r="K1234" i="2"/>
  <c r="H1235" i="2"/>
  <c r="I1235" i="2"/>
  <c r="J1235" i="2"/>
  <c r="K1235" i="2"/>
  <c r="H1236" i="2"/>
  <c r="I1236" i="2"/>
  <c r="J1236" i="2"/>
  <c r="K1236" i="2"/>
  <c r="H1237" i="2"/>
  <c r="I1237" i="2"/>
  <c r="J1237" i="2"/>
  <c r="K1237" i="2"/>
  <c r="H1238" i="2"/>
  <c r="I1238" i="2"/>
  <c r="J1238" i="2"/>
  <c r="K1238" i="2"/>
  <c r="H1239" i="2"/>
  <c r="I1239" i="2"/>
  <c r="J1239" i="2"/>
  <c r="K1239" i="2"/>
  <c r="H1240" i="2"/>
  <c r="I1240" i="2"/>
  <c r="J1240" i="2"/>
  <c r="K1240" i="2"/>
  <c r="H1241" i="2"/>
  <c r="I1241" i="2"/>
  <c r="J1241" i="2"/>
  <c r="K1241" i="2"/>
  <c r="H1242" i="2"/>
  <c r="I1242" i="2"/>
  <c r="J1242" i="2"/>
  <c r="K1242" i="2"/>
  <c r="H1243" i="2"/>
  <c r="I1243" i="2"/>
  <c r="J1243" i="2"/>
  <c r="K1243" i="2"/>
  <c r="H1244" i="2"/>
  <c r="I1244" i="2"/>
  <c r="J1244" i="2"/>
  <c r="K1244" i="2"/>
  <c r="H1245" i="2"/>
  <c r="I1245" i="2"/>
  <c r="J1245" i="2"/>
  <c r="K1245" i="2"/>
  <c r="H1246" i="2"/>
  <c r="I1246" i="2"/>
  <c r="J1246" i="2"/>
  <c r="K1246" i="2"/>
  <c r="H1247" i="2"/>
  <c r="I1247" i="2"/>
  <c r="J1247" i="2"/>
  <c r="K1247" i="2"/>
  <c r="H1248" i="2"/>
  <c r="I1248" i="2"/>
  <c r="J1248" i="2"/>
  <c r="K1248" i="2"/>
  <c r="H1249" i="2"/>
  <c r="I1249" i="2"/>
  <c r="J1249" i="2"/>
  <c r="K1249" i="2"/>
  <c r="H1250" i="2"/>
  <c r="I1250" i="2"/>
  <c r="J1250" i="2"/>
  <c r="K1250" i="2"/>
  <c r="H1251" i="2"/>
  <c r="I1251" i="2"/>
  <c r="J1251" i="2"/>
  <c r="K1251" i="2"/>
  <c r="H1252" i="2"/>
  <c r="I1252" i="2"/>
  <c r="J1252" i="2"/>
  <c r="K1252" i="2"/>
  <c r="H1253" i="2"/>
  <c r="I1253" i="2"/>
  <c r="J1253" i="2"/>
  <c r="K1253" i="2"/>
  <c r="H1254" i="2"/>
  <c r="I1254" i="2"/>
  <c r="J1254" i="2"/>
  <c r="K1254" i="2"/>
  <c r="H1255" i="2"/>
  <c r="I1255" i="2"/>
  <c r="J1255" i="2"/>
  <c r="K1255" i="2"/>
  <c r="H1256" i="2"/>
  <c r="I1256" i="2"/>
  <c r="J1256" i="2"/>
  <c r="K1256" i="2"/>
  <c r="K2" i="2"/>
  <c r="I2" i="2"/>
  <c r="J2" i="2"/>
  <c r="H2" i="2"/>
  <c r="V2" i="3" l="1" a="1"/>
  <c r="V7" i="2" a="1"/>
  <c r="V7" i="2" s="1"/>
  <c r="V8" i="2" s="1"/>
  <c r="W2" i="2" s="1"/>
  <c r="X2" i="2" s="1"/>
  <c r="Y2" i="2" s="1"/>
  <c r="V2" i="3" l="1"/>
  <c r="V13" i="2"/>
  <c r="W3" i="2"/>
  <c r="W5" i="2"/>
  <c r="W4" i="2"/>
  <c r="V7" i="3" l="1" a="1"/>
  <c r="V7" i="3" s="1"/>
  <c r="V8" i="3" s="1"/>
  <c r="W2" i="3" s="1"/>
  <c r="X4" i="2"/>
  <c r="Y4" i="2" s="1"/>
  <c r="X5" i="2"/>
  <c r="Y5" i="2" s="1"/>
  <c r="X3" i="2"/>
  <c r="Y3" i="2" s="1"/>
  <c r="V14" i="2"/>
  <c r="X2" i="3" l="1"/>
  <c r="V14" i="3"/>
  <c r="V13" i="3"/>
  <c r="W5" i="3"/>
  <c r="X5" i="3" s="1"/>
  <c r="Y5" i="3" s="1"/>
  <c r="W3" i="3"/>
  <c r="X3" i="3" s="1"/>
  <c r="Y3" i="3" s="1"/>
  <c r="W4" i="3"/>
  <c r="X4" i="3" s="1"/>
  <c r="Y4" i="3" s="1"/>
  <c r="V15" i="2"/>
  <c r="X10" i="2"/>
  <c r="Y10" i="2" s="1"/>
  <c r="Y2" i="3" l="1"/>
  <c r="X10" i="3"/>
  <c r="Y10" i="3" s="1"/>
  <c r="V1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<sst xmlns="http://schemas.openxmlformats.org/spreadsheetml/2006/main" count="2576" uniqueCount="1276">
  <si>
    <t>Date</t>
  </si>
  <si>
    <t>AAPL</t>
  </si>
  <si>
    <t>MMM</t>
  </si>
  <si>
    <t>NAT</t>
  </si>
  <si>
    <t>BABA</t>
  </si>
  <si>
    <t>23-03-2026</t>
  </si>
  <si>
    <t>16-03-2026</t>
  </si>
  <si>
    <t>09-03-2026</t>
  </si>
  <si>
    <t>02-03-2026</t>
  </si>
  <si>
    <t>23-02-2026</t>
  </si>
  <si>
    <t>09-02-2026</t>
  </si>
  <si>
    <t>02-02-2026</t>
  </si>
  <si>
    <t>26-01-2026</t>
  </si>
  <si>
    <t>12-01-2026</t>
  </si>
  <si>
    <t>05-01-2026</t>
  </si>
  <si>
    <t>29-12-2025</t>
  </si>
  <si>
    <t>22-12-2025</t>
  </si>
  <si>
    <t>15-12-2025</t>
  </si>
  <si>
    <t>08-12-2025</t>
  </si>
  <si>
    <t>01-12-2025</t>
  </si>
  <si>
    <t>24-11-2025</t>
  </si>
  <si>
    <t>17-11-2025</t>
  </si>
  <si>
    <t>10-11-2025</t>
  </si>
  <si>
    <t>03-11-2025</t>
  </si>
  <si>
    <t>27-10-2025</t>
  </si>
  <si>
    <t>20-10-2025</t>
  </si>
  <si>
    <t>13-10-2025</t>
  </si>
  <si>
    <t>06-10-2025</t>
  </si>
  <si>
    <t>29-09-2025</t>
  </si>
  <si>
    <t>22-09-2025</t>
  </si>
  <si>
    <t>15-09-2025</t>
  </si>
  <si>
    <t>08-09-2025</t>
  </si>
  <si>
    <t>25-08-2025</t>
  </si>
  <si>
    <t>18-08-2025</t>
  </si>
  <si>
    <t>11-08-2025</t>
  </si>
  <si>
    <t>04-08-2025</t>
  </si>
  <si>
    <t>28-07-2025</t>
  </si>
  <si>
    <t>21-07-2025</t>
  </si>
  <si>
    <t>14-07-2025</t>
  </si>
  <si>
    <t>07-07-2025</t>
  </si>
  <si>
    <t>30-06-2025</t>
  </si>
  <si>
    <t>23-06-2025</t>
  </si>
  <si>
    <t>16-06-2025</t>
  </si>
  <si>
    <t>09-06-2025</t>
  </si>
  <si>
    <t>02-06-2025</t>
  </si>
  <si>
    <t>19-05-2025</t>
  </si>
  <si>
    <t>12-05-2025</t>
  </si>
  <si>
    <t>05-05-2025</t>
  </si>
  <si>
    <t>28-04-2025</t>
  </si>
  <si>
    <t>21-04-2025</t>
  </si>
  <si>
    <t>14-04-2025</t>
  </si>
  <si>
    <t>07-04-2025</t>
  </si>
  <si>
    <t>31-03-2025</t>
  </si>
  <si>
    <t>24-03-2025</t>
  </si>
  <si>
    <t>17-03-2025</t>
  </si>
  <si>
    <t>10-03-2025</t>
  </si>
  <si>
    <t>03-03-2025</t>
  </si>
  <si>
    <t>24-02-2025</t>
  </si>
  <si>
    <t>10-02-2025</t>
  </si>
  <si>
    <t>03-02-2025</t>
  </si>
  <si>
    <t>27-01-2025</t>
  </si>
  <si>
    <t>13-01-2025</t>
  </si>
  <si>
    <t>06-01-2025</t>
  </si>
  <si>
    <t>30-12-2024</t>
  </si>
  <si>
    <t>23-12-2024</t>
  </si>
  <si>
    <t>16-12-2024</t>
  </si>
  <si>
    <t>09-12-2024</t>
  </si>
  <si>
    <t>02-12-2024</t>
  </si>
  <si>
    <t>25-11-2024</t>
  </si>
  <si>
    <t>18-11-2024</t>
  </si>
  <si>
    <t>11-11-2024</t>
  </si>
  <si>
    <t>04-11-2024</t>
  </si>
  <si>
    <t>28-10-2024</t>
  </si>
  <si>
    <t>21-10-2024</t>
  </si>
  <si>
    <t>14-10-2024</t>
  </si>
  <si>
    <t>07-10-2024</t>
  </si>
  <si>
    <t>30-09-2024</t>
  </si>
  <si>
    <t>23-09-2024</t>
  </si>
  <si>
    <t>16-09-2024</t>
  </si>
  <si>
    <t>09-09-2024</t>
  </si>
  <si>
    <t>26-08-2024</t>
  </si>
  <si>
    <t>19-08-2024</t>
  </si>
  <si>
    <t>12-08-2024</t>
  </si>
  <si>
    <t>05-08-2024</t>
  </si>
  <si>
    <t>29-07-2024</t>
  </si>
  <si>
    <t>22-07-2024</t>
  </si>
  <si>
    <t>15-07-2024</t>
  </si>
  <si>
    <t>08-07-2024</t>
  </si>
  <si>
    <t>01-07-2024</t>
  </si>
  <si>
    <t>24-06-2024</t>
  </si>
  <si>
    <t>17-06-2024</t>
  </si>
  <si>
    <t>10-06-2024</t>
  </si>
  <si>
    <t>03-06-2024</t>
  </si>
  <si>
    <t>20-05-2024</t>
  </si>
  <si>
    <t>13-05-2024</t>
  </si>
  <si>
    <t>06-05-2024</t>
  </si>
  <si>
    <t>29-04-2024</t>
  </si>
  <si>
    <t>22-04-2024</t>
  </si>
  <si>
    <t>15-04-2024</t>
  </si>
  <si>
    <t>08-04-2024</t>
  </si>
  <si>
    <t>01-04-2024</t>
  </si>
  <si>
    <t>25-03-2024</t>
  </si>
  <si>
    <t>18-03-2024</t>
  </si>
  <si>
    <t>11-03-2024</t>
  </si>
  <si>
    <t>04-03-2024</t>
  </si>
  <si>
    <t>26-02-2024</t>
  </si>
  <si>
    <t>12-02-2024</t>
  </si>
  <si>
    <t>05-02-2024</t>
  </si>
  <si>
    <t>29-01-2024</t>
  </si>
  <si>
    <t>22-01-2024</t>
  </si>
  <si>
    <t>08-01-2024</t>
  </si>
  <si>
    <t>18-12-2023</t>
  </si>
  <si>
    <t>11-12-2023</t>
  </si>
  <si>
    <t>04-12-2023</t>
  </si>
  <si>
    <t>27-11-2023</t>
  </si>
  <si>
    <t>20-11-2023</t>
  </si>
  <si>
    <t>13-11-2023</t>
  </si>
  <si>
    <t>06-11-2023</t>
  </si>
  <si>
    <t>30-10-2023</t>
  </si>
  <si>
    <t>23-10-2023</t>
  </si>
  <si>
    <t>16-10-2023</t>
  </si>
  <si>
    <t>09-10-2023</t>
  </si>
  <si>
    <t>02-10-2023</t>
  </si>
  <si>
    <t>25-09-2023</t>
  </si>
  <si>
    <t>18-09-2023</t>
  </si>
  <si>
    <t>11-09-2023</t>
  </si>
  <si>
    <t>28-08-2023</t>
  </si>
  <si>
    <t>21-08-2023</t>
  </si>
  <si>
    <t>14-08-2023</t>
  </si>
  <si>
    <t>07-08-2023</t>
  </si>
  <si>
    <t>31-07-2023</t>
  </si>
  <si>
    <t>24-07-2023</t>
  </si>
  <si>
    <t>17-07-2023</t>
  </si>
  <si>
    <t>10-07-2023</t>
  </si>
  <si>
    <t>03-07-2023</t>
  </si>
  <si>
    <t>26-06-2023</t>
  </si>
  <si>
    <t>12-06-2023</t>
  </si>
  <si>
    <t>05-06-2023</t>
  </si>
  <si>
    <t>22-05-2023</t>
  </si>
  <si>
    <t>15-05-2023</t>
  </si>
  <si>
    <t>08-05-2023</t>
  </si>
  <si>
    <t>01-05-2023</t>
  </si>
  <si>
    <t>24-04-2023</t>
  </si>
  <si>
    <t>17-04-2023</t>
  </si>
  <si>
    <t>10-04-2023</t>
  </si>
  <si>
    <t>03-04-2023</t>
  </si>
  <si>
    <t>27-03-2023</t>
  </si>
  <si>
    <t>20-03-2023</t>
  </si>
  <si>
    <t>13-03-2023</t>
  </si>
  <si>
    <t>06-03-2023</t>
  </si>
  <si>
    <t>27-02-2023</t>
  </si>
  <si>
    <t>13-02-2023</t>
  </si>
  <si>
    <t>06-02-2023</t>
  </si>
  <si>
    <t>30-01-2023</t>
  </si>
  <si>
    <t>23-01-2023</t>
  </si>
  <si>
    <t>09-01-2023</t>
  </si>
  <si>
    <t>19-12-2022</t>
  </si>
  <si>
    <t>12-12-2022</t>
  </si>
  <si>
    <t>05-12-2022</t>
  </si>
  <si>
    <t>28-11-2022</t>
  </si>
  <si>
    <t>21-11-2022</t>
  </si>
  <si>
    <t>14-11-2022</t>
  </si>
  <si>
    <t>07-11-2022</t>
  </si>
  <si>
    <t>31-10-2022</t>
  </si>
  <si>
    <t>24-10-2022</t>
  </si>
  <si>
    <t>17-10-2022</t>
  </si>
  <si>
    <t>10-10-2022</t>
  </si>
  <si>
    <t>03-10-2022</t>
  </si>
  <si>
    <t>26-09-2022</t>
  </si>
  <si>
    <t>19-09-2022</t>
  </si>
  <si>
    <t>12-09-2022</t>
  </si>
  <si>
    <t>29-08-2022</t>
  </si>
  <si>
    <t>22-08-2022</t>
  </si>
  <si>
    <t>15-08-2022</t>
  </si>
  <si>
    <t>08-08-2022</t>
  </si>
  <si>
    <t>01-08-2022</t>
  </si>
  <si>
    <t>25-07-2022</t>
  </si>
  <si>
    <t>18-07-2022</t>
  </si>
  <si>
    <t>11-07-2022</t>
  </si>
  <si>
    <t>27-06-2022</t>
  </si>
  <si>
    <t>13-06-2022</t>
  </si>
  <si>
    <t>06-06-2022</t>
  </si>
  <si>
    <t>23-05-2022</t>
  </si>
  <si>
    <t>16-05-2022</t>
  </si>
  <si>
    <t>09-05-2022</t>
  </si>
  <si>
    <t>02-05-2022</t>
  </si>
  <si>
    <t>25-04-2022</t>
  </si>
  <si>
    <t>18-04-2022</t>
  </si>
  <si>
    <t>11-04-2022</t>
  </si>
  <si>
    <t>04-04-2022</t>
  </si>
  <si>
    <t>28-03-2022</t>
  </si>
  <si>
    <t>21-03-2022</t>
  </si>
  <si>
    <t>14-03-2022</t>
  </si>
  <si>
    <t>07-03-2022</t>
  </si>
  <si>
    <t>28-02-2022</t>
  </si>
  <si>
    <t>14-02-2022</t>
  </si>
  <si>
    <t>07-02-2022</t>
  </si>
  <si>
    <t>31-01-2022</t>
  </si>
  <si>
    <t>24-01-2022</t>
  </si>
  <si>
    <t>10-01-2022</t>
  </si>
  <si>
    <t>03-01-2022</t>
  </si>
  <si>
    <t>27-12-2021</t>
  </si>
  <si>
    <t>20-12-2021</t>
  </si>
  <si>
    <t>13-12-2021</t>
  </si>
  <si>
    <t>06-12-2021</t>
  </si>
  <si>
    <t>29-11-2021</t>
  </si>
  <si>
    <t>22-11-2021</t>
  </si>
  <si>
    <t>15-11-2021</t>
  </si>
  <si>
    <t>08-11-2021</t>
  </si>
  <si>
    <t>01-11-2021</t>
  </si>
  <si>
    <t>25-10-2021</t>
  </si>
  <si>
    <t>18-10-2021</t>
  </si>
  <si>
    <t>11-10-2021</t>
  </si>
  <si>
    <t>04-10-2021</t>
  </si>
  <si>
    <t>27-09-2021</t>
  </si>
  <si>
    <t>20-09-2021</t>
  </si>
  <si>
    <t>13-09-2021</t>
  </si>
  <si>
    <t>30-08-2021</t>
  </si>
  <si>
    <t>23-08-2021</t>
  </si>
  <si>
    <t>16-08-2021</t>
  </si>
  <si>
    <t>09-08-2021</t>
  </si>
  <si>
    <t>02-08-2021</t>
  </si>
  <si>
    <t>26-07-2021</t>
  </si>
  <si>
    <t>19-07-2021</t>
  </si>
  <si>
    <t>12-07-2021</t>
  </si>
  <si>
    <t>28-06-2021</t>
  </si>
  <si>
    <t>21-06-2021</t>
  </si>
  <si>
    <t>14-06-2021</t>
  </si>
  <si>
    <t>07-06-2021</t>
  </si>
  <si>
    <t>24-05-2021</t>
  </si>
  <si>
    <t>17-05-2021</t>
  </si>
  <si>
    <t>10-05-2021</t>
  </si>
  <si>
    <t>03-05-2021</t>
  </si>
  <si>
    <t>26-04-2021</t>
  </si>
  <si>
    <t>19-04-2021</t>
  </si>
  <si>
    <t>12-04-2021</t>
  </si>
  <si>
    <t>05-04-2021</t>
  </si>
  <si>
    <t>29-03-2021</t>
  </si>
  <si>
    <t>27-03-2026</t>
  </si>
  <si>
    <t>26-03-2026</t>
  </si>
  <si>
    <t>25-03-2026</t>
  </si>
  <si>
    <t>24-03-2026</t>
  </si>
  <si>
    <t>20-03-2026</t>
  </si>
  <si>
    <t>19-03-2026</t>
  </si>
  <si>
    <t>18-03-2026</t>
  </si>
  <si>
    <t>17-03-2026</t>
  </si>
  <si>
    <t>13-03-2026</t>
  </si>
  <si>
    <t>12-03-2026</t>
  </si>
  <si>
    <t>11-03-2026</t>
  </si>
  <si>
    <t>10-03-2026</t>
  </si>
  <si>
    <t>06-03-2026</t>
  </si>
  <si>
    <t>05-03-2026</t>
  </si>
  <si>
    <t>04-03-2026</t>
  </si>
  <si>
    <t>03-03-2026</t>
  </si>
  <si>
    <t>27-02-2026</t>
  </si>
  <si>
    <t>26-02-2026</t>
  </si>
  <si>
    <t>25-02-2026</t>
  </si>
  <si>
    <t>24-02-2026</t>
  </si>
  <si>
    <t>20-02-2026</t>
  </si>
  <si>
    <t>19-02-2026</t>
  </si>
  <si>
    <t>18-02-2026</t>
  </si>
  <si>
    <t>17-02-2026</t>
  </si>
  <si>
    <t>13-02-2026</t>
  </si>
  <si>
    <t>12-02-2026</t>
  </si>
  <si>
    <t>11-02-2026</t>
  </si>
  <si>
    <t>10-02-2026</t>
  </si>
  <si>
    <t>06-02-2026</t>
  </si>
  <si>
    <t>05-02-2026</t>
  </si>
  <si>
    <t>04-02-2026</t>
  </si>
  <si>
    <t>03-02-2026</t>
  </si>
  <si>
    <t>30-01-2026</t>
  </si>
  <si>
    <t>29-01-2026</t>
  </si>
  <si>
    <t>28-01-2026</t>
  </si>
  <si>
    <t>27-01-2026</t>
  </si>
  <si>
    <t>23-01-2026</t>
  </si>
  <si>
    <t>22-01-2026</t>
  </si>
  <si>
    <t>21-01-2026</t>
  </si>
  <si>
    <t>20-01-2026</t>
  </si>
  <si>
    <t>16-01-2026</t>
  </si>
  <si>
    <t>15-01-2026</t>
  </si>
  <si>
    <t>14-01-2026</t>
  </si>
  <si>
    <t>13-01-2026</t>
  </si>
  <si>
    <t>09-01-2026</t>
  </si>
  <si>
    <t>08-01-2026</t>
  </si>
  <si>
    <t>07-01-2026</t>
  </si>
  <si>
    <t>06-01-2026</t>
  </si>
  <si>
    <t>02-01-2026</t>
  </si>
  <si>
    <t>31-12-2025</t>
  </si>
  <si>
    <t>30-12-2025</t>
  </si>
  <si>
    <t>26-12-2025</t>
  </si>
  <si>
    <t>24-12-2025</t>
  </si>
  <si>
    <t>23-12-2025</t>
  </si>
  <si>
    <t>19-12-2025</t>
  </si>
  <si>
    <t>18-12-2025</t>
  </si>
  <si>
    <t>17-12-2025</t>
  </si>
  <si>
    <t>16-12-2025</t>
  </si>
  <si>
    <t>12-12-2025</t>
  </si>
  <si>
    <t>11-12-2025</t>
  </si>
  <si>
    <t>10-12-2025</t>
  </si>
  <si>
    <t>09-12-2025</t>
  </si>
  <si>
    <t>05-12-2025</t>
  </si>
  <si>
    <t>04-12-2025</t>
  </si>
  <si>
    <t>03-12-2025</t>
  </si>
  <si>
    <t>02-12-2025</t>
  </si>
  <si>
    <t>28-11-2025</t>
  </si>
  <si>
    <t>26-11-2025</t>
  </si>
  <si>
    <t>25-11-2025</t>
  </si>
  <si>
    <t>21-11-2025</t>
  </si>
  <si>
    <t>20-11-2025</t>
  </si>
  <si>
    <t>19-11-2025</t>
  </si>
  <si>
    <t>18-11-2025</t>
  </si>
  <si>
    <t>14-11-2025</t>
  </si>
  <si>
    <t>13-11-2025</t>
  </si>
  <si>
    <t>12-11-2025</t>
  </si>
  <si>
    <t>11-11-2025</t>
  </si>
  <si>
    <t>07-11-2025</t>
  </si>
  <si>
    <t>06-11-2025</t>
  </si>
  <si>
    <t>05-11-2025</t>
  </si>
  <si>
    <t>04-11-2025</t>
  </si>
  <si>
    <t>31-10-2025</t>
  </si>
  <si>
    <t>30-10-2025</t>
  </si>
  <si>
    <t>29-10-2025</t>
  </si>
  <si>
    <t>28-10-2025</t>
  </si>
  <si>
    <t>24-10-2025</t>
  </si>
  <si>
    <t>23-10-2025</t>
  </si>
  <si>
    <t>22-10-2025</t>
  </si>
  <si>
    <t>21-10-2025</t>
  </si>
  <si>
    <t>17-10-2025</t>
  </si>
  <si>
    <t>16-10-2025</t>
  </si>
  <si>
    <t>15-10-2025</t>
  </si>
  <si>
    <t>14-10-2025</t>
  </si>
  <si>
    <t>10-10-2025</t>
  </si>
  <si>
    <t>09-10-2025</t>
  </si>
  <si>
    <t>08-10-2025</t>
  </si>
  <si>
    <t>07-10-2025</t>
  </si>
  <si>
    <t>03-10-2025</t>
  </si>
  <si>
    <t>02-10-2025</t>
  </si>
  <si>
    <t>01-10-2025</t>
  </si>
  <si>
    <t>30-09-2025</t>
  </si>
  <si>
    <t>26-09-2025</t>
  </si>
  <si>
    <t>25-09-2025</t>
  </si>
  <si>
    <t>24-09-2025</t>
  </si>
  <si>
    <t>23-09-2025</t>
  </si>
  <si>
    <t>19-09-2025</t>
  </si>
  <si>
    <t>18-09-2025</t>
  </si>
  <si>
    <t>17-09-2025</t>
  </si>
  <si>
    <t>16-09-2025</t>
  </si>
  <si>
    <t>12-09-2025</t>
  </si>
  <si>
    <t>11-09-2025</t>
  </si>
  <si>
    <t>10-09-2025</t>
  </si>
  <si>
    <t>09-09-2025</t>
  </si>
  <si>
    <t>05-09-2025</t>
  </si>
  <si>
    <t>04-09-2025</t>
  </si>
  <si>
    <t>03-09-2025</t>
  </si>
  <si>
    <t>02-09-2025</t>
  </si>
  <si>
    <t>29-08-2025</t>
  </si>
  <si>
    <t>28-08-2025</t>
  </si>
  <si>
    <t>27-08-2025</t>
  </si>
  <si>
    <t>26-08-2025</t>
  </si>
  <si>
    <t>22-08-2025</t>
  </si>
  <si>
    <t>21-08-2025</t>
  </si>
  <si>
    <t>20-08-2025</t>
  </si>
  <si>
    <t>19-08-2025</t>
  </si>
  <si>
    <t>15-08-2025</t>
  </si>
  <si>
    <t>14-08-2025</t>
  </si>
  <si>
    <t>13-08-2025</t>
  </si>
  <si>
    <t>12-08-2025</t>
  </si>
  <si>
    <t>08-08-2025</t>
  </si>
  <si>
    <t>07-08-2025</t>
  </si>
  <si>
    <t>06-08-2025</t>
  </si>
  <si>
    <t>05-08-2025</t>
  </si>
  <si>
    <t>01-08-2025</t>
  </si>
  <si>
    <t>31-07-2025</t>
  </si>
  <si>
    <t>30-07-2025</t>
  </si>
  <si>
    <t>29-07-2025</t>
  </si>
  <si>
    <t>25-07-2025</t>
  </si>
  <si>
    <t>24-07-2025</t>
  </si>
  <si>
    <t>23-07-2025</t>
  </si>
  <si>
    <t>22-07-2025</t>
  </si>
  <si>
    <t>18-07-2025</t>
  </si>
  <si>
    <t>17-07-2025</t>
  </si>
  <si>
    <t>16-07-2025</t>
  </si>
  <si>
    <t>15-07-2025</t>
  </si>
  <si>
    <t>11-07-2025</t>
  </si>
  <si>
    <t>10-07-2025</t>
  </si>
  <si>
    <t>09-07-2025</t>
  </si>
  <si>
    <t>08-07-2025</t>
  </si>
  <si>
    <t>03-07-2025</t>
  </si>
  <si>
    <t>02-07-2025</t>
  </si>
  <si>
    <t>01-07-2025</t>
  </si>
  <si>
    <t>27-06-2025</t>
  </si>
  <si>
    <t>26-06-2025</t>
  </si>
  <si>
    <t>25-06-2025</t>
  </si>
  <si>
    <t>24-06-2025</t>
  </si>
  <si>
    <t>20-06-2025</t>
  </si>
  <si>
    <t>18-06-2025</t>
  </si>
  <si>
    <t>17-06-2025</t>
  </si>
  <si>
    <t>13-06-2025</t>
  </si>
  <si>
    <t>12-06-2025</t>
  </si>
  <si>
    <t>11-06-2025</t>
  </si>
  <si>
    <t>10-06-2025</t>
  </si>
  <si>
    <t>06-06-2025</t>
  </si>
  <si>
    <t>05-06-2025</t>
  </si>
  <si>
    <t>04-06-2025</t>
  </si>
  <si>
    <t>03-06-2025</t>
  </si>
  <si>
    <t>30-05-2025</t>
  </si>
  <si>
    <t>29-05-2025</t>
  </si>
  <si>
    <t>28-05-2025</t>
  </si>
  <si>
    <t>27-05-2025</t>
  </si>
  <si>
    <t>23-05-2025</t>
  </si>
  <si>
    <t>22-05-2025</t>
  </si>
  <si>
    <t>21-05-2025</t>
  </si>
  <si>
    <t>20-05-2025</t>
  </si>
  <si>
    <t>16-05-2025</t>
  </si>
  <si>
    <t>15-05-2025</t>
  </si>
  <si>
    <t>14-05-2025</t>
  </si>
  <si>
    <t>13-05-2025</t>
  </si>
  <si>
    <t>09-05-2025</t>
  </si>
  <si>
    <t>08-05-2025</t>
  </si>
  <si>
    <t>07-05-2025</t>
  </si>
  <si>
    <t>06-05-2025</t>
  </si>
  <si>
    <t>02-05-2025</t>
  </si>
  <si>
    <t>01-05-2025</t>
  </si>
  <si>
    <t>30-04-2025</t>
  </si>
  <si>
    <t>29-04-2025</t>
  </si>
  <si>
    <t>25-04-2025</t>
  </si>
  <si>
    <t>24-04-2025</t>
  </si>
  <si>
    <t>23-04-2025</t>
  </si>
  <si>
    <t>22-04-2025</t>
  </si>
  <si>
    <t>17-04-2025</t>
  </si>
  <si>
    <t>16-04-2025</t>
  </si>
  <si>
    <t>15-04-2025</t>
  </si>
  <si>
    <t>11-04-2025</t>
  </si>
  <si>
    <t>10-04-2025</t>
  </si>
  <si>
    <t>09-04-2025</t>
  </si>
  <si>
    <t>08-04-2025</t>
  </si>
  <si>
    <t>04-04-2025</t>
  </si>
  <si>
    <t>03-04-2025</t>
  </si>
  <si>
    <t>02-04-2025</t>
  </si>
  <si>
    <t>01-04-2025</t>
  </si>
  <si>
    <t>28-03-2025</t>
  </si>
  <si>
    <t>27-03-2025</t>
  </si>
  <si>
    <t>26-03-2025</t>
  </si>
  <si>
    <t>25-03-2025</t>
  </si>
  <si>
    <t>21-03-2025</t>
  </si>
  <si>
    <t>20-03-2025</t>
  </si>
  <si>
    <t>19-03-2025</t>
  </si>
  <si>
    <t>18-03-2025</t>
  </si>
  <si>
    <t>14-03-2025</t>
  </si>
  <si>
    <t>13-03-2025</t>
  </si>
  <si>
    <t>12-03-2025</t>
  </si>
  <si>
    <t>11-03-2025</t>
  </si>
  <si>
    <t>07-03-2025</t>
  </si>
  <si>
    <t>06-03-2025</t>
  </si>
  <si>
    <t>05-03-2025</t>
  </si>
  <si>
    <t>04-03-2025</t>
  </si>
  <si>
    <t>28-02-2025</t>
  </si>
  <si>
    <t>27-02-2025</t>
  </si>
  <si>
    <t>26-02-2025</t>
  </si>
  <si>
    <t>25-02-2025</t>
  </si>
  <si>
    <t>21-02-2025</t>
  </si>
  <si>
    <t>20-02-2025</t>
  </si>
  <si>
    <t>19-02-2025</t>
  </si>
  <si>
    <t>18-02-2025</t>
  </si>
  <si>
    <t>14-02-2025</t>
  </si>
  <si>
    <t>13-02-2025</t>
  </si>
  <si>
    <t>12-02-2025</t>
  </si>
  <si>
    <t>11-02-2025</t>
  </si>
  <si>
    <t>07-02-2025</t>
  </si>
  <si>
    <t>06-02-2025</t>
  </si>
  <si>
    <t>05-02-2025</t>
  </si>
  <si>
    <t>04-02-2025</t>
  </si>
  <si>
    <t>31-01-2025</t>
  </si>
  <si>
    <t>30-01-2025</t>
  </si>
  <si>
    <t>29-01-2025</t>
  </si>
  <si>
    <t>28-01-2025</t>
  </si>
  <si>
    <t>24-01-2025</t>
  </si>
  <si>
    <t>23-01-2025</t>
  </si>
  <si>
    <t>22-01-2025</t>
  </si>
  <si>
    <t>21-01-2025</t>
  </si>
  <si>
    <t>17-01-2025</t>
  </si>
  <si>
    <t>16-01-2025</t>
  </si>
  <si>
    <t>15-01-2025</t>
  </si>
  <si>
    <t>14-01-2025</t>
  </si>
  <si>
    <t>10-01-2025</t>
  </si>
  <si>
    <t>08-01-2025</t>
  </si>
  <si>
    <t>07-01-2025</t>
  </si>
  <si>
    <t>03-01-2025</t>
  </si>
  <si>
    <t>02-01-2025</t>
  </si>
  <si>
    <t>31-12-2024</t>
  </si>
  <si>
    <t>27-12-2024</t>
  </si>
  <si>
    <t>26-12-2024</t>
  </si>
  <si>
    <t>24-12-2024</t>
  </si>
  <si>
    <t>20-12-2024</t>
  </si>
  <si>
    <t>19-12-2024</t>
  </si>
  <si>
    <t>18-12-2024</t>
  </si>
  <si>
    <t>17-12-2024</t>
  </si>
  <si>
    <t>13-12-2024</t>
  </si>
  <si>
    <t>12-12-2024</t>
  </si>
  <si>
    <t>11-12-2024</t>
  </si>
  <si>
    <t>10-12-2024</t>
  </si>
  <si>
    <t>06-12-2024</t>
  </si>
  <si>
    <t>05-12-2024</t>
  </si>
  <si>
    <t>04-12-2024</t>
  </si>
  <si>
    <t>03-12-2024</t>
  </si>
  <si>
    <t>29-11-2024</t>
  </si>
  <si>
    <t>27-11-2024</t>
  </si>
  <si>
    <t>26-11-2024</t>
  </si>
  <si>
    <t>22-11-2024</t>
  </si>
  <si>
    <t>21-11-2024</t>
  </si>
  <si>
    <t>20-11-2024</t>
  </si>
  <si>
    <t>19-11-2024</t>
  </si>
  <si>
    <t>15-11-2024</t>
  </si>
  <si>
    <t>14-11-2024</t>
  </si>
  <si>
    <t>13-11-2024</t>
  </si>
  <si>
    <t>12-11-2024</t>
  </si>
  <si>
    <t>08-11-2024</t>
  </si>
  <si>
    <t>07-11-2024</t>
  </si>
  <si>
    <t>06-11-2024</t>
  </si>
  <si>
    <t>05-11-2024</t>
  </si>
  <si>
    <t>01-11-2024</t>
  </si>
  <si>
    <t>31-10-2024</t>
  </si>
  <si>
    <t>30-10-2024</t>
  </si>
  <si>
    <t>29-10-2024</t>
  </si>
  <si>
    <t>25-10-2024</t>
  </si>
  <si>
    <t>24-10-2024</t>
  </si>
  <si>
    <t>23-10-2024</t>
  </si>
  <si>
    <t>22-10-2024</t>
  </si>
  <si>
    <t>18-10-2024</t>
  </si>
  <si>
    <t>17-10-2024</t>
  </si>
  <si>
    <t>16-10-2024</t>
  </si>
  <si>
    <t>15-10-2024</t>
  </si>
  <si>
    <t>11-10-2024</t>
  </si>
  <si>
    <t>10-10-2024</t>
  </si>
  <si>
    <t>09-10-2024</t>
  </si>
  <si>
    <t>08-10-2024</t>
  </si>
  <si>
    <t>04-10-2024</t>
  </si>
  <si>
    <t>03-10-2024</t>
  </si>
  <si>
    <t>02-10-2024</t>
  </si>
  <si>
    <t>01-10-2024</t>
  </si>
  <si>
    <t>27-09-2024</t>
  </si>
  <si>
    <t>26-09-2024</t>
  </si>
  <si>
    <t>25-09-2024</t>
  </si>
  <si>
    <t>24-09-2024</t>
  </si>
  <si>
    <t>20-09-2024</t>
  </si>
  <si>
    <t>19-09-2024</t>
  </si>
  <si>
    <t>18-09-2024</t>
  </si>
  <si>
    <t>17-09-2024</t>
  </si>
  <si>
    <t>13-09-2024</t>
  </si>
  <si>
    <t>12-09-2024</t>
  </si>
  <si>
    <t>11-09-2024</t>
  </si>
  <si>
    <t>10-09-2024</t>
  </si>
  <si>
    <t>06-09-2024</t>
  </si>
  <si>
    <t>05-09-2024</t>
  </si>
  <si>
    <t>04-09-2024</t>
  </si>
  <si>
    <t>03-09-2024</t>
  </si>
  <si>
    <t>30-08-2024</t>
  </si>
  <si>
    <t>29-08-2024</t>
  </si>
  <si>
    <t>28-08-2024</t>
  </si>
  <si>
    <t>27-08-2024</t>
  </si>
  <si>
    <t>23-08-2024</t>
  </si>
  <si>
    <t>22-08-2024</t>
  </si>
  <si>
    <t>21-08-2024</t>
  </si>
  <si>
    <t>20-08-2024</t>
  </si>
  <si>
    <t>16-08-2024</t>
  </si>
  <si>
    <t>15-08-2024</t>
  </si>
  <si>
    <t>14-08-2024</t>
  </si>
  <si>
    <t>13-08-2024</t>
  </si>
  <si>
    <t>09-08-2024</t>
  </si>
  <si>
    <t>08-08-2024</t>
  </si>
  <si>
    <t>07-08-2024</t>
  </si>
  <si>
    <t>06-08-2024</t>
  </si>
  <si>
    <t>02-08-2024</t>
  </si>
  <si>
    <t>01-08-2024</t>
  </si>
  <si>
    <t>31-07-2024</t>
  </si>
  <si>
    <t>30-07-2024</t>
  </si>
  <si>
    <t>26-07-2024</t>
  </si>
  <si>
    <t>25-07-2024</t>
  </si>
  <si>
    <t>24-07-2024</t>
  </si>
  <si>
    <t>23-07-2024</t>
  </si>
  <si>
    <t>19-07-2024</t>
  </si>
  <si>
    <t>18-07-2024</t>
  </si>
  <si>
    <t>17-07-2024</t>
  </si>
  <si>
    <t>16-07-2024</t>
  </si>
  <si>
    <t>12-07-2024</t>
  </si>
  <si>
    <t>11-07-2024</t>
  </si>
  <si>
    <t>10-07-2024</t>
  </si>
  <si>
    <t>09-07-2024</t>
  </si>
  <si>
    <t>05-07-2024</t>
  </si>
  <si>
    <t>03-07-2024</t>
  </si>
  <si>
    <t>02-07-2024</t>
  </si>
  <si>
    <t>28-06-2024</t>
  </si>
  <si>
    <t>27-06-2024</t>
  </si>
  <si>
    <t>26-06-2024</t>
  </si>
  <si>
    <t>25-06-2024</t>
  </si>
  <si>
    <t>21-06-2024</t>
  </si>
  <si>
    <t>20-06-2024</t>
  </si>
  <si>
    <t>18-06-2024</t>
  </si>
  <si>
    <t>14-06-2024</t>
  </si>
  <si>
    <t>13-06-2024</t>
  </si>
  <si>
    <t>12-06-2024</t>
  </si>
  <si>
    <t>11-06-2024</t>
  </si>
  <si>
    <t>07-06-2024</t>
  </si>
  <si>
    <t>06-06-2024</t>
  </si>
  <si>
    <t>05-06-2024</t>
  </si>
  <si>
    <t>04-06-2024</t>
  </si>
  <si>
    <t>31-05-2024</t>
  </si>
  <si>
    <t>30-05-2024</t>
  </si>
  <si>
    <t>29-05-2024</t>
  </si>
  <si>
    <t>28-05-2024</t>
  </si>
  <si>
    <t>24-05-2024</t>
  </si>
  <si>
    <t>23-05-2024</t>
  </si>
  <si>
    <t>22-05-2024</t>
  </si>
  <si>
    <t>21-05-2024</t>
  </si>
  <si>
    <t>17-05-2024</t>
  </si>
  <si>
    <t>16-05-2024</t>
  </si>
  <si>
    <t>15-05-2024</t>
  </si>
  <si>
    <t>14-05-2024</t>
  </si>
  <si>
    <t>10-05-2024</t>
  </si>
  <si>
    <t>09-05-2024</t>
  </si>
  <si>
    <t>08-05-2024</t>
  </si>
  <si>
    <t>07-05-2024</t>
  </si>
  <si>
    <t>03-05-2024</t>
  </si>
  <si>
    <t>02-05-2024</t>
  </si>
  <si>
    <t>01-05-2024</t>
  </si>
  <si>
    <t>30-04-2024</t>
  </si>
  <si>
    <t>26-04-2024</t>
  </si>
  <si>
    <t>25-04-2024</t>
  </si>
  <si>
    <t>24-04-2024</t>
  </si>
  <si>
    <t>23-04-2024</t>
  </si>
  <si>
    <t>19-04-2024</t>
  </si>
  <si>
    <t>18-04-2024</t>
  </si>
  <si>
    <t>17-04-2024</t>
  </si>
  <si>
    <t>16-04-2024</t>
  </si>
  <si>
    <t>12-04-2024</t>
  </si>
  <si>
    <t>11-04-2024</t>
  </si>
  <si>
    <t>10-04-2024</t>
  </si>
  <si>
    <t>09-04-2024</t>
  </si>
  <si>
    <t>05-04-2024</t>
  </si>
  <si>
    <t>04-04-2024</t>
  </si>
  <si>
    <t>03-04-2024</t>
  </si>
  <si>
    <t>02-04-2024</t>
  </si>
  <si>
    <t>28-03-2024</t>
  </si>
  <si>
    <t>27-03-2024</t>
  </si>
  <si>
    <t>26-03-2024</t>
  </si>
  <si>
    <t>22-03-2024</t>
  </si>
  <si>
    <t>21-03-2024</t>
  </si>
  <si>
    <t>20-03-2024</t>
  </si>
  <si>
    <t>19-03-2024</t>
  </si>
  <si>
    <t>15-03-2024</t>
  </si>
  <si>
    <t>14-03-2024</t>
  </si>
  <si>
    <t>13-03-2024</t>
  </si>
  <si>
    <t>12-03-2024</t>
  </si>
  <si>
    <t>08-03-2024</t>
  </si>
  <si>
    <t>07-03-2024</t>
  </si>
  <si>
    <t>06-03-2024</t>
  </si>
  <si>
    <t>05-03-2024</t>
  </si>
  <si>
    <t>01-03-2024</t>
  </si>
  <si>
    <t>29-02-2024</t>
  </si>
  <si>
    <t>28-02-2024</t>
  </si>
  <si>
    <t>27-02-2024</t>
  </si>
  <si>
    <t>23-02-2024</t>
  </si>
  <si>
    <t>22-02-2024</t>
  </si>
  <si>
    <t>21-02-2024</t>
  </si>
  <si>
    <t>20-02-2024</t>
  </si>
  <si>
    <t>16-02-2024</t>
  </si>
  <si>
    <t>15-02-2024</t>
  </si>
  <si>
    <t>14-02-2024</t>
  </si>
  <si>
    <t>13-02-2024</t>
  </si>
  <si>
    <t>09-02-2024</t>
  </si>
  <si>
    <t>08-02-2024</t>
  </si>
  <si>
    <t>07-02-2024</t>
  </si>
  <si>
    <t>06-02-2024</t>
  </si>
  <si>
    <t>02-02-2024</t>
  </si>
  <si>
    <t>01-02-2024</t>
  </si>
  <si>
    <t>31-01-2024</t>
  </si>
  <si>
    <t>30-01-2024</t>
  </si>
  <si>
    <t>26-01-2024</t>
  </si>
  <si>
    <t>25-01-2024</t>
  </si>
  <si>
    <t>24-01-2024</t>
  </si>
  <si>
    <t>23-01-2024</t>
  </si>
  <si>
    <t>19-01-2024</t>
  </si>
  <si>
    <t>18-01-2024</t>
  </si>
  <si>
    <t>17-01-2024</t>
  </si>
  <si>
    <t>16-01-2024</t>
  </si>
  <si>
    <t>12-01-2024</t>
  </si>
  <si>
    <t>11-01-2024</t>
  </si>
  <si>
    <t>10-01-2024</t>
  </si>
  <si>
    <t>09-01-2024</t>
  </si>
  <si>
    <t>05-01-2024</t>
  </si>
  <si>
    <t>04-01-2024</t>
  </si>
  <si>
    <t>03-01-2024</t>
  </si>
  <si>
    <t>02-01-2024</t>
  </si>
  <si>
    <t>29-12-2023</t>
  </si>
  <si>
    <t>28-12-2023</t>
  </si>
  <si>
    <t>27-12-2023</t>
  </si>
  <si>
    <t>26-12-2023</t>
  </si>
  <si>
    <t>22-12-2023</t>
  </si>
  <si>
    <t>21-12-2023</t>
  </si>
  <si>
    <t>20-12-2023</t>
  </si>
  <si>
    <t>19-12-2023</t>
  </si>
  <si>
    <t>15-12-2023</t>
  </si>
  <si>
    <t>14-12-2023</t>
  </si>
  <si>
    <t>13-12-2023</t>
  </si>
  <si>
    <t>12-12-2023</t>
  </si>
  <si>
    <t>08-12-2023</t>
  </si>
  <si>
    <t>07-12-2023</t>
  </si>
  <si>
    <t>06-12-2023</t>
  </si>
  <si>
    <t>05-12-2023</t>
  </si>
  <si>
    <t>01-12-2023</t>
  </si>
  <si>
    <t>30-11-2023</t>
  </si>
  <si>
    <t>29-11-2023</t>
  </si>
  <si>
    <t>28-11-2023</t>
  </si>
  <si>
    <t>24-11-2023</t>
  </si>
  <si>
    <t>22-11-2023</t>
  </si>
  <si>
    <t>21-11-2023</t>
  </si>
  <si>
    <t>17-11-2023</t>
  </si>
  <si>
    <t>16-11-2023</t>
  </si>
  <si>
    <t>15-11-2023</t>
  </si>
  <si>
    <t>14-11-2023</t>
  </si>
  <si>
    <t>10-11-2023</t>
  </si>
  <si>
    <t>09-11-2023</t>
  </si>
  <si>
    <t>08-11-2023</t>
  </si>
  <si>
    <t>07-11-2023</t>
  </si>
  <si>
    <t>03-11-2023</t>
  </si>
  <si>
    <t>02-11-2023</t>
  </si>
  <si>
    <t>01-11-2023</t>
  </si>
  <si>
    <t>31-10-2023</t>
  </si>
  <si>
    <t>27-10-2023</t>
  </si>
  <si>
    <t>26-10-2023</t>
  </si>
  <si>
    <t>25-10-2023</t>
  </si>
  <si>
    <t>24-10-2023</t>
  </si>
  <si>
    <t>20-10-2023</t>
  </si>
  <si>
    <t>19-10-2023</t>
  </si>
  <si>
    <t>18-10-2023</t>
  </si>
  <si>
    <t>17-10-2023</t>
  </si>
  <si>
    <t>13-10-2023</t>
  </si>
  <si>
    <t>12-10-2023</t>
  </si>
  <si>
    <t>11-10-2023</t>
  </si>
  <si>
    <t>10-10-2023</t>
  </si>
  <si>
    <t>06-10-2023</t>
  </si>
  <si>
    <t>05-10-2023</t>
  </si>
  <si>
    <t>04-10-2023</t>
  </si>
  <si>
    <t>03-10-2023</t>
  </si>
  <si>
    <t>29-09-2023</t>
  </si>
  <si>
    <t>28-09-2023</t>
  </si>
  <si>
    <t>27-09-2023</t>
  </si>
  <si>
    <t>26-09-2023</t>
  </si>
  <si>
    <t>22-09-2023</t>
  </si>
  <si>
    <t>21-09-2023</t>
  </si>
  <si>
    <t>20-09-2023</t>
  </si>
  <si>
    <t>19-09-2023</t>
  </si>
  <si>
    <t>15-09-2023</t>
  </si>
  <si>
    <t>14-09-2023</t>
  </si>
  <si>
    <t>13-09-2023</t>
  </si>
  <si>
    <t>12-09-2023</t>
  </si>
  <si>
    <t>08-09-2023</t>
  </si>
  <si>
    <t>07-09-2023</t>
  </si>
  <si>
    <t>06-09-2023</t>
  </si>
  <si>
    <t>05-09-2023</t>
  </si>
  <si>
    <t>01-09-2023</t>
  </si>
  <si>
    <t>31-08-2023</t>
  </si>
  <si>
    <t>30-08-2023</t>
  </si>
  <si>
    <t>29-08-2023</t>
  </si>
  <si>
    <t>25-08-2023</t>
  </si>
  <si>
    <t>24-08-2023</t>
  </si>
  <si>
    <t>23-08-2023</t>
  </si>
  <si>
    <t>22-08-2023</t>
  </si>
  <si>
    <t>18-08-2023</t>
  </si>
  <si>
    <t>17-08-2023</t>
  </si>
  <si>
    <t>16-08-2023</t>
  </si>
  <si>
    <t>15-08-2023</t>
  </si>
  <si>
    <t>11-08-2023</t>
  </si>
  <si>
    <t>10-08-2023</t>
  </si>
  <si>
    <t>09-08-2023</t>
  </si>
  <si>
    <t>08-08-2023</t>
  </si>
  <si>
    <t>04-08-2023</t>
  </si>
  <si>
    <t>03-08-2023</t>
  </si>
  <si>
    <t>02-08-2023</t>
  </si>
  <si>
    <t>01-08-2023</t>
  </si>
  <si>
    <t>28-07-2023</t>
  </si>
  <si>
    <t>27-07-2023</t>
  </si>
  <si>
    <t>26-07-2023</t>
  </si>
  <si>
    <t>25-07-2023</t>
  </si>
  <si>
    <t>21-07-2023</t>
  </si>
  <si>
    <t>20-07-2023</t>
  </si>
  <si>
    <t>19-07-2023</t>
  </si>
  <si>
    <t>18-07-2023</t>
  </si>
  <si>
    <t>14-07-2023</t>
  </si>
  <si>
    <t>13-07-2023</t>
  </si>
  <si>
    <t>12-07-2023</t>
  </si>
  <si>
    <t>11-07-2023</t>
  </si>
  <si>
    <t>07-07-2023</t>
  </si>
  <si>
    <t>06-07-2023</t>
  </si>
  <si>
    <t>05-07-2023</t>
  </si>
  <si>
    <t>30-06-2023</t>
  </si>
  <si>
    <t>29-06-2023</t>
  </si>
  <si>
    <t>28-06-2023</t>
  </si>
  <si>
    <t>27-06-2023</t>
  </si>
  <si>
    <t>23-06-2023</t>
  </si>
  <si>
    <t>22-06-2023</t>
  </si>
  <si>
    <t>21-06-2023</t>
  </si>
  <si>
    <t>20-06-2023</t>
  </si>
  <si>
    <t>16-06-2023</t>
  </si>
  <si>
    <t>15-06-2023</t>
  </si>
  <si>
    <t>14-06-2023</t>
  </si>
  <si>
    <t>13-06-2023</t>
  </si>
  <si>
    <t>09-06-2023</t>
  </si>
  <si>
    <t>08-06-2023</t>
  </si>
  <si>
    <t>07-06-2023</t>
  </si>
  <si>
    <t>06-06-2023</t>
  </si>
  <si>
    <t>02-06-2023</t>
  </si>
  <si>
    <t>01-06-2023</t>
  </si>
  <si>
    <t>31-05-2023</t>
  </si>
  <si>
    <t>30-05-2023</t>
  </si>
  <si>
    <t>26-05-2023</t>
  </si>
  <si>
    <t>25-05-2023</t>
  </si>
  <si>
    <t>24-05-2023</t>
  </si>
  <si>
    <t>23-05-2023</t>
  </si>
  <si>
    <t>19-05-2023</t>
  </si>
  <si>
    <t>18-05-2023</t>
  </si>
  <si>
    <t>17-05-2023</t>
  </si>
  <si>
    <t>16-05-2023</t>
  </si>
  <si>
    <t>12-05-2023</t>
  </si>
  <si>
    <t>11-05-2023</t>
  </si>
  <si>
    <t>10-05-2023</t>
  </si>
  <si>
    <t>09-05-2023</t>
  </si>
  <si>
    <t>05-05-2023</t>
  </si>
  <si>
    <t>04-05-2023</t>
  </si>
  <si>
    <t>03-05-2023</t>
  </si>
  <si>
    <t>02-05-2023</t>
  </si>
  <si>
    <t>28-04-2023</t>
  </si>
  <si>
    <t>27-04-2023</t>
  </si>
  <si>
    <t>26-04-2023</t>
  </si>
  <si>
    <t>25-04-2023</t>
  </si>
  <si>
    <t>21-04-2023</t>
  </si>
  <si>
    <t>20-04-2023</t>
  </si>
  <si>
    <t>19-04-2023</t>
  </si>
  <si>
    <t>18-04-2023</t>
  </si>
  <si>
    <t>14-04-2023</t>
  </si>
  <si>
    <t>13-04-2023</t>
  </si>
  <si>
    <t>12-04-2023</t>
  </si>
  <si>
    <t>11-04-2023</t>
  </si>
  <si>
    <t>06-04-2023</t>
  </si>
  <si>
    <t>05-04-2023</t>
  </si>
  <si>
    <t>04-04-2023</t>
  </si>
  <si>
    <t>31-03-2023</t>
  </si>
  <si>
    <t>30-03-2023</t>
  </si>
  <si>
    <t>29-03-2023</t>
  </si>
  <si>
    <t>28-03-2023</t>
  </si>
  <si>
    <t>24-03-2023</t>
  </si>
  <si>
    <t>23-03-2023</t>
  </si>
  <si>
    <t>22-03-2023</t>
  </si>
  <si>
    <t>21-03-2023</t>
  </si>
  <si>
    <t>17-03-2023</t>
  </si>
  <si>
    <t>16-03-2023</t>
  </si>
  <si>
    <t>15-03-2023</t>
  </si>
  <si>
    <t>14-03-2023</t>
  </si>
  <si>
    <t>10-03-2023</t>
  </si>
  <si>
    <t>09-03-2023</t>
  </si>
  <si>
    <t>08-03-2023</t>
  </si>
  <si>
    <t>07-03-2023</t>
  </si>
  <si>
    <t>03-03-2023</t>
  </si>
  <si>
    <t>02-03-2023</t>
  </si>
  <si>
    <t>01-03-2023</t>
  </si>
  <si>
    <t>28-02-2023</t>
  </si>
  <si>
    <t>24-02-2023</t>
  </si>
  <si>
    <t>23-02-2023</t>
  </si>
  <si>
    <t>22-02-2023</t>
  </si>
  <si>
    <t>21-02-2023</t>
  </si>
  <si>
    <t>17-02-2023</t>
  </si>
  <si>
    <t>16-02-2023</t>
  </si>
  <si>
    <t>15-02-2023</t>
  </si>
  <si>
    <t>14-02-2023</t>
  </si>
  <si>
    <t>10-02-2023</t>
  </si>
  <si>
    <t>09-02-2023</t>
  </si>
  <si>
    <t>08-02-2023</t>
  </si>
  <si>
    <t>07-02-2023</t>
  </si>
  <si>
    <t>03-02-2023</t>
  </si>
  <si>
    <t>02-02-2023</t>
  </si>
  <si>
    <t>01-02-2023</t>
  </si>
  <si>
    <t>31-01-2023</t>
  </si>
  <si>
    <t>27-01-2023</t>
  </si>
  <si>
    <t>26-01-2023</t>
  </si>
  <si>
    <t>25-01-2023</t>
  </si>
  <si>
    <t>24-01-2023</t>
  </si>
  <si>
    <t>20-01-2023</t>
  </si>
  <si>
    <t>19-01-2023</t>
  </si>
  <si>
    <t>18-01-2023</t>
  </si>
  <si>
    <t>17-01-2023</t>
  </si>
  <si>
    <t>13-01-2023</t>
  </si>
  <si>
    <t>12-01-2023</t>
  </si>
  <si>
    <t>11-01-2023</t>
  </si>
  <si>
    <t>10-01-2023</t>
  </si>
  <si>
    <t>06-01-2023</t>
  </si>
  <si>
    <t>05-01-2023</t>
  </si>
  <si>
    <t>04-01-2023</t>
  </si>
  <si>
    <t>03-01-2023</t>
  </si>
  <si>
    <t>30-12-2022</t>
  </si>
  <si>
    <t>29-12-2022</t>
  </si>
  <si>
    <t>28-12-2022</t>
  </si>
  <si>
    <t>27-12-2022</t>
  </si>
  <si>
    <t>23-12-2022</t>
  </si>
  <si>
    <t>22-12-2022</t>
  </si>
  <si>
    <t>21-12-2022</t>
  </si>
  <si>
    <t>20-12-2022</t>
  </si>
  <si>
    <t>16-12-2022</t>
  </si>
  <si>
    <t>15-12-2022</t>
  </si>
  <si>
    <t>14-12-2022</t>
  </si>
  <si>
    <t>13-12-2022</t>
  </si>
  <si>
    <t>09-12-2022</t>
  </si>
  <si>
    <t>08-12-2022</t>
  </si>
  <si>
    <t>07-12-2022</t>
  </si>
  <si>
    <t>06-12-2022</t>
  </si>
  <si>
    <t>02-12-2022</t>
  </si>
  <si>
    <t>01-12-2022</t>
  </si>
  <si>
    <t>30-11-2022</t>
  </si>
  <si>
    <t>29-11-2022</t>
  </si>
  <si>
    <t>25-11-2022</t>
  </si>
  <si>
    <t>23-11-2022</t>
  </si>
  <si>
    <t>22-11-2022</t>
  </si>
  <si>
    <t>18-11-2022</t>
  </si>
  <si>
    <t>17-11-2022</t>
  </si>
  <si>
    <t>16-11-2022</t>
  </si>
  <si>
    <t>15-11-2022</t>
  </si>
  <si>
    <t>11-11-2022</t>
  </si>
  <si>
    <t>10-11-2022</t>
  </si>
  <si>
    <t>09-11-2022</t>
  </si>
  <si>
    <t>08-11-2022</t>
  </si>
  <si>
    <t>04-11-2022</t>
  </si>
  <si>
    <t>03-11-2022</t>
  </si>
  <si>
    <t>02-11-2022</t>
  </si>
  <si>
    <t>01-11-2022</t>
  </si>
  <si>
    <t>28-10-2022</t>
  </si>
  <si>
    <t>27-10-2022</t>
  </si>
  <si>
    <t>26-10-2022</t>
  </si>
  <si>
    <t>25-10-2022</t>
  </si>
  <si>
    <t>21-10-2022</t>
  </si>
  <si>
    <t>20-10-2022</t>
  </si>
  <si>
    <t>19-10-2022</t>
  </si>
  <si>
    <t>18-10-2022</t>
  </si>
  <si>
    <t>14-10-2022</t>
  </si>
  <si>
    <t>13-10-2022</t>
  </si>
  <si>
    <t>12-10-2022</t>
  </si>
  <si>
    <t>11-10-2022</t>
  </si>
  <si>
    <t>07-10-2022</t>
  </si>
  <si>
    <t>06-10-2022</t>
  </si>
  <si>
    <t>05-10-2022</t>
  </si>
  <si>
    <t>04-10-2022</t>
  </si>
  <si>
    <t>30-09-2022</t>
  </si>
  <si>
    <t>29-09-2022</t>
  </si>
  <si>
    <t>28-09-2022</t>
  </si>
  <si>
    <t>27-09-2022</t>
  </si>
  <si>
    <t>23-09-2022</t>
  </si>
  <si>
    <t>22-09-2022</t>
  </si>
  <si>
    <t>21-09-2022</t>
  </si>
  <si>
    <t>20-09-2022</t>
  </si>
  <si>
    <t>16-09-2022</t>
  </si>
  <si>
    <t>15-09-2022</t>
  </si>
  <si>
    <t>14-09-2022</t>
  </si>
  <si>
    <t>13-09-2022</t>
  </si>
  <si>
    <t>09-09-2022</t>
  </si>
  <si>
    <t>08-09-2022</t>
  </si>
  <si>
    <t>07-09-2022</t>
  </si>
  <si>
    <t>06-09-2022</t>
  </si>
  <si>
    <t>02-09-2022</t>
  </si>
  <si>
    <t>01-09-2022</t>
  </si>
  <si>
    <t>31-08-2022</t>
  </si>
  <si>
    <t>30-08-2022</t>
  </si>
  <si>
    <t>26-08-2022</t>
  </si>
  <si>
    <t>25-08-2022</t>
  </si>
  <si>
    <t>24-08-2022</t>
  </si>
  <si>
    <t>23-08-2022</t>
  </si>
  <si>
    <t>19-08-2022</t>
  </si>
  <si>
    <t>18-08-2022</t>
  </si>
  <si>
    <t>17-08-2022</t>
  </si>
  <si>
    <t>16-08-2022</t>
  </si>
  <si>
    <t>12-08-2022</t>
  </si>
  <si>
    <t>11-08-2022</t>
  </si>
  <si>
    <t>10-08-2022</t>
  </si>
  <si>
    <t>09-08-2022</t>
  </si>
  <si>
    <t>05-08-2022</t>
  </si>
  <si>
    <t>04-08-2022</t>
  </si>
  <si>
    <t>03-08-2022</t>
  </si>
  <si>
    <t>02-08-2022</t>
  </si>
  <si>
    <t>29-07-2022</t>
  </si>
  <si>
    <t>28-07-2022</t>
  </si>
  <si>
    <t>27-07-2022</t>
  </si>
  <si>
    <t>26-07-2022</t>
  </si>
  <si>
    <t>22-07-2022</t>
  </si>
  <si>
    <t>21-07-2022</t>
  </si>
  <si>
    <t>20-07-2022</t>
  </si>
  <si>
    <t>19-07-2022</t>
  </si>
  <si>
    <t>15-07-2022</t>
  </si>
  <si>
    <t>14-07-2022</t>
  </si>
  <si>
    <t>13-07-2022</t>
  </si>
  <si>
    <t>12-07-2022</t>
  </si>
  <si>
    <t>08-07-2022</t>
  </si>
  <si>
    <t>07-07-2022</t>
  </si>
  <si>
    <t>06-07-2022</t>
  </si>
  <si>
    <t>05-07-2022</t>
  </si>
  <si>
    <t>01-07-2022</t>
  </si>
  <si>
    <t>30-06-2022</t>
  </si>
  <si>
    <t>29-06-2022</t>
  </si>
  <si>
    <t>28-06-2022</t>
  </si>
  <si>
    <t>24-06-2022</t>
  </si>
  <si>
    <t>23-06-2022</t>
  </si>
  <si>
    <t>22-06-2022</t>
  </si>
  <si>
    <t>21-06-2022</t>
  </si>
  <si>
    <t>17-06-2022</t>
  </si>
  <si>
    <t>16-06-2022</t>
  </si>
  <si>
    <t>15-06-2022</t>
  </si>
  <si>
    <t>14-06-2022</t>
  </si>
  <si>
    <t>10-06-2022</t>
  </si>
  <si>
    <t>09-06-2022</t>
  </si>
  <si>
    <t>08-06-2022</t>
  </si>
  <si>
    <t>07-06-2022</t>
  </si>
  <si>
    <t>03-06-2022</t>
  </si>
  <si>
    <t>02-06-2022</t>
  </si>
  <si>
    <t>01-06-2022</t>
  </si>
  <si>
    <t>31-05-2022</t>
  </si>
  <si>
    <t>27-05-2022</t>
  </si>
  <si>
    <t>26-05-2022</t>
  </si>
  <si>
    <t>25-05-2022</t>
  </si>
  <si>
    <t>24-05-2022</t>
  </si>
  <si>
    <t>20-05-2022</t>
  </si>
  <si>
    <t>19-05-2022</t>
  </si>
  <si>
    <t>18-05-2022</t>
  </si>
  <si>
    <t>17-05-2022</t>
  </si>
  <si>
    <t>13-05-2022</t>
  </si>
  <si>
    <t>12-05-2022</t>
  </si>
  <si>
    <t>11-05-2022</t>
  </si>
  <si>
    <t>10-05-2022</t>
  </si>
  <si>
    <t>06-05-2022</t>
  </si>
  <si>
    <t>05-05-2022</t>
  </si>
  <si>
    <t>04-05-2022</t>
  </si>
  <si>
    <t>03-05-2022</t>
  </si>
  <si>
    <t>29-04-2022</t>
  </si>
  <si>
    <t>28-04-2022</t>
  </si>
  <si>
    <t>27-04-2022</t>
  </si>
  <si>
    <t>26-04-2022</t>
  </si>
  <si>
    <t>22-04-2022</t>
  </si>
  <si>
    <t>21-04-2022</t>
  </si>
  <si>
    <t>20-04-2022</t>
  </si>
  <si>
    <t>19-04-2022</t>
  </si>
  <si>
    <t>14-04-2022</t>
  </si>
  <si>
    <t>13-04-2022</t>
  </si>
  <si>
    <t>12-04-2022</t>
  </si>
  <si>
    <t>08-04-2022</t>
  </si>
  <si>
    <t>07-04-2022</t>
  </si>
  <si>
    <t>06-04-2022</t>
  </si>
  <si>
    <t>05-04-2022</t>
  </si>
  <si>
    <t>01-04-2022</t>
  </si>
  <si>
    <t>31-03-2022</t>
  </si>
  <si>
    <t>30-03-2022</t>
  </si>
  <si>
    <t>29-03-2022</t>
  </si>
  <si>
    <t>25-03-2022</t>
  </si>
  <si>
    <t>24-03-2022</t>
  </si>
  <si>
    <t>23-03-2022</t>
  </si>
  <si>
    <t>22-03-2022</t>
  </si>
  <si>
    <t>18-03-2022</t>
  </si>
  <si>
    <t>17-03-2022</t>
  </si>
  <si>
    <t>16-03-2022</t>
  </si>
  <si>
    <t>15-03-2022</t>
  </si>
  <si>
    <t>11-03-2022</t>
  </si>
  <si>
    <t>10-03-2022</t>
  </si>
  <si>
    <t>09-03-2022</t>
  </si>
  <si>
    <t>08-03-2022</t>
  </si>
  <si>
    <t>04-03-2022</t>
  </si>
  <si>
    <t>03-03-2022</t>
  </si>
  <si>
    <t>02-03-2022</t>
  </si>
  <si>
    <t>01-03-2022</t>
  </si>
  <si>
    <t>25-02-2022</t>
  </si>
  <si>
    <t>24-02-2022</t>
  </si>
  <si>
    <t>23-02-2022</t>
  </si>
  <si>
    <t>22-02-2022</t>
  </si>
  <si>
    <t>18-02-2022</t>
  </si>
  <si>
    <t>17-02-2022</t>
  </si>
  <si>
    <t>16-02-2022</t>
  </si>
  <si>
    <t>15-02-2022</t>
  </si>
  <si>
    <t>11-02-2022</t>
  </si>
  <si>
    <t>10-02-2022</t>
  </si>
  <si>
    <t>09-02-2022</t>
  </si>
  <si>
    <t>08-02-2022</t>
  </si>
  <si>
    <t>04-02-2022</t>
  </si>
  <si>
    <t>03-02-2022</t>
  </si>
  <si>
    <t>02-02-2022</t>
  </si>
  <si>
    <t>01-02-2022</t>
  </si>
  <si>
    <t>28-01-2022</t>
  </si>
  <si>
    <t>27-01-2022</t>
  </si>
  <si>
    <t>26-01-2022</t>
  </si>
  <si>
    <t>25-01-2022</t>
  </si>
  <si>
    <t>21-01-2022</t>
  </si>
  <si>
    <t>20-01-2022</t>
  </si>
  <si>
    <t>19-01-2022</t>
  </si>
  <si>
    <t>18-01-2022</t>
  </si>
  <si>
    <t>14-01-2022</t>
  </si>
  <si>
    <t>13-01-2022</t>
  </si>
  <si>
    <t>12-01-2022</t>
  </si>
  <si>
    <t>11-01-2022</t>
  </si>
  <si>
    <t>07-01-2022</t>
  </si>
  <si>
    <t>06-01-2022</t>
  </si>
  <si>
    <t>05-01-2022</t>
  </si>
  <si>
    <t>04-01-2022</t>
  </si>
  <si>
    <t>31-12-2021</t>
  </si>
  <si>
    <t>30-12-2021</t>
  </si>
  <si>
    <t>29-12-2021</t>
  </si>
  <si>
    <t>28-12-2021</t>
  </si>
  <si>
    <t>23-12-2021</t>
  </si>
  <si>
    <t>22-12-2021</t>
  </si>
  <si>
    <t>21-12-2021</t>
  </si>
  <si>
    <t>17-12-2021</t>
  </si>
  <si>
    <t>16-12-2021</t>
  </si>
  <si>
    <t>15-12-2021</t>
  </si>
  <si>
    <t>14-12-2021</t>
  </si>
  <si>
    <t>10-12-2021</t>
  </si>
  <si>
    <t>09-12-2021</t>
  </si>
  <si>
    <t>08-12-2021</t>
  </si>
  <si>
    <t>07-12-2021</t>
  </si>
  <si>
    <t>03-12-2021</t>
  </si>
  <si>
    <t>02-12-2021</t>
  </si>
  <si>
    <t>01-12-2021</t>
  </si>
  <si>
    <t>30-11-2021</t>
  </si>
  <si>
    <t>26-11-2021</t>
  </si>
  <si>
    <t>24-11-2021</t>
  </si>
  <si>
    <t>23-11-2021</t>
  </si>
  <si>
    <t>19-11-2021</t>
  </si>
  <si>
    <t>18-11-2021</t>
  </si>
  <si>
    <t>17-11-2021</t>
  </si>
  <si>
    <t>16-11-2021</t>
  </si>
  <si>
    <t>12-11-2021</t>
  </si>
  <si>
    <t>11-11-2021</t>
  </si>
  <si>
    <t>10-11-2021</t>
  </si>
  <si>
    <t>09-11-2021</t>
  </si>
  <si>
    <t>05-11-2021</t>
  </si>
  <si>
    <t>04-11-2021</t>
  </si>
  <si>
    <t>03-11-2021</t>
  </si>
  <si>
    <t>02-11-2021</t>
  </si>
  <si>
    <t>29-10-2021</t>
  </si>
  <si>
    <t>28-10-2021</t>
  </si>
  <si>
    <t>27-10-2021</t>
  </si>
  <si>
    <t>26-10-2021</t>
  </si>
  <si>
    <t>22-10-2021</t>
  </si>
  <si>
    <t>21-10-2021</t>
  </si>
  <si>
    <t>20-10-2021</t>
  </si>
  <si>
    <t>19-10-2021</t>
  </si>
  <si>
    <t>15-10-2021</t>
  </si>
  <si>
    <t>14-10-2021</t>
  </si>
  <si>
    <t>13-10-2021</t>
  </si>
  <si>
    <t>12-10-2021</t>
  </si>
  <si>
    <t>08-10-2021</t>
  </si>
  <si>
    <t>07-10-2021</t>
  </si>
  <si>
    <t>06-10-2021</t>
  </si>
  <si>
    <t>05-10-2021</t>
  </si>
  <si>
    <t>01-10-2021</t>
  </si>
  <si>
    <t>30-09-2021</t>
  </si>
  <si>
    <t>29-09-2021</t>
  </si>
  <si>
    <t>28-09-2021</t>
  </si>
  <si>
    <t>24-09-2021</t>
  </si>
  <si>
    <t>23-09-2021</t>
  </si>
  <si>
    <t>22-09-2021</t>
  </si>
  <si>
    <t>21-09-2021</t>
  </si>
  <si>
    <t>17-09-2021</t>
  </si>
  <si>
    <t>16-09-2021</t>
  </si>
  <si>
    <t>15-09-2021</t>
  </si>
  <si>
    <t>14-09-2021</t>
  </si>
  <si>
    <t>10-09-2021</t>
  </si>
  <si>
    <t>09-09-2021</t>
  </si>
  <si>
    <t>08-09-2021</t>
  </si>
  <si>
    <t>07-09-2021</t>
  </si>
  <si>
    <t>03-09-2021</t>
  </si>
  <si>
    <t>02-09-2021</t>
  </si>
  <si>
    <t>01-09-2021</t>
  </si>
  <si>
    <t>31-08-2021</t>
  </si>
  <si>
    <t>27-08-2021</t>
  </si>
  <si>
    <t>26-08-2021</t>
  </si>
  <si>
    <t>25-08-2021</t>
  </si>
  <si>
    <t>24-08-2021</t>
  </si>
  <si>
    <t>20-08-2021</t>
  </si>
  <si>
    <t>19-08-2021</t>
  </si>
  <si>
    <t>18-08-2021</t>
  </si>
  <si>
    <t>17-08-2021</t>
  </si>
  <si>
    <t>13-08-2021</t>
  </si>
  <si>
    <t>12-08-2021</t>
  </si>
  <si>
    <t>11-08-2021</t>
  </si>
  <si>
    <t>10-08-2021</t>
  </si>
  <si>
    <t>06-08-2021</t>
  </si>
  <si>
    <t>05-08-2021</t>
  </si>
  <si>
    <t>04-08-2021</t>
  </si>
  <si>
    <t>03-08-2021</t>
  </si>
  <si>
    <t>30-07-2021</t>
  </si>
  <si>
    <t>29-07-2021</t>
  </si>
  <si>
    <t>28-07-2021</t>
  </si>
  <si>
    <t>27-07-2021</t>
  </si>
  <si>
    <t>23-07-2021</t>
  </si>
  <si>
    <t>22-07-2021</t>
  </si>
  <si>
    <t>21-07-2021</t>
  </si>
  <si>
    <t>20-07-2021</t>
  </si>
  <si>
    <t>16-07-2021</t>
  </si>
  <si>
    <t>15-07-2021</t>
  </si>
  <si>
    <t>14-07-2021</t>
  </si>
  <si>
    <t>13-07-2021</t>
  </si>
  <si>
    <t>09-07-2021</t>
  </si>
  <si>
    <t>08-07-2021</t>
  </si>
  <si>
    <t>07-07-2021</t>
  </si>
  <si>
    <t>06-07-2021</t>
  </si>
  <si>
    <t>02-07-2021</t>
  </si>
  <si>
    <t>01-07-2021</t>
  </si>
  <si>
    <t>30-06-2021</t>
  </si>
  <si>
    <t>29-06-2021</t>
  </si>
  <si>
    <t>25-06-2021</t>
  </si>
  <si>
    <t>24-06-2021</t>
  </si>
  <si>
    <t>23-06-2021</t>
  </si>
  <si>
    <t>22-06-2021</t>
  </si>
  <si>
    <t>18-06-2021</t>
  </si>
  <si>
    <t>17-06-2021</t>
  </si>
  <si>
    <t>16-06-2021</t>
  </si>
  <si>
    <t>15-06-2021</t>
  </si>
  <si>
    <t>11-06-2021</t>
  </si>
  <si>
    <t>10-06-2021</t>
  </si>
  <si>
    <t>09-06-2021</t>
  </si>
  <si>
    <t>08-06-2021</t>
  </si>
  <si>
    <t>04-06-2021</t>
  </si>
  <si>
    <t>03-06-2021</t>
  </si>
  <si>
    <t>02-06-2021</t>
  </si>
  <si>
    <t>01-06-2021</t>
  </si>
  <si>
    <t>28-05-2021</t>
  </si>
  <si>
    <t>27-05-2021</t>
  </si>
  <si>
    <t>26-05-2021</t>
  </si>
  <si>
    <t>25-05-2021</t>
  </si>
  <si>
    <t>21-05-2021</t>
  </si>
  <si>
    <t>20-05-2021</t>
  </si>
  <si>
    <t>19-05-2021</t>
  </si>
  <si>
    <t>18-05-2021</t>
  </si>
  <si>
    <t>14-05-2021</t>
  </si>
  <si>
    <t>13-05-2021</t>
  </si>
  <si>
    <t>12-05-2021</t>
  </si>
  <si>
    <t>11-05-2021</t>
  </si>
  <si>
    <t>07-05-2021</t>
  </si>
  <si>
    <t>06-05-2021</t>
  </si>
  <si>
    <t>05-05-2021</t>
  </si>
  <si>
    <t>04-05-2021</t>
  </si>
  <si>
    <t>30-04-2021</t>
  </si>
  <si>
    <t>29-04-2021</t>
  </si>
  <si>
    <t>28-04-2021</t>
  </si>
  <si>
    <t>27-04-2021</t>
  </si>
  <si>
    <t>23-04-2021</t>
  </si>
  <si>
    <t>22-04-2021</t>
  </si>
  <si>
    <t>21-04-2021</t>
  </si>
  <si>
    <t>20-04-2021</t>
  </si>
  <si>
    <t>16-04-2021</t>
  </si>
  <si>
    <t>15-04-2021</t>
  </si>
  <si>
    <t>14-04-2021</t>
  </si>
  <si>
    <t>13-04-2021</t>
  </si>
  <si>
    <t>09-04-2021</t>
  </si>
  <si>
    <t>08-04-2021</t>
  </si>
  <si>
    <t>07-04-2021</t>
  </si>
  <si>
    <t>06-04-2021</t>
  </si>
  <si>
    <t>01-04-2021</t>
  </si>
  <si>
    <t>31-03-2021</t>
  </si>
  <si>
    <t>30-03-2021</t>
  </si>
  <si>
    <t>MCR</t>
  </si>
  <si>
    <t>Daily Vol</t>
  </si>
  <si>
    <t>Var</t>
  </si>
  <si>
    <t>RC</t>
  </si>
  <si>
    <t>%RC</t>
  </si>
  <si>
    <t>Check</t>
  </si>
  <si>
    <t>RC Sum</t>
  </si>
  <si>
    <t>Annualised Port Risk</t>
  </si>
  <si>
    <t>MCR Annualised</t>
  </si>
  <si>
    <t>RC Annualised</t>
  </si>
  <si>
    <t>GSPC</t>
  </si>
  <si>
    <t>AAPL_Active</t>
  </si>
  <si>
    <t>MMM_Active</t>
  </si>
  <si>
    <t>NAT_Active</t>
  </si>
  <si>
    <t>BABA_Active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</si>
</sst>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9" fontId="0" fillId="0" borderId="0" xfId="1" applyFont="1" applyFill="1" applyBorder="1"/>
    <xf numFmtId="9" fontId="2" fillId="0" borderId="1" xfId="1" applyFont="1" applyBorder="1" applyAlignment="1">
      <alignment vertical="top"/>
    </xf>
    <xf numFmtId="9" fontId="0" fillId="0" borderId="0" xfId="1" applyFont="1" applyAlignment="1"/>
    <xf numFmtId="0" fontId="0" fillId="0" borderId="0" xfId="0" applyAlignment="1"/>
    <xf numFmtId="174" fontId="0" fillId="0" borderId="0" xfId="0" applyNumberFormat="1"/>
    <xf numFmtId="0" fontId="0" fillId="0" borderId="3" xfId="0" applyBorder="1"/>
    <xf numFmtId="10" fontId="0" fillId="0" borderId="0" xfId="1" applyNumberFormat="1" applyFont="1"/>
    <xf numFmtId="9" fontId="3" fillId="0" borderId="1" xfId="1" applyFont="1" applyBorder="1" applyAlignment="1">
      <alignment vertical="top"/>
    </xf>
    <xf numFmtId="9" fontId="3" fillId="0" borderId="0" xfId="1" applyFont="1" applyBorder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447674</xdr:colOff>
      <xdr:row>1</xdr:row>
      <xdr:rowOff>18840</xdr:rowOff>
    </xdr:from>
    <xdr:to>
      <xdr:col>20</xdr:col>
      <xdr:colOff>564145</xdr:colOff>
      <xdr:row>33</xdr:row>
      <xdr:rowOff>58232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0124D-10F9-641F-2D8A-504A7F915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4" y="209340"/>
          <a:ext cx="12308471" cy="613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D190-DB80-4D59-99BF-A4006B9AB5E0}">
  <dimension ref="A1"/>
  <sheetViews>
    <sheetView workbookViewId="0">
      <selection activeCell="K8" sqref="K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8615-76F1-4EE3-B74C-2875C5F224DD}">
  <sheetPr>
    <tabColor rgb="FF00B050"/>
  </sheetPr>
  <dimension ref="A1:Y1257"/>
  <sheetViews>
    <sheetView tabSelected="1" workbookViewId="0">
      <selection activeCell="R5" sqref="R5"/>
    </sheetView>
  </sheetViews>
  <sheetFormatPr defaultRowHeight="15" x14ac:dyDescent="0.25"/>
  <cols>
    <col min="1" max="1" width="10.42578125" style="2" bestFit="1" customWidth="1"/>
    <col min="2" max="7" width="9.140625" style="8"/>
    <col min="8" max="11" width="11.140625" style="8" customWidth="1"/>
    <col min="12" max="12" width="9.140625" style="8"/>
    <col min="17" max="20" width="12.28515625" bestFit="1" customWidth="1"/>
    <col min="21" max="21" width="19.42578125" bestFit="1" customWidth="1"/>
    <col min="22" max="22" width="12" bestFit="1" customWidth="1"/>
  </cols>
  <sheetData>
    <row r="1" spans="1:2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2" t="s">
        <v>1271</v>
      </c>
      <c r="G1" s="13"/>
      <c r="H1" s="13" t="s">
        <v>1272</v>
      </c>
      <c r="I1" s="13" t="s">
        <v>1273</v>
      </c>
      <c r="J1" s="13" t="s">
        <v>1274</v>
      </c>
      <c r="K1" s="13" t="s">
        <v>1275</v>
      </c>
      <c r="L1" s="13"/>
      <c r="Q1" t="s">
        <v>1</v>
      </c>
      <c r="R1" t="s">
        <v>2</v>
      </c>
      <c r="S1" t="s">
        <v>3</v>
      </c>
      <c r="T1" t="s">
        <v>4</v>
      </c>
      <c r="W1" t="s">
        <v>1261</v>
      </c>
      <c r="X1" t="s">
        <v>1264</v>
      </c>
      <c r="Y1" t="s">
        <v>1265</v>
      </c>
    </row>
    <row r="2" spans="1:25" x14ac:dyDescent="0.25">
      <c r="A2" s="2" t="s">
        <v>238</v>
      </c>
      <c r="B2" s="7">
        <v>-1.6173039661512845E-2</v>
      </c>
      <c r="C2" s="7">
        <v>-6.5976803944719498E-3</v>
      </c>
      <c r="D2" s="7">
        <v>1.2522361359570633E-2</v>
      </c>
      <c r="E2" s="7">
        <v>-2.1688860537437238E-2</v>
      </c>
      <c r="F2" s="7">
        <v>-1.6721834878249076E-2</v>
      </c>
      <c r="G2" s="7"/>
      <c r="H2" s="7">
        <f>B2-$F2</f>
        <v>5.4879521673623088E-4</v>
      </c>
      <c r="I2" s="7">
        <f t="shared" ref="I2:K2" si="0">C2-$F2</f>
        <v>1.0124154483777126E-2</v>
      </c>
      <c r="J2" s="7">
        <f t="shared" si="0"/>
        <v>2.9244196237819708E-2</v>
      </c>
      <c r="K2" s="7">
        <f>E2-$F2</f>
        <v>-4.9670256591881623E-3</v>
      </c>
      <c r="L2" s="7"/>
      <c r="M2" s="4" t="s">
        <v>1</v>
      </c>
      <c r="N2" s="5">
        <v>0.25</v>
      </c>
      <c r="P2" t="s">
        <v>1</v>
      </c>
      <c r="Q2" s="9">
        <f>_xlfn.COVARIANCE.S(H2:H253, H2:H253)</f>
        <v>1.8090807013613491E-4</v>
      </c>
      <c r="R2" s="9">
        <f>_xlfn.COVARIANCE.S(H2:H253, I2:I253)</f>
        <v>5.0779464626414516E-6</v>
      </c>
      <c r="S2" s="9">
        <f>_xlfn.COVARIANCE.S(H2:H253, J2:J253)</f>
        <v>-5.2009623460995846E-5</v>
      </c>
      <c r="T2" s="9">
        <f>_xlfn.COVARIANCE.S(H2:H253, K2:K253)</f>
        <v>3.3260426735579046E-5</v>
      </c>
      <c r="V2" cm="1">
        <f t="array" ref="V2:V5">MMULT(Q2:T5, N2:N5)</f>
        <v>4.1809204968339887E-5</v>
      </c>
      <c r="W2">
        <f>V2/$V$8</f>
        <v>4.1653058456676082E-3</v>
      </c>
      <c r="X2">
        <f>N2*W2</f>
        <v>1.0413264614169021E-3</v>
      </c>
      <c r="Y2">
        <f>X2/$V$8</f>
        <v>0.10374373777910213</v>
      </c>
    </row>
    <row r="3" spans="1:25" x14ac:dyDescent="0.25">
      <c r="A3" s="2" t="s">
        <v>239</v>
      </c>
      <c r="B3" s="7">
        <v>1.0687989866200454E-3</v>
      </c>
      <c r="C3" s="7">
        <v>-2.7423167848699803E-2</v>
      </c>
      <c r="D3" s="7">
        <v>9.0252707581226499E-3</v>
      </c>
      <c r="E3" s="7">
        <v>-3.4342034342034422E-2</v>
      </c>
      <c r="F3" s="7">
        <v>-1.7406210652467391E-2</v>
      </c>
      <c r="G3" s="7"/>
      <c r="H3" s="7">
        <f t="shared" ref="H3:H66" si="1">B3-$F3</f>
        <v>1.8475009639087436E-2</v>
      </c>
      <c r="I3" s="7">
        <f t="shared" ref="I3:I66" si="2">C3-$F3</f>
        <v>-1.0016957196232412E-2</v>
      </c>
      <c r="J3" s="7">
        <f t="shared" ref="J3:J66" si="3">D3-$F3</f>
        <v>2.6431481410590041E-2</v>
      </c>
      <c r="K3" s="7">
        <f t="shared" ref="K3:K66" si="4">E3-$F3</f>
        <v>-1.6935823689567031E-2</v>
      </c>
      <c r="L3" s="7"/>
      <c r="M3" t="s">
        <v>2</v>
      </c>
      <c r="N3" s="1">
        <v>0.25</v>
      </c>
      <c r="P3" t="s">
        <v>2</v>
      </c>
      <c r="Q3" s="9">
        <f>_xlfn.COVARIANCE.S(I2:I253, H2:H253)</f>
        <v>5.0779464626414516E-6</v>
      </c>
      <c r="R3" s="9">
        <f>_xlfn.COVARIANCE.S(I2:I253, I2:I253)</f>
        <v>2.1977983039728869E-4</v>
      </c>
      <c r="S3" s="9">
        <f>_xlfn.COVARIANCE.S(K2:K253, J2:J253)</f>
        <v>-1.6946874693497323E-5</v>
      </c>
      <c r="T3" s="9">
        <f>_xlfn.COVARIANCE.S(I2:I253, K2:K253)</f>
        <v>3.311703840112105E-5</v>
      </c>
      <c r="V3">
        <v>6.0256985141888469E-5</v>
      </c>
      <c r="W3" s="2">
        <f t="shared" ref="W3:W5" si="5">V3/$V$8</f>
        <v>6.00319409670373E-3</v>
      </c>
      <c r="X3" s="2">
        <f>N3*W3</f>
        <v>1.5007985241759325E-3</v>
      </c>
      <c r="Y3" s="2">
        <f t="shared" ref="Y3:Y5" si="6">X3/$V$8</f>
        <v>0.14951934318418947</v>
      </c>
    </row>
    <row r="4" spans="1:25" x14ac:dyDescent="0.25">
      <c r="A4" s="2" t="s">
        <v>240</v>
      </c>
      <c r="B4" s="7">
        <v>3.8944523923065688E-3</v>
      </c>
      <c r="C4" s="7">
        <v>9.4088770709759295E-3</v>
      </c>
      <c r="D4" s="7">
        <v>-4.3177892918825567E-2</v>
      </c>
      <c r="E4" s="7">
        <v>3.4985655084475598E-2</v>
      </c>
      <c r="F4" s="7">
        <v>5.4191572470740912E-3</v>
      </c>
      <c r="G4" s="7"/>
      <c r="H4" s="7">
        <f t="shared" si="1"/>
        <v>-1.5247048547675224E-3</v>
      </c>
      <c r="I4" s="7">
        <f t="shared" si="2"/>
        <v>3.9897198239018383E-3</v>
      </c>
      <c r="J4" s="7">
        <f t="shared" si="3"/>
        <v>-4.8597050165899658E-2</v>
      </c>
      <c r="K4" s="7">
        <f t="shared" si="4"/>
        <v>2.9566497837401506E-2</v>
      </c>
      <c r="L4" s="7"/>
      <c r="M4" t="s">
        <v>3</v>
      </c>
      <c r="N4" s="1">
        <v>0.25</v>
      </c>
      <c r="P4" t="s">
        <v>3</v>
      </c>
      <c r="Q4" s="9">
        <f>_xlfn.COVARIANCE.S(J2:J253, H2:H253)</f>
        <v>-5.2009623460995846E-5</v>
      </c>
      <c r="R4" s="9">
        <f>_xlfn.COVARIANCE.S(J2:J253, I2:I253)</f>
        <v>-6.695286363880992E-6</v>
      </c>
      <c r="S4" s="9">
        <f>_xlfn.COVARIANCE.S(J2:J253, J2:J253)</f>
        <v>5.5658363462152052E-4</v>
      </c>
      <c r="T4" s="9">
        <f>_xlfn.COVARIANCE.S(J2:J253, K2:K253)</f>
        <v>-1.6946874693497323E-5</v>
      </c>
      <c r="V4">
        <v>1.202329625257866E-4</v>
      </c>
      <c r="W4" s="2">
        <f t="shared" si="5"/>
        <v>1.1978392366700841E-2</v>
      </c>
      <c r="X4" s="2">
        <f>N4*W4</f>
        <v>2.9945980916752102E-3</v>
      </c>
      <c r="Y4" s="2">
        <f t="shared" si="6"/>
        <v>0.29834140462908443</v>
      </c>
    </row>
    <row r="5" spans="1:25" x14ac:dyDescent="0.25">
      <c r="A5" s="2" t="s">
        <v>241</v>
      </c>
      <c r="B5" s="7">
        <v>5.9644518668733326E-4</v>
      </c>
      <c r="C5" s="7">
        <v>7.5054585152822817E-4</v>
      </c>
      <c r="D5" s="7">
        <v>5.8500914076782484E-2</v>
      </c>
      <c r="E5" s="7">
        <v>-4.6009836585753083E-3</v>
      </c>
      <c r="F5" s="7">
        <v>-3.742592311198889E-3</v>
      </c>
      <c r="G5" s="7"/>
      <c r="H5" s="7">
        <f t="shared" si="1"/>
        <v>4.3390374978862223E-3</v>
      </c>
      <c r="I5" s="7">
        <f t="shared" si="2"/>
        <v>4.4931381627271172E-3</v>
      </c>
      <c r="J5" s="7">
        <f t="shared" si="3"/>
        <v>6.2243506387981373E-2</v>
      </c>
      <c r="K5" s="7">
        <f t="shared" si="4"/>
        <v>-8.5839134737641931E-4</v>
      </c>
      <c r="L5" s="7"/>
      <c r="M5" t="s">
        <v>4</v>
      </c>
      <c r="N5" s="1">
        <v>0.25</v>
      </c>
      <c r="P5" t="s">
        <v>4</v>
      </c>
      <c r="Q5" s="9">
        <f>_xlfn.COVARIANCE.S(K2:K253, H2:H253)</f>
        <v>3.3260426735579046E-5</v>
      </c>
      <c r="R5" s="9">
        <f>_xlfn.COVARIANCE.S(K2:K253, I1:I252)</f>
        <v>-8.3081699620835179E-6</v>
      </c>
      <c r="S5" s="9">
        <f>_xlfn.COVARIANCE.S(K2:K253, J2:J253)</f>
        <v>-1.6946874693497323E-5</v>
      </c>
      <c r="T5" s="9">
        <f>_xlfn.COVARIANCE.S(K2:K253, K2:K253)</f>
        <v>7.1481646220982332E-4</v>
      </c>
      <c r="V5">
        <v>1.8070546107245539E-4</v>
      </c>
      <c r="W5" s="2">
        <f t="shared" si="5"/>
        <v>1.8003057315228492E-2</v>
      </c>
      <c r="X5" s="2">
        <f>N5*W5</f>
        <v>4.500764328807123E-3</v>
      </c>
      <c r="Y5" s="2">
        <f t="shared" si="6"/>
        <v>0.44839551440762415</v>
      </c>
    </row>
    <row r="6" spans="1:25" x14ac:dyDescent="0.25">
      <c r="A6" s="2" t="s">
        <v>5</v>
      </c>
      <c r="B6" s="7">
        <v>1.4113472317432096E-2</v>
      </c>
      <c r="C6" s="7">
        <v>3.7960339943342802E-2</v>
      </c>
      <c r="D6" s="7">
        <v>4.1904761904761889E-2</v>
      </c>
      <c r="E6" s="7">
        <v>2.9817825341067028E-2</v>
      </c>
      <c r="F6" s="7">
        <v>1.1453197427795159E-2</v>
      </c>
      <c r="G6" s="7"/>
      <c r="H6" s="7">
        <f t="shared" si="1"/>
        <v>2.6602748896369377E-3</v>
      </c>
      <c r="I6" s="7">
        <f t="shared" si="2"/>
        <v>2.6507142515547644E-2</v>
      </c>
      <c r="J6" s="7">
        <f t="shared" si="3"/>
        <v>3.045156447696673E-2</v>
      </c>
      <c r="K6" s="7">
        <f t="shared" si="4"/>
        <v>1.8364627913271869E-2</v>
      </c>
      <c r="L6" s="7"/>
    </row>
    <row r="7" spans="1:25" x14ac:dyDescent="0.25">
      <c r="A7" s="2" t="s">
        <v>242</v>
      </c>
      <c r="B7" s="7">
        <v>-3.896208226221054E-3</v>
      </c>
      <c r="C7" s="7">
        <v>-1.0580898325275201E-2</v>
      </c>
      <c r="D7" s="7">
        <v>-4.3715846994535568E-2</v>
      </c>
      <c r="E7" s="7">
        <v>-1.9935948759007283E-2</v>
      </c>
      <c r="F7" s="7">
        <v>-1.5138144460977054E-2</v>
      </c>
      <c r="G7" s="7"/>
      <c r="H7" s="7">
        <f t="shared" si="1"/>
        <v>1.1241936234756E-2</v>
      </c>
      <c r="I7" s="7">
        <f t="shared" si="2"/>
        <v>4.5572461357018534E-3</v>
      </c>
      <c r="J7" s="7">
        <f t="shared" si="3"/>
        <v>-2.8577702533558513E-2</v>
      </c>
      <c r="K7" s="7">
        <f t="shared" si="4"/>
        <v>-4.7978042980302282E-3</v>
      </c>
      <c r="L7" s="7"/>
      <c r="U7" t="s">
        <v>1263</v>
      </c>
      <c r="V7" cm="1">
        <f t="array" ref="V7">MMULT(TRANSPOSE(N2:N5), V2:V5)</f>
        <v>1.0075115342711758E-4</v>
      </c>
    </row>
    <row r="8" spans="1:25" x14ac:dyDescent="0.25">
      <c r="A8" s="2" t="s">
        <v>243</v>
      </c>
      <c r="B8" s="7">
        <v>-3.9209410258461697E-3</v>
      </c>
      <c r="C8" s="7">
        <v>-1.6335814722911568E-2</v>
      </c>
      <c r="D8" s="7">
        <v>1.2915129151291671E-2</v>
      </c>
      <c r="E8" s="7">
        <v>-7.0891914007290002E-2</v>
      </c>
      <c r="F8" s="7">
        <v>-2.7488037194136616E-3</v>
      </c>
      <c r="G8" s="7"/>
      <c r="H8" s="7">
        <f t="shared" si="1"/>
        <v>-1.172137306432508E-3</v>
      </c>
      <c r="I8" s="7">
        <f t="shared" si="2"/>
        <v>-1.3587011003497906E-2</v>
      </c>
      <c r="J8" s="7">
        <f t="shared" si="3"/>
        <v>1.5663932870705333E-2</v>
      </c>
      <c r="K8" s="7">
        <f t="shared" si="4"/>
        <v>-6.8143110287876341E-2</v>
      </c>
      <c r="L8" s="7"/>
      <c r="U8" t="s">
        <v>1262</v>
      </c>
      <c r="V8">
        <f>SQRT(V7)</f>
        <v>1.0037487406075166E-2</v>
      </c>
    </row>
    <row r="9" spans="1:25" x14ac:dyDescent="0.25">
      <c r="A9" s="2" t="s">
        <v>244</v>
      </c>
      <c r="B9" s="7">
        <v>-1.6874483735200396E-2</v>
      </c>
      <c r="C9" s="7">
        <v>-2.6700657453374466E-2</v>
      </c>
      <c r="D9" s="7">
        <v>3.2380952380952399E-2</v>
      </c>
      <c r="E9" s="7">
        <v>-1.5669619975104188E-2</v>
      </c>
      <c r="F9" s="7">
        <v>-1.3607619909798752E-2</v>
      </c>
      <c r="G9" s="7"/>
      <c r="H9" s="7">
        <f t="shared" si="1"/>
        <v>-3.2668638254016447E-3</v>
      </c>
      <c r="I9" s="7">
        <f t="shared" si="2"/>
        <v>-1.3093037543575714E-2</v>
      </c>
      <c r="J9" s="7">
        <f t="shared" si="3"/>
        <v>4.5988572290751151E-2</v>
      </c>
      <c r="K9" s="7">
        <f t="shared" si="4"/>
        <v>-2.062000065305436E-3</v>
      </c>
      <c r="L9" s="7"/>
      <c r="X9" s="10" t="s">
        <v>1267</v>
      </c>
      <c r="Y9" s="10" t="s">
        <v>1266</v>
      </c>
    </row>
    <row r="10" spans="1:25" x14ac:dyDescent="0.25">
      <c r="A10" s="2" t="s">
        <v>245</v>
      </c>
      <c r="B10" s="7">
        <v>5.5770904200616034E-3</v>
      </c>
      <c r="C10" s="7">
        <v>-5.9353117705901459E-3</v>
      </c>
      <c r="D10" s="7">
        <v>-9.4339622641509413E-3</v>
      </c>
      <c r="E10" s="7">
        <v>-1.0240655401946297E-3</v>
      </c>
      <c r="F10" s="7">
        <v>2.494260662927017E-3</v>
      </c>
      <c r="G10" s="7"/>
      <c r="H10" s="7">
        <f t="shared" si="1"/>
        <v>3.0828297571345864E-3</v>
      </c>
      <c r="I10" s="7">
        <f t="shared" si="2"/>
        <v>-8.4295724335171629E-3</v>
      </c>
      <c r="J10" s="7">
        <f t="shared" si="3"/>
        <v>-1.1928222927077958E-2</v>
      </c>
      <c r="K10" s="7">
        <f t="shared" si="4"/>
        <v>-3.5183262031216467E-3</v>
      </c>
      <c r="L10" s="7"/>
      <c r="X10">
        <f>SUM(X2:X5)</f>
        <v>1.0037487406075168E-2</v>
      </c>
      <c r="Y10" t="b">
        <f>X10=V8</f>
        <v>1</v>
      </c>
    </row>
    <row r="11" spans="1:25" x14ac:dyDescent="0.25">
      <c r="A11" s="2" t="s">
        <v>6</v>
      </c>
      <c r="B11" s="7">
        <v>1.0794818487126046E-2</v>
      </c>
      <c r="C11" s="7">
        <v>-6.6905140434553312E-3</v>
      </c>
      <c r="D11" s="7">
        <v>5.5776892430278835E-2</v>
      </c>
      <c r="E11" s="7">
        <v>1.1093854004881276E-2</v>
      </c>
      <c r="F11" s="7">
        <v>1.0130891907499606E-2</v>
      </c>
      <c r="G11" s="7"/>
      <c r="H11" s="7">
        <f t="shared" si="1"/>
        <v>6.6392657962643931E-4</v>
      </c>
      <c r="I11" s="7">
        <f t="shared" si="2"/>
        <v>-1.6821405950954937E-2</v>
      </c>
      <c r="J11" s="7">
        <f t="shared" si="3"/>
        <v>4.5646000522779229E-2</v>
      </c>
      <c r="K11" s="7">
        <f t="shared" si="4"/>
        <v>9.6296209738166993E-4</v>
      </c>
      <c r="L11" s="7"/>
    </row>
    <row r="12" spans="1:25" x14ac:dyDescent="0.25">
      <c r="A12" s="2" t="s">
        <v>246</v>
      </c>
      <c r="B12" s="7">
        <v>-2.2051923678448548E-2</v>
      </c>
      <c r="C12" s="7">
        <v>1.247484909456742E-2</v>
      </c>
      <c r="D12" s="7">
        <v>1.0060362173038184E-2</v>
      </c>
      <c r="E12" s="7">
        <v>7.5260804769003986E-3</v>
      </c>
      <c r="F12" s="7">
        <v>-6.0590892333146629E-3</v>
      </c>
      <c r="G12" s="7"/>
      <c r="H12" s="7">
        <f t="shared" si="1"/>
        <v>-1.5992834445133886E-2</v>
      </c>
      <c r="I12" s="7">
        <f t="shared" si="2"/>
        <v>1.8533938327882082E-2</v>
      </c>
      <c r="J12" s="7">
        <f t="shared" si="3"/>
        <v>1.6119451406352847E-2</v>
      </c>
      <c r="K12" s="7">
        <f t="shared" si="4"/>
        <v>1.3585169710215061E-2</v>
      </c>
      <c r="L12" s="7"/>
    </row>
    <row r="13" spans="1:25" x14ac:dyDescent="0.25">
      <c r="A13" s="2" t="s">
        <v>247</v>
      </c>
      <c r="B13" s="7">
        <v>-1.9362754495609868E-2</v>
      </c>
      <c r="C13" s="7">
        <v>-3.9118386286008833E-2</v>
      </c>
      <c r="D13" s="7">
        <v>-5.1526717557252022E-2</v>
      </c>
      <c r="E13" s="7">
        <v>-1.5334947538337418E-2</v>
      </c>
      <c r="F13" s="7">
        <v>-1.5227722187786008E-2</v>
      </c>
      <c r="G13" s="7"/>
      <c r="H13" s="7">
        <f t="shared" si="1"/>
        <v>-4.1350323078238604E-3</v>
      </c>
      <c r="I13" s="7">
        <f t="shared" si="2"/>
        <v>-2.3890664098222825E-2</v>
      </c>
      <c r="J13" s="7">
        <f t="shared" si="3"/>
        <v>-3.6298995369466014E-2</v>
      </c>
      <c r="K13" s="7">
        <f t="shared" si="4"/>
        <v>-1.072253505514098E-4</v>
      </c>
      <c r="L13" s="7"/>
      <c r="U13" t="s">
        <v>1268</v>
      </c>
      <c r="V13" s="11">
        <f>$V$8*SQRT(252)</f>
        <v>0.15934017278650614</v>
      </c>
    </row>
    <row r="14" spans="1:25" x14ac:dyDescent="0.25">
      <c r="A14" s="2" t="s">
        <v>248</v>
      </c>
      <c r="B14" s="7">
        <v>-7.6678296208165797E-5</v>
      </c>
      <c r="C14" s="7">
        <v>-5.1529790660231889E-4</v>
      </c>
      <c r="D14" s="7">
        <v>-2.4208566108007479E-2</v>
      </c>
      <c r="E14" s="7">
        <v>-4.0920716112532451E-3</v>
      </c>
      <c r="F14" s="7">
        <v>-8.3757527855266023E-4</v>
      </c>
      <c r="G14" s="7"/>
      <c r="H14" s="7">
        <f t="shared" si="1"/>
        <v>7.6089698234449443E-4</v>
      </c>
      <c r="I14" s="7">
        <f t="shared" si="2"/>
        <v>3.2227737195034134E-4</v>
      </c>
      <c r="J14" s="7">
        <f t="shared" si="3"/>
        <v>-2.3370990829454819E-2</v>
      </c>
      <c r="K14" s="7">
        <f t="shared" si="4"/>
        <v>-3.2544963327005849E-3</v>
      </c>
      <c r="L14" s="7"/>
      <c r="U14" t="s">
        <v>1269</v>
      </c>
      <c r="V14" s="11">
        <f>W2*SQRT(252)</f>
        <v>6.6122180412960474E-2</v>
      </c>
    </row>
    <row r="15" spans="1:25" x14ac:dyDescent="0.25">
      <c r="A15" s="2" t="s">
        <v>249</v>
      </c>
      <c r="B15" s="7">
        <v>3.6555333230721132E-3</v>
      </c>
      <c r="C15" s="7">
        <v>2.3873903581085543E-2</v>
      </c>
      <c r="D15" s="7">
        <v>-1.6483516483516425E-2</v>
      </c>
      <c r="E15" s="7">
        <v>3.1740048250904707E-2</v>
      </c>
      <c r="F15" s="7">
        <v>-2.1350826001804712E-3</v>
      </c>
      <c r="G15" s="7"/>
      <c r="H15" s="7">
        <f t="shared" si="1"/>
        <v>5.7906159232525845E-3</v>
      </c>
      <c r="I15" s="7">
        <f t="shared" si="2"/>
        <v>2.6008986181266014E-2</v>
      </c>
      <c r="J15" s="7">
        <f t="shared" si="3"/>
        <v>-1.4348433883335954E-2</v>
      </c>
      <c r="K15" s="7">
        <f t="shared" si="4"/>
        <v>3.3875130851085178E-2</v>
      </c>
      <c r="L15" s="7"/>
      <c r="U15" t="s">
        <v>1270</v>
      </c>
      <c r="V15" s="11">
        <f>X2*SQRT(252)</f>
        <v>1.6530545103240118E-2</v>
      </c>
    </row>
    <row r="16" spans="1:25" x14ac:dyDescent="0.25">
      <c r="A16" s="2" t="s">
        <v>7</v>
      </c>
      <c r="B16" s="7">
        <v>9.3995183717858755E-3</v>
      </c>
      <c r="C16" s="7">
        <v>-1.1602894205071435E-2</v>
      </c>
      <c r="D16" s="7">
        <v>1.8348623853210455E-3</v>
      </c>
      <c r="E16" s="7">
        <v>1.4144812294517806E-2</v>
      </c>
      <c r="F16" s="7">
        <v>8.3041296613362015E-3</v>
      </c>
      <c r="G16" s="7"/>
      <c r="H16" s="7">
        <f t="shared" si="1"/>
        <v>1.095388710449674E-3</v>
      </c>
      <c r="I16" s="7">
        <f t="shared" si="2"/>
        <v>-1.9907023866407636E-2</v>
      </c>
      <c r="J16" s="7">
        <f t="shared" si="3"/>
        <v>-6.4692672760151559E-3</v>
      </c>
      <c r="K16" s="7">
        <f t="shared" si="4"/>
        <v>5.8406826331816042E-3</v>
      </c>
      <c r="L16" s="7"/>
    </row>
    <row r="17" spans="1:12" x14ac:dyDescent="0.25">
      <c r="A17" s="2" t="s">
        <v>250</v>
      </c>
      <c r="B17" s="7">
        <v>-1.0872488378347422E-2</v>
      </c>
      <c r="C17" s="7">
        <v>-1.7924588694705923E-2</v>
      </c>
      <c r="D17" s="7">
        <v>7.3937153419594281E-3</v>
      </c>
      <c r="E17" s="7">
        <v>3.3755274261604296E-3</v>
      </c>
      <c r="F17" s="7">
        <v>-1.3276804314631963E-2</v>
      </c>
      <c r="G17" s="7"/>
      <c r="H17" s="7">
        <f t="shared" si="1"/>
        <v>2.4043159362845401E-3</v>
      </c>
      <c r="I17" s="7">
        <f t="shared" si="2"/>
        <v>-4.6477843800739604E-3</v>
      </c>
      <c r="J17" s="7">
        <f t="shared" si="3"/>
        <v>2.0670519656591391E-2</v>
      </c>
      <c r="K17" s="7">
        <f t="shared" si="4"/>
        <v>1.6652331740792392E-2</v>
      </c>
      <c r="L17" s="7"/>
    </row>
    <row r="18" spans="1:12" x14ac:dyDescent="0.25">
      <c r="A18" s="2" t="s">
        <v>251</v>
      </c>
      <c r="B18" s="7">
        <v>-8.4945908883131693E-3</v>
      </c>
      <c r="C18" s="7">
        <v>-2.9088196904717423E-2</v>
      </c>
      <c r="D18" s="7">
        <v>-3.5650623885917998E-2</v>
      </c>
      <c r="E18" s="7">
        <v>-2.1910407443535784E-2</v>
      </c>
      <c r="F18" s="7">
        <v>-5.6466991775238062E-3</v>
      </c>
      <c r="G18" s="7"/>
      <c r="H18" s="7">
        <f t="shared" si="1"/>
        <v>-2.8478917107893631E-3</v>
      </c>
      <c r="I18" s="7">
        <f t="shared" si="2"/>
        <v>-2.3441497727193616E-2</v>
      </c>
      <c r="J18" s="7">
        <f t="shared" si="3"/>
        <v>-3.0003924708394192E-2</v>
      </c>
      <c r="K18" s="7">
        <f t="shared" si="4"/>
        <v>-1.6263708266011978E-2</v>
      </c>
      <c r="L18" s="7"/>
    </row>
    <row r="19" spans="1:12" x14ac:dyDescent="0.25">
      <c r="A19" s="2" t="s">
        <v>252</v>
      </c>
      <c r="B19" s="7">
        <v>-4.6635071090047608E-3</v>
      </c>
      <c r="C19" s="7">
        <v>1.5206966178697545E-2</v>
      </c>
      <c r="D19" s="7">
        <v>0</v>
      </c>
      <c r="E19" s="7">
        <v>-1.7110406372151332E-2</v>
      </c>
      <c r="F19" s="7">
        <v>7.7560319395360011E-3</v>
      </c>
      <c r="G19" s="7"/>
      <c r="H19" s="7">
        <f t="shared" si="1"/>
        <v>-1.2419539048540762E-2</v>
      </c>
      <c r="I19" s="7">
        <f t="shared" si="2"/>
        <v>7.4509342391615441E-3</v>
      </c>
      <c r="J19" s="7">
        <f t="shared" si="3"/>
        <v>-7.7560319395360011E-3</v>
      </c>
      <c r="K19" s="7">
        <f t="shared" si="4"/>
        <v>-2.4866438311687333E-2</v>
      </c>
      <c r="L19" s="7"/>
    </row>
    <row r="20" spans="1:12" x14ac:dyDescent="0.25">
      <c r="A20" s="2" t="s">
        <v>253</v>
      </c>
      <c r="B20" s="7">
        <v>-3.6642490178302456E-3</v>
      </c>
      <c r="C20" s="7">
        <v>-1.8456583673975069E-2</v>
      </c>
      <c r="D20" s="7">
        <v>-2.9411764705882359E-2</v>
      </c>
      <c r="E20" s="7">
        <v>-4.8891694725028079E-2</v>
      </c>
      <c r="F20" s="7">
        <v>-9.4439971983341087E-3</v>
      </c>
      <c r="G20" s="7"/>
      <c r="H20" s="7">
        <f t="shared" si="1"/>
        <v>5.7797481805038631E-3</v>
      </c>
      <c r="I20" s="7">
        <f t="shared" si="2"/>
        <v>-9.0125864756409602E-3</v>
      </c>
      <c r="J20" s="7">
        <f t="shared" si="3"/>
        <v>-1.9967767507548251E-2</v>
      </c>
      <c r="K20" s="7">
        <f t="shared" si="4"/>
        <v>-3.944769752669397E-2</v>
      </c>
      <c r="L20" s="7"/>
    </row>
    <row r="21" spans="1:12" x14ac:dyDescent="0.25">
      <c r="A21" s="2" t="s">
        <v>8</v>
      </c>
      <c r="B21" s="7">
        <v>2.0440608675904581E-3</v>
      </c>
      <c r="C21" s="7">
        <v>-2.334865714977008E-2</v>
      </c>
      <c r="D21" s="7">
        <v>3.9568345323741205E-2</v>
      </c>
      <c r="E21" s="7">
        <v>-1.0755672749982681E-2</v>
      </c>
      <c r="F21" s="7">
        <v>3.9832065685119211E-4</v>
      </c>
      <c r="G21" s="7"/>
      <c r="H21" s="7">
        <f t="shared" si="1"/>
        <v>1.645740210739266E-3</v>
      </c>
      <c r="I21" s="7">
        <f t="shared" si="2"/>
        <v>-2.3746977806621272E-2</v>
      </c>
      <c r="J21" s="7">
        <f t="shared" si="3"/>
        <v>3.9170024666890013E-2</v>
      </c>
      <c r="K21" s="7">
        <f t="shared" si="4"/>
        <v>-1.1153993406833873E-2</v>
      </c>
      <c r="L21" s="7"/>
    </row>
    <row r="22" spans="1:12" x14ac:dyDescent="0.25">
      <c r="A22" s="2" t="s">
        <v>254</v>
      </c>
      <c r="B22" s="7">
        <v>-3.2130426818098523E-2</v>
      </c>
      <c r="C22" s="7">
        <v>-5.1152434254077006E-3</v>
      </c>
      <c r="D22" s="7">
        <v>6.1068702290076216E-2</v>
      </c>
      <c r="E22" s="7">
        <v>-2.661263086794996E-2</v>
      </c>
      <c r="F22" s="7">
        <v>-4.3393555521460403E-3</v>
      </c>
      <c r="G22" s="7"/>
      <c r="H22" s="7">
        <f t="shared" si="1"/>
        <v>-2.7791071265952483E-2</v>
      </c>
      <c r="I22" s="7">
        <f t="shared" si="2"/>
        <v>-7.7588787326166031E-4</v>
      </c>
      <c r="J22" s="7">
        <f t="shared" si="3"/>
        <v>6.5408057842222256E-2</v>
      </c>
      <c r="K22" s="7">
        <f t="shared" si="4"/>
        <v>-2.227327531580392E-2</v>
      </c>
      <c r="L22" s="7"/>
    </row>
    <row r="23" spans="1:12" x14ac:dyDescent="0.25">
      <c r="A23" s="2" t="s">
        <v>255</v>
      </c>
      <c r="B23" s="7">
        <v>-4.6676147759181497E-3</v>
      </c>
      <c r="C23" s="7">
        <v>3.8057267125770622E-3</v>
      </c>
      <c r="D23" s="7">
        <v>7.1574642126789545E-2</v>
      </c>
      <c r="E23" s="7">
        <v>-2.7777777777777679E-2</v>
      </c>
      <c r="F23" s="7">
        <v>-5.3655776669887523E-3</v>
      </c>
      <c r="G23" s="7"/>
      <c r="H23" s="7">
        <f t="shared" si="1"/>
        <v>6.9796289107060261E-4</v>
      </c>
      <c r="I23" s="7">
        <f t="shared" si="2"/>
        <v>9.1713043795658145E-3</v>
      </c>
      <c r="J23" s="7">
        <f t="shared" si="3"/>
        <v>7.6940219793778297E-2</v>
      </c>
      <c r="K23" s="7">
        <f t="shared" si="4"/>
        <v>-2.2412200110788927E-2</v>
      </c>
      <c r="L23" s="7"/>
    </row>
    <row r="24" spans="1:12" x14ac:dyDescent="0.25">
      <c r="A24" s="2" t="s">
        <v>256</v>
      </c>
      <c r="B24" s="7">
        <v>7.6798706548102391E-3</v>
      </c>
      <c r="C24" s="7">
        <v>-5.5268532980897733E-3</v>
      </c>
      <c r="D24" s="7">
        <v>8.2474226804123418E-3</v>
      </c>
      <c r="E24" s="7">
        <v>-5.420939194043628E-3</v>
      </c>
      <c r="F24" s="7">
        <v>8.1363469456769977E-3</v>
      </c>
      <c r="G24" s="7"/>
      <c r="H24" s="7">
        <f t="shared" si="1"/>
        <v>-4.5647629086675856E-4</v>
      </c>
      <c r="I24" s="7">
        <f t="shared" si="2"/>
        <v>-1.3663200243766771E-2</v>
      </c>
      <c r="J24" s="7">
        <f t="shared" si="3"/>
        <v>1.1107573473534416E-4</v>
      </c>
      <c r="K24" s="7">
        <f t="shared" si="4"/>
        <v>-1.3557286139720626E-2</v>
      </c>
      <c r="L24" s="7"/>
    </row>
    <row r="25" spans="1:12" x14ac:dyDescent="0.25">
      <c r="A25" s="2" t="s">
        <v>257</v>
      </c>
      <c r="B25" s="7">
        <v>2.2390863325569166E-2</v>
      </c>
      <c r="C25" s="7">
        <v>7.2141397138403285E-4</v>
      </c>
      <c r="D25" s="7">
        <v>1.6771488469601747E-2</v>
      </c>
      <c r="E25" s="7">
        <v>2.1599685822752956E-3</v>
      </c>
      <c r="F25" s="7">
        <v>7.6516397937917979E-3</v>
      </c>
      <c r="G25" s="7"/>
      <c r="H25" s="7">
        <f t="shared" si="1"/>
        <v>1.4739223531777368E-2</v>
      </c>
      <c r="I25" s="7">
        <f t="shared" si="2"/>
        <v>-6.9302258224077651E-3</v>
      </c>
      <c r="J25" s="7">
        <f t="shared" si="3"/>
        <v>9.1198486758099495E-3</v>
      </c>
      <c r="K25" s="7">
        <f t="shared" si="4"/>
        <v>-5.4916712115165023E-3</v>
      </c>
      <c r="L25" s="7"/>
    </row>
    <row r="26" spans="1:12" x14ac:dyDescent="0.25">
      <c r="A26" s="2" t="s">
        <v>9</v>
      </c>
      <c r="B26" s="7">
        <v>6.0473202812005855E-3</v>
      </c>
      <c r="C26" s="7">
        <v>-4.3098288040225308E-3</v>
      </c>
      <c r="D26" s="7">
        <v>-2.0920502092051096E-3</v>
      </c>
      <c r="E26" s="7">
        <v>-1.0812560699255291E-2</v>
      </c>
      <c r="F26" s="7">
        <v>-1.0385685815636703E-2</v>
      </c>
      <c r="G26" s="7"/>
      <c r="H26" s="7">
        <f t="shared" si="1"/>
        <v>1.6433006096837288E-2</v>
      </c>
      <c r="I26" s="7">
        <f t="shared" si="2"/>
        <v>6.0758570116141719E-3</v>
      </c>
      <c r="J26" s="7">
        <f t="shared" si="3"/>
        <v>8.293635606431593E-3</v>
      </c>
      <c r="K26" s="7">
        <f t="shared" si="4"/>
        <v>-4.2687488361858872E-4</v>
      </c>
      <c r="L26" s="7"/>
    </row>
    <row r="27" spans="1:12" x14ac:dyDescent="0.25">
      <c r="A27" s="2" t="s">
        <v>258</v>
      </c>
      <c r="B27" s="7">
        <v>1.5350372246526911E-2</v>
      </c>
      <c r="C27" s="7">
        <v>1.2178127840048347E-2</v>
      </c>
      <c r="D27" s="7">
        <v>2.1367521367521514E-2</v>
      </c>
      <c r="E27" s="7">
        <v>1.1667855059309673E-3</v>
      </c>
      <c r="F27" s="7">
        <v>6.9397789821754596E-3</v>
      </c>
      <c r="G27" s="7"/>
      <c r="H27" s="7">
        <f t="shared" si="1"/>
        <v>8.4105932643514514E-3</v>
      </c>
      <c r="I27" s="7">
        <f t="shared" si="2"/>
        <v>5.2383488578728876E-3</v>
      </c>
      <c r="J27" s="7">
        <f t="shared" si="3"/>
        <v>1.4427742385346054E-2</v>
      </c>
      <c r="K27" s="7">
        <f t="shared" si="4"/>
        <v>-5.7729934762444923E-3</v>
      </c>
      <c r="L27" s="7"/>
    </row>
    <row r="28" spans="1:12" x14ac:dyDescent="0.25">
      <c r="A28" s="2" t="s">
        <v>259</v>
      </c>
      <c r="B28" s="7">
        <v>-1.426139587667874E-2</v>
      </c>
      <c r="C28" s="7">
        <v>5.3602972528477011E-3</v>
      </c>
      <c r="D28" s="7">
        <v>1.9607843137254832E-2</v>
      </c>
      <c r="E28" s="7">
        <v>-9.6295820761378437E-3</v>
      </c>
      <c r="F28" s="7">
        <v>-2.8221370640183485E-3</v>
      </c>
      <c r="G28" s="7"/>
      <c r="H28" s="7">
        <f t="shared" si="1"/>
        <v>-1.1439258812660391E-2</v>
      </c>
      <c r="I28" s="7">
        <f t="shared" si="2"/>
        <v>8.1824343168660496E-3</v>
      </c>
      <c r="J28" s="7">
        <f t="shared" si="3"/>
        <v>2.2429980201273181E-2</v>
      </c>
      <c r="K28" s="7">
        <f t="shared" si="4"/>
        <v>-6.8074450121194952E-3</v>
      </c>
      <c r="L28" s="7"/>
    </row>
    <row r="29" spans="1:12" x14ac:dyDescent="0.25">
      <c r="A29" s="2" t="s">
        <v>260</v>
      </c>
      <c r="B29" s="7">
        <v>1.7811126269517974E-3</v>
      </c>
      <c r="C29" s="7">
        <v>-2.0582269418923826E-2</v>
      </c>
      <c r="D29" s="7">
        <v>2.4553571428571397E-2</v>
      </c>
      <c r="E29" s="7">
        <v>2.1874798944863105E-3</v>
      </c>
      <c r="F29" s="7">
        <v>5.5660931549768033E-3</v>
      </c>
      <c r="G29" s="7"/>
      <c r="H29" s="7">
        <f t="shared" si="1"/>
        <v>-3.784980528025006E-3</v>
      </c>
      <c r="I29" s="7">
        <f t="shared" si="2"/>
        <v>-2.614836257390063E-2</v>
      </c>
      <c r="J29" s="7">
        <f t="shared" si="3"/>
        <v>1.8987478273594594E-2</v>
      </c>
      <c r="K29" s="7">
        <f t="shared" si="4"/>
        <v>-3.3786132604904928E-3</v>
      </c>
      <c r="L29" s="7"/>
    </row>
    <row r="30" spans="1:12" x14ac:dyDescent="0.25">
      <c r="A30" s="2" t="s">
        <v>261</v>
      </c>
      <c r="B30" s="7">
        <v>3.1667839549612831E-2</v>
      </c>
      <c r="C30" s="7">
        <v>-2.4444185775811866E-2</v>
      </c>
      <c r="D30" s="7">
        <v>1.8181818181818299E-2</v>
      </c>
      <c r="E30" s="7">
        <v>-1.9264110961277892E-3</v>
      </c>
      <c r="F30" s="7">
        <v>1.0312792104349988E-3</v>
      </c>
      <c r="G30" s="7"/>
      <c r="H30" s="7">
        <f t="shared" si="1"/>
        <v>3.0636560339177832E-2</v>
      </c>
      <c r="I30" s="7">
        <f t="shared" si="2"/>
        <v>-2.5475464986246865E-2</v>
      </c>
      <c r="J30" s="7">
        <f t="shared" si="3"/>
        <v>1.71505389713833E-2</v>
      </c>
      <c r="K30" s="7">
        <f t="shared" si="4"/>
        <v>-2.957690306562788E-3</v>
      </c>
      <c r="L30" s="7"/>
    </row>
    <row r="31" spans="1:12" x14ac:dyDescent="0.25">
      <c r="A31" s="2" t="s">
        <v>262</v>
      </c>
      <c r="B31" s="7">
        <v>-2.2733351163412796E-2</v>
      </c>
      <c r="C31" s="7">
        <v>-1.1563021342691271E-2</v>
      </c>
      <c r="D31" s="7">
        <v>1.616628175519641E-2</v>
      </c>
      <c r="E31" s="7">
        <v>-1.8900018900018911E-2</v>
      </c>
      <c r="F31" s="7">
        <v>4.9906626312057334E-4</v>
      </c>
      <c r="G31" s="7"/>
      <c r="H31" s="7">
        <f t="shared" si="1"/>
        <v>-2.3232417426533369E-2</v>
      </c>
      <c r="I31" s="7">
        <f t="shared" si="2"/>
        <v>-1.2062087605811844E-2</v>
      </c>
      <c r="J31" s="7">
        <f t="shared" si="3"/>
        <v>1.5667215492075837E-2</v>
      </c>
      <c r="K31" s="7">
        <f t="shared" si="4"/>
        <v>-1.9399085163139485E-2</v>
      </c>
      <c r="L31" s="7"/>
    </row>
    <row r="32" spans="1:12" x14ac:dyDescent="0.25">
      <c r="A32" s="2" t="s">
        <v>263</v>
      </c>
      <c r="B32" s="7">
        <v>-4.9981851179673242E-2</v>
      </c>
      <c r="C32" s="7">
        <v>1.0169688516968867E-2</v>
      </c>
      <c r="D32" s="7">
        <v>-6.8807339449541427E-3</v>
      </c>
      <c r="E32" s="7">
        <v>-3.4018987341772222E-2</v>
      </c>
      <c r="F32" s="7">
        <v>-1.5660947897203292E-2</v>
      </c>
      <c r="G32" s="7"/>
      <c r="H32" s="7">
        <f t="shared" si="1"/>
        <v>-3.432090328246995E-2</v>
      </c>
      <c r="I32" s="7">
        <f t="shared" si="2"/>
        <v>2.5830636414172159E-2</v>
      </c>
      <c r="J32" s="7">
        <f t="shared" si="3"/>
        <v>8.7802139522491496E-3</v>
      </c>
      <c r="K32" s="7">
        <f t="shared" si="4"/>
        <v>-1.835803944456893E-2</v>
      </c>
      <c r="L32" s="7"/>
    </row>
    <row r="33" spans="1:12" x14ac:dyDescent="0.25">
      <c r="A33" s="2" t="s">
        <v>264</v>
      </c>
      <c r="B33" s="7">
        <v>6.6501023092662148E-3</v>
      </c>
      <c r="C33" s="7">
        <v>-3.3592030580330556E-3</v>
      </c>
      <c r="D33" s="7">
        <v>4.0572792362768562E-2</v>
      </c>
      <c r="E33" s="7">
        <v>-1.3152363221428098E-2</v>
      </c>
      <c r="F33" s="7">
        <v>-4.8978580514336123E-5</v>
      </c>
      <c r="G33" s="7"/>
      <c r="H33" s="7">
        <f t="shared" si="1"/>
        <v>6.6990808897805509E-3</v>
      </c>
      <c r="I33" s="7">
        <f t="shared" si="2"/>
        <v>-3.3102244775187195E-3</v>
      </c>
      <c r="J33" s="7">
        <f t="shared" si="3"/>
        <v>4.0621770943282898E-2</v>
      </c>
      <c r="K33" s="7">
        <f t="shared" si="4"/>
        <v>-1.3103384640913762E-2</v>
      </c>
      <c r="L33" s="7"/>
    </row>
    <row r="34" spans="1:12" x14ac:dyDescent="0.25">
      <c r="A34" s="2" t="s">
        <v>265</v>
      </c>
      <c r="B34" s="7">
        <v>-3.4229116597480624E-3</v>
      </c>
      <c r="C34" s="7">
        <v>1.8522888154789863E-2</v>
      </c>
      <c r="D34" s="7">
        <v>1.6990291262136026E-2</v>
      </c>
      <c r="E34" s="7">
        <v>2.1533742331288241E-2</v>
      </c>
      <c r="F34" s="7">
        <v>-3.3037465433419788E-3</v>
      </c>
      <c r="G34" s="7"/>
      <c r="H34" s="7">
        <f t="shared" si="1"/>
        <v>-1.1916511640608363E-4</v>
      </c>
      <c r="I34" s="7">
        <f t="shared" si="2"/>
        <v>2.1826634698131842E-2</v>
      </c>
      <c r="J34" s="7">
        <f t="shared" si="3"/>
        <v>2.0294037805478005E-2</v>
      </c>
      <c r="K34" s="7">
        <f t="shared" si="4"/>
        <v>2.483748887463022E-2</v>
      </c>
      <c r="L34" s="7"/>
    </row>
    <row r="35" spans="1:12" x14ac:dyDescent="0.25">
      <c r="A35" s="2" t="s">
        <v>10</v>
      </c>
      <c r="B35" s="7">
        <v>-1.1660548477650634E-2</v>
      </c>
      <c r="C35" s="7">
        <v>-1.3730509657900791E-2</v>
      </c>
      <c r="D35" s="7">
        <v>-2.421307506053183E-3</v>
      </c>
      <c r="E35" s="7">
        <v>3.0151990646729576E-3</v>
      </c>
      <c r="F35" s="7">
        <v>4.6910837672922145E-3</v>
      </c>
      <c r="G35" s="7"/>
      <c r="H35" s="7">
        <f t="shared" si="1"/>
        <v>-1.6351632244942849E-2</v>
      </c>
      <c r="I35" s="7">
        <f t="shared" si="2"/>
        <v>-1.8421593425193006E-2</v>
      </c>
      <c r="J35" s="7">
        <f t="shared" si="3"/>
        <v>-7.1123912733453976E-3</v>
      </c>
      <c r="K35" s="7">
        <f t="shared" si="4"/>
        <v>-1.6758847026192569E-3</v>
      </c>
      <c r="L35" s="7"/>
    </row>
    <row r="36" spans="1:12" x14ac:dyDescent="0.25">
      <c r="A36" s="2" t="s">
        <v>266</v>
      </c>
      <c r="B36" s="7">
        <v>8.0174133865409392E-3</v>
      </c>
      <c r="C36" s="7">
        <v>4.5880491663624179E-2</v>
      </c>
      <c r="D36" s="7">
        <v>2.2277227722772297E-2</v>
      </c>
      <c r="E36" s="7">
        <v>3.0109026369168346E-2</v>
      </c>
      <c r="F36" s="7">
        <v>1.9695810779006839E-2</v>
      </c>
      <c r="G36" s="7"/>
      <c r="H36" s="7">
        <f t="shared" si="1"/>
        <v>-1.16783973924659E-2</v>
      </c>
      <c r="I36" s="7">
        <f t="shared" si="2"/>
        <v>2.618468088461734E-2</v>
      </c>
      <c r="J36" s="7">
        <f t="shared" si="3"/>
        <v>2.5814169437654577E-3</v>
      </c>
      <c r="K36" s="7">
        <f t="shared" si="4"/>
        <v>1.0413215590161506E-2</v>
      </c>
      <c r="L36" s="7"/>
    </row>
    <row r="37" spans="1:12" x14ac:dyDescent="0.25">
      <c r="A37" s="2" t="s">
        <v>267</v>
      </c>
      <c r="B37" s="7">
        <v>-2.0996995257576145E-3</v>
      </c>
      <c r="C37" s="7">
        <v>7.8498712130503634E-3</v>
      </c>
      <c r="D37" s="7">
        <v>2.4813895781636841E-3</v>
      </c>
      <c r="E37" s="7">
        <v>-8.6716099032297933E-3</v>
      </c>
      <c r="F37" s="7">
        <v>-1.2250970546528239E-2</v>
      </c>
      <c r="G37" s="7"/>
      <c r="H37" s="7">
        <f t="shared" si="1"/>
        <v>1.0151271020770625E-2</v>
      </c>
      <c r="I37" s="7">
        <f t="shared" si="2"/>
        <v>2.0100841759578603E-2</v>
      </c>
      <c r="J37" s="7">
        <f t="shared" si="3"/>
        <v>1.4732360124691923E-2</v>
      </c>
      <c r="K37" s="7">
        <f t="shared" si="4"/>
        <v>3.5793606432984459E-3</v>
      </c>
      <c r="L37" s="7"/>
    </row>
    <row r="38" spans="1:12" x14ac:dyDescent="0.25">
      <c r="A38" s="2" t="s">
        <v>268</v>
      </c>
      <c r="B38" s="7">
        <v>2.6000074285926544E-2</v>
      </c>
      <c r="C38" s="7">
        <v>5.2135759452832664E-2</v>
      </c>
      <c r="D38" s="7">
        <v>-1.9464720194647178E-2</v>
      </c>
      <c r="E38" s="7">
        <v>-2.7558814543232613E-2</v>
      </c>
      <c r="F38" s="7">
        <v>-5.0724145358140849E-3</v>
      </c>
      <c r="G38" s="7"/>
      <c r="H38" s="7">
        <f t="shared" si="1"/>
        <v>3.1072488821740629E-2</v>
      </c>
      <c r="I38" s="7">
        <f t="shared" si="2"/>
        <v>5.7208173988646749E-2</v>
      </c>
      <c r="J38" s="7">
        <f t="shared" si="3"/>
        <v>-1.4392305658833093E-2</v>
      </c>
      <c r="K38" s="7">
        <f t="shared" si="4"/>
        <v>-2.2486400007418528E-2</v>
      </c>
      <c r="L38" s="7"/>
    </row>
    <row r="39" spans="1:12" x14ac:dyDescent="0.25">
      <c r="A39" s="2" t="s">
        <v>269</v>
      </c>
      <c r="B39" s="7">
        <v>-1.9647093712928942E-3</v>
      </c>
      <c r="C39" s="7">
        <v>1.4665444546287709E-2</v>
      </c>
      <c r="D39" s="7">
        <v>1.4814814814814836E-2</v>
      </c>
      <c r="E39" s="7">
        <v>-2.8148939960805142E-2</v>
      </c>
      <c r="F39" s="7">
        <v>-8.4039997477222128E-3</v>
      </c>
      <c r="G39" s="7"/>
      <c r="H39" s="7">
        <f t="shared" si="1"/>
        <v>6.4392903764293186E-3</v>
      </c>
      <c r="I39" s="7">
        <f t="shared" si="2"/>
        <v>2.3069444294009922E-2</v>
      </c>
      <c r="J39" s="7">
        <f t="shared" si="3"/>
        <v>2.3218814562537049E-2</v>
      </c>
      <c r="K39" s="7">
        <f t="shared" si="4"/>
        <v>-1.9744940213082929E-2</v>
      </c>
      <c r="L39" s="7"/>
    </row>
    <row r="40" spans="1:12" x14ac:dyDescent="0.25">
      <c r="A40" s="2" t="s">
        <v>11</v>
      </c>
      <c r="B40" s="7">
        <v>4.0580157383119708E-2</v>
      </c>
      <c r="C40" s="7">
        <v>1.7051416579225709E-3</v>
      </c>
      <c r="D40" s="7">
        <v>4.9627791563273682E-3</v>
      </c>
      <c r="E40" s="7">
        <v>-6.9002123142251071E-3</v>
      </c>
      <c r="F40" s="7">
        <v>5.3912434446889979E-3</v>
      </c>
      <c r="G40" s="7"/>
      <c r="H40" s="7">
        <f t="shared" si="1"/>
        <v>3.518891393843071E-2</v>
      </c>
      <c r="I40" s="7">
        <f t="shared" si="2"/>
        <v>-3.686101786766427E-3</v>
      </c>
      <c r="J40" s="7">
        <f t="shared" si="3"/>
        <v>-4.2846428836162964E-4</v>
      </c>
      <c r="K40" s="7">
        <f t="shared" si="4"/>
        <v>-1.2291455758914105E-2</v>
      </c>
      <c r="L40" s="7"/>
    </row>
    <row r="41" spans="1:12" x14ac:dyDescent="0.25">
      <c r="A41" s="2" t="s">
        <v>270</v>
      </c>
      <c r="B41" s="7">
        <v>4.6504417919701613E-3</v>
      </c>
      <c r="C41" s="7">
        <v>-2.0554984583761704E-2</v>
      </c>
      <c r="D41" s="7">
        <v>-1.4669926650366705E-2</v>
      </c>
      <c r="E41" s="7">
        <v>-2.6915351506456187E-2</v>
      </c>
      <c r="F41" s="7">
        <v>-4.3019022788028938E-3</v>
      </c>
      <c r="G41" s="7"/>
      <c r="H41" s="7">
        <f t="shared" si="1"/>
        <v>8.9523440707730551E-3</v>
      </c>
      <c r="I41" s="7">
        <f t="shared" si="2"/>
        <v>-1.625308230495881E-2</v>
      </c>
      <c r="J41" s="7">
        <f t="shared" si="3"/>
        <v>-1.0368024371563811E-2</v>
      </c>
      <c r="K41" s="7">
        <f t="shared" si="4"/>
        <v>-2.2613449227653293E-2</v>
      </c>
      <c r="L41" s="7"/>
    </row>
    <row r="42" spans="1:12" x14ac:dyDescent="0.25">
      <c r="A42" s="2" t="s">
        <v>271</v>
      </c>
      <c r="B42" s="7">
        <v>7.1818891491024495E-3</v>
      </c>
      <c r="C42" s="7">
        <v>2.8343210512753458E-3</v>
      </c>
      <c r="D42" s="7">
        <v>7.3891625615765122E-3</v>
      </c>
      <c r="E42" s="7">
        <v>-8.026870089946514E-3</v>
      </c>
      <c r="F42" s="7">
        <v>-1.2926284352460238E-3</v>
      </c>
      <c r="G42" s="7"/>
      <c r="H42" s="7">
        <f t="shared" si="1"/>
        <v>8.4745175843484732E-3</v>
      </c>
      <c r="I42" s="7">
        <f t="shared" si="2"/>
        <v>4.1269494865213696E-3</v>
      </c>
      <c r="J42" s="7">
        <f t="shared" si="3"/>
        <v>8.681790996822536E-3</v>
      </c>
      <c r="K42" s="7">
        <f t="shared" si="4"/>
        <v>-6.7342416547004902E-3</v>
      </c>
      <c r="L42" s="7"/>
    </row>
    <row r="43" spans="1:12" x14ac:dyDescent="0.25">
      <c r="A43" s="2" t="s">
        <v>272</v>
      </c>
      <c r="B43" s="7">
        <v>-7.0921985815601829E-3</v>
      </c>
      <c r="C43" s="7">
        <v>-1.3346892080843942E-2</v>
      </c>
      <c r="D43" s="7">
        <v>2.0100502512562679E-2</v>
      </c>
      <c r="E43" s="7">
        <v>1.7021769337656201E-2</v>
      </c>
      <c r="F43" s="7">
        <v>-8.1678273579299798E-5</v>
      </c>
      <c r="G43" s="7"/>
      <c r="H43" s="7">
        <f t="shared" si="1"/>
        <v>-7.0105203079808831E-3</v>
      </c>
      <c r="I43" s="7">
        <f t="shared" si="2"/>
        <v>-1.3265213807264642E-2</v>
      </c>
      <c r="J43" s="7">
        <f t="shared" si="3"/>
        <v>2.0182180786141979E-2</v>
      </c>
      <c r="K43" s="7">
        <f t="shared" si="4"/>
        <v>1.7103447611235501E-2</v>
      </c>
      <c r="L43" s="7"/>
    </row>
    <row r="44" spans="1:12" x14ac:dyDescent="0.25">
      <c r="A44" s="2" t="s">
        <v>273</v>
      </c>
      <c r="B44" s="7">
        <v>1.1208214131755323E-2</v>
      </c>
      <c r="C44" s="7">
        <v>-9.2563440589383816E-3</v>
      </c>
      <c r="D44" s="7">
        <v>1.5306122448979664E-2</v>
      </c>
      <c r="E44" s="7">
        <v>7.8776915446110429E-3</v>
      </c>
      <c r="F44" s="7">
        <v>4.0818793047137092E-3</v>
      </c>
      <c r="G44" s="7"/>
      <c r="H44" s="7">
        <f t="shared" si="1"/>
        <v>7.1263348270416138E-3</v>
      </c>
      <c r="I44" s="7">
        <f t="shared" si="2"/>
        <v>-1.3338223363652091E-2</v>
      </c>
      <c r="J44" s="7">
        <f t="shared" si="3"/>
        <v>1.1224243144265955E-2</v>
      </c>
      <c r="K44" s="7">
        <f t="shared" si="4"/>
        <v>3.7958122398973337E-3</v>
      </c>
      <c r="L44" s="7"/>
    </row>
    <row r="45" spans="1:12" x14ac:dyDescent="0.25">
      <c r="A45" s="2" t="s">
        <v>12</v>
      </c>
      <c r="B45" s="7">
        <v>2.9700173520035511E-2</v>
      </c>
      <c r="C45" s="7">
        <v>-1.938870021611605E-2</v>
      </c>
      <c r="D45" s="7">
        <v>-5.0761421319797106E-3</v>
      </c>
      <c r="E45" s="7">
        <v>-1.0737170236102211E-2</v>
      </c>
      <c r="F45" s="7">
        <v>5.0060659869484159E-3</v>
      </c>
      <c r="G45" s="7"/>
      <c r="H45" s="7">
        <f t="shared" si="1"/>
        <v>2.4694107533087095E-2</v>
      </c>
      <c r="I45" s="7">
        <f t="shared" si="2"/>
        <v>-2.4394766203064466E-2</v>
      </c>
      <c r="J45" s="7">
        <f t="shared" si="3"/>
        <v>-1.0082208118928127E-2</v>
      </c>
      <c r="K45" s="7">
        <f t="shared" si="4"/>
        <v>-1.5743236223050627E-2</v>
      </c>
      <c r="L45" s="7"/>
    </row>
    <row r="46" spans="1:12" x14ac:dyDescent="0.25">
      <c r="A46" s="2" t="s">
        <v>274</v>
      </c>
      <c r="B46" s="7">
        <v>-1.2493954538126406E-3</v>
      </c>
      <c r="C46" s="7">
        <v>1.2757175911450203E-2</v>
      </c>
      <c r="D46" s="7">
        <v>1.2853470437018011E-2</v>
      </c>
      <c r="E46" s="7">
        <v>-2.2293712608646654E-2</v>
      </c>
      <c r="F46" s="7">
        <v>3.2690374420485391E-4</v>
      </c>
      <c r="G46" s="7"/>
      <c r="H46" s="7">
        <f t="shared" si="1"/>
        <v>-1.5762991980174945E-3</v>
      </c>
      <c r="I46" s="7">
        <f t="shared" si="2"/>
        <v>1.2430272167245349E-2</v>
      </c>
      <c r="J46" s="7">
        <f t="shared" si="3"/>
        <v>1.2526566692813157E-2</v>
      </c>
      <c r="K46" s="7">
        <f t="shared" si="4"/>
        <v>-2.2620616352851508E-2</v>
      </c>
      <c r="L46" s="7"/>
    </row>
    <row r="47" spans="1:12" x14ac:dyDescent="0.25">
      <c r="A47" s="2" t="s">
        <v>275</v>
      </c>
      <c r="B47" s="7">
        <v>2.8291973163043771E-3</v>
      </c>
      <c r="C47" s="7">
        <v>3.0480732053099535E-2</v>
      </c>
      <c r="D47" s="7">
        <v>-2.0151133501259411E-2</v>
      </c>
      <c r="E47" s="7">
        <v>5.0453548348847077E-2</v>
      </c>
      <c r="F47" s="7">
        <v>5.4875051268103991E-3</v>
      </c>
      <c r="G47" s="7"/>
      <c r="H47" s="7">
        <f t="shared" si="1"/>
        <v>-2.6583078105060221E-3</v>
      </c>
      <c r="I47" s="7">
        <f t="shared" si="2"/>
        <v>2.4993226926289136E-2</v>
      </c>
      <c r="J47" s="7">
        <f t="shared" si="3"/>
        <v>-2.563863862806981E-2</v>
      </c>
      <c r="K47" s="7">
        <f t="shared" si="4"/>
        <v>4.4966043222036678E-2</v>
      </c>
      <c r="L47" s="7"/>
    </row>
    <row r="48" spans="1:12" x14ac:dyDescent="0.25">
      <c r="A48" s="2" t="s">
        <v>276</v>
      </c>
      <c r="B48" s="7">
        <v>3.8544244735667643E-3</v>
      </c>
      <c r="C48" s="7">
        <v>-1.5442028053016532E-3</v>
      </c>
      <c r="D48" s="7">
        <v>7.6142131979695105E-3</v>
      </c>
      <c r="E48" s="7">
        <v>3.8672332040150303E-2</v>
      </c>
      <c r="F48" s="7">
        <v>1.1587703733783039E-2</v>
      </c>
      <c r="G48" s="7"/>
      <c r="H48" s="7">
        <f t="shared" si="1"/>
        <v>-7.7332792602162748E-3</v>
      </c>
      <c r="I48" s="7">
        <f t="shared" si="2"/>
        <v>-1.3131906539084692E-2</v>
      </c>
      <c r="J48" s="7">
        <f t="shared" si="3"/>
        <v>-3.9734905358135286E-3</v>
      </c>
      <c r="K48" s="7">
        <f t="shared" si="4"/>
        <v>2.7084628306367264E-2</v>
      </c>
      <c r="L48" s="7"/>
    </row>
    <row r="49" spans="1:12" x14ac:dyDescent="0.25">
      <c r="A49" s="2" t="s">
        <v>277</v>
      </c>
      <c r="B49" s="7">
        <v>-3.454894433781186E-2</v>
      </c>
      <c r="C49" s="7">
        <v>-6.9619874289135075E-2</v>
      </c>
      <c r="D49" s="7">
        <v>-7.5566750629723067E-3</v>
      </c>
      <c r="E49" s="7">
        <v>-1.8198307134220215E-2</v>
      </c>
      <c r="F49" s="7">
        <v>-2.0626771431165203E-2</v>
      </c>
      <c r="G49" s="7"/>
      <c r="H49" s="7">
        <f t="shared" si="1"/>
        <v>-1.3922172906646657E-2</v>
      </c>
      <c r="I49" s="7">
        <f t="shared" si="2"/>
        <v>-4.8993102857969872E-2</v>
      </c>
      <c r="J49" s="7">
        <f t="shared" si="3"/>
        <v>1.3070096368192896E-2</v>
      </c>
      <c r="K49" s="7">
        <f t="shared" si="4"/>
        <v>2.4284642969449877E-3</v>
      </c>
      <c r="L49" s="7"/>
    </row>
    <row r="50" spans="1:12" x14ac:dyDescent="0.25">
      <c r="A50" s="2" t="s">
        <v>278</v>
      </c>
      <c r="B50" s="7">
        <v>-1.0388804899794657E-2</v>
      </c>
      <c r="C50" s="7">
        <v>-1.931431255136784E-2</v>
      </c>
      <c r="D50" s="7">
        <v>0</v>
      </c>
      <c r="E50" s="7">
        <v>-3.2352424969285698E-2</v>
      </c>
      <c r="F50" s="7">
        <v>-6.4223763656545696E-4</v>
      </c>
      <c r="G50" s="7"/>
      <c r="H50" s="7">
        <f t="shared" si="1"/>
        <v>-9.7465672632292E-3</v>
      </c>
      <c r="I50" s="7">
        <f t="shared" si="2"/>
        <v>-1.8672074914802383E-2</v>
      </c>
      <c r="J50" s="7">
        <f t="shared" si="3"/>
        <v>6.4223763656545696E-4</v>
      </c>
      <c r="K50" s="7">
        <f t="shared" si="4"/>
        <v>-3.1710187332720241E-2</v>
      </c>
      <c r="L50" s="7"/>
    </row>
    <row r="51" spans="1:12" x14ac:dyDescent="0.25">
      <c r="A51" s="2" t="s">
        <v>279</v>
      </c>
      <c r="B51" s="7">
        <v>-6.7380255659941213E-3</v>
      </c>
      <c r="C51" s="7">
        <v>6.559120723276024E-3</v>
      </c>
      <c r="D51" s="7">
        <v>7.6142131979695105E-3</v>
      </c>
      <c r="E51" s="7">
        <v>6.0623896409652822E-3</v>
      </c>
      <c r="F51" s="7">
        <v>2.579909335027164E-3</v>
      </c>
      <c r="G51" s="7"/>
      <c r="H51" s="7">
        <f t="shared" si="1"/>
        <v>-9.3179349010212853E-3</v>
      </c>
      <c r="I51" s="7">
        <f t="shared" si="2"/>
        <v>3.97921138824886E-3</v>
      </c>
      <c r="J51" s="7">
        <f t="shared" si="3"/>
        <v>5.0343038629423464E-3</v>
      </c>
      <c r="K51" s="7">
        <f t="shared" si="4"/>
        <v>3.4824803059381182E-3</v>
      </c>
      <c r="L51" s="7"/>
    </row>
    <row r="52" spans="1:12" x14ac:dyDescent="0.25">
      <c r="A52" s="2" t="s">
        <v>280</v>
      </c>
      <c r="B52" s="7">
        <v>-4.1792876040027682E-3</v>
      </c>
      <c r="C52" s="7">
        <v>3.3795802205620618E-3</v>
      </c>
      <c r="D52" s="7">
        <v>0</v>
      </c>
      <c r="E52" s="7">
        <v>1.7304353032752573E-2</v>
      </c>
      <c r="F52" s="7">
        <v>-5.3333409920530706E-3</v>
      </c>
      <c r="G52" s="7"/>
      <c r="H52" s="7">
        <f t="shared" si="1"/>
        <v>1.1540533880503023E-3</v>
      </c>
      <c r="I52" s="7">
        <f t="shared" si="2"/>
        <v>8.7129212126151323E-3</v>
      </c>
      <c r="J52" s="7">
        <f t="shared" si="3"/>
        <v>5.3333409920530706E-3</v>
      </c>
      <c r="K52" s="7">
        <f t="shared" si="4"/>
        <v>2.2637694024805644E-2</v>
      </c>
      <c r="L52" s="7"/>
    </row>
    <row r="53" spans="1:12" x14ac:dyDescent="0.25">
      <c r="A53" s="2" t="s">
        <v>281</v>
      </c>
      <c r="B53" s="7">
        <v>3.0768047382794261E-3</v>
      </c>
      <c r="C53" s="7">
        <v>8.7923918894670106E-3</v>
      </c>
      <c r="D53" s="7">
        <v>2.6041666666666741E-2</v>
      </c>
      <c r="E53" s="7">
        <v>4.2090072755696095E-3</v>
      </c>
      <c r="F53" s="7">
        <v>-1.9391538524380358E-3</v>
      </c>
      <c r="G53" s="7"/>
      <c r="H53" s="7">
        <f t="shared" si="1"/>
        <v>5.015958590717462E-3</v>
      </c>
      <c r="I53" s="7">
        <f t="shared" si="2"/>
        <v>1.0731545741905046E-2</v>
      </c>
      <c r="J53" s="7">
        <f t="shared" si="3"/>
        <v>2.7980820519104777E-2</v>
      </c>
      <c r="K53" s="7">
        <f t="shared" si="4"/>
        <v>6.1481611280076454E-3</v>
      </c>
      <c r="L53" s="7"/>
    </row>
    <row r="54" spans="1:12" x14ac:dyDescent="0.25">
      <c r="A54" s="2" t="s">
        <v>13</v>
      </c>
      <c r="B54" s="7">
        <v>3.3959788523134637E-3</v>
      </c>
      <c r="C54" s="7">
        <v>1.6352583586626057E-2</v>
      </c>
      <c r="D54" s="7">
        <v>1.3192612137203019E-2</v>
      </c>
      <c r="E54" s="7">
        <v>0.10168256491785899</v>
      </c>
      <c r="F54" s="7">
        <v>1.5775995222702122E-3</v>
      </c>
      <c r="G54" s="7"/>
      <c r="H54" s="7">
        <f t="shared" si="1"/>
        <v>1.8183793300432516E-3</v>
      </c>
      <c r="I54" s="7">
        <f t="shared" si="2"/>
        <v>1.4774984064355845E-2</v>
      </c>
      <c r="J54" s="7">
        <f t="shared" si="3"/>
        <v>1.1615012614932807E-2</v>
      </c>
      <c r="K54" s="7">
        <f t="shared" si="4"/>
        <v>0.10010496539558877</v>
      </c>
      <c r="L54" s="7"/>
    </row>
    <row r="55" spans="1:12" x14ac:dyDescent="0.25">
      <c r="A55" s="2" t="s">
        <v>282</v>
      </c>
      <c r="B55" s="7">
        <v>1.2751159196289219E-3</v>
      </c>
      <c r="C55" s="7">
        <v>0</v>
      </c>
      <c r="D55" s="7">
        <v>2.6455026455027841E-3</v>
      </c>
      <c r="E55" s="7">
        <v>-2.272285880753544E-2</v>
      </c>
      <c r="F55" s="7">
        <v>6.4755123918942559E-3</v>
      </c>
      <c r="G55" s="7"/>
      <c r="H55" s="7">
        <f t="shared" si="1"/>
        <v>-5.200396472265334E-3</v>
      </c>
      <c r="I55" s="7">
        <f t="shared" si="2"/>
        <v>-6.4755123918942559E-3</v>
      </c>
      <c r="J55" s="7">
        <f t="shared" si="3"/>
        <v>-3.8300097463914717E-3</v>
      </c>
      <c r="K55" s="7">
        <f t="shared" si="4"/>
        <v>-2.9198371199429696E-2</v>
      </c>
      <c r="L55" s="7"/>
    </row>
    <row r="56" spans="1:12" x14ac:dyDescent="0.25">
      <c r="A56" s="2" t="s">
        <v>283</v>
      </c>
      <c r="B56" s="7">
        <v>-4.9598216002151307E-3</v>
      </c>
      <c r="C56" s="7">
        <v>1.4305093106425026E-2</v>
      </c>
      <c r="D56" s="7">
        <v>3.5616438356164348E-2</v>
      </c>
      <c r="E56" s="7">
        <v>5.2606473594548619E-2</v>
      </c>
      <c r="F56" s="7">
        <v>7.6579303648571795E-5</v>
      </c>
      <c r="G56" s="7"/>
      <c r="H56" s="7">
        <f t="shared" si="1"/>
        <v>-5.0364009038637025E-3</v>
      </c>
      <c r="I56" s="7">
        <f t="shared" si="2"/>
        <v>1.4228513802776455E-2</v>
      </c>
      <c r="J56" s="7">
        <f t="shared" si="3"/>
        <v>3.5539859052515776E-2</v>
      </c>
      <c r="K56" s="7">
        <f t="shared" si="4"/>
        <v>5.2529894290900048E-2</v>
      </c>
      <c r="L56" s="7"/>
    </row>
    <row r="57" spans="1:12" x14ac:dyDescent="0.25">
      <c r="A57" s="2" t="s">
        <v>284</v>
      </c>
      <c r="B57" s="7">
        <v>-7.7066880317425701E-3</v>
      </c>
      <c r="C57" s="7">
        <v>-1.988275820390395E-2</v>
      </c>
      <c r="D57" s="7">
        <v>8.9552238805970186E-2</v>
      </c>
      <c r="E57" s="7">
        <v>-2.7501656726308887E-2</v>
      </c>
      <c r="F57" s="7">
        <v>-3.4399739662078765E-3</v>
      </c>
      <c r="G57" s="7"/>
      <c r="H57" s="7">
        <f t="shared" si="1"/>
        <v>-4.2667140655346936E-3</v>
      </c>
      <c r="I57" s="7">
        <f t="shared" si="2"/>
        <v>-1.6442784237696073E-2</v>
      </c>
      <c r="J57" s="7">
        <f t="shared" si="3"/>
        <v>9.2992212772178062E-2</v>
      </c>
      <c r="K57" s="7">
        <f t="shared" si="4"/>
        <v>-2.4061682760101011E-2</v>
      </c>
      <c r="L57" s="7"/>
    </row>
    <row r="58" spans="1:12" x14ac:dyDescent="0.25">
      <c r="A58" s="2" t="s">
        <v>285</v>
      </c>
      <c r="B58" s="7">
        <v>-1.8351372607767424E-2</v>
      </c>
      <c r="C58" s="7">
        <v>1.6275641813045194E-2</v>
      </c>
      <c r="D58" s="7">
        <v>1.2084592145015227E-2</v>
      </c>
      <c r="E58" s="7">
        <v>-3.4301804684500059E-2</v>
      </c>
      <c r="F58" s="7">
        <v>6.1967096732129523E-3</v>
      </c>
      <c r="G58" s="7"/>
      <c r="H58" s="7">
        <f t="shared" si="1"/>
        <v>-2.4548082280980377E-2</v>
      </c>
      <c r="I58" s="7">
        <f t="shared" si="2"/>
        <v>1.0078932139832242E-2</v>
      </c>
      <c r="J58" s="7">
        <f t="shared" si="3"/>
        <v>5.8878824718022749E-3</v>
      </c>
      <c r="K58" s="7">
        <f t="shared" si="4"/>
        <v>-4.0498514357713011E-2</v>
      </c>
      <c r="L58" s="7"/>
    </row>
    <row r="59" spans="1:12" x14ac:dyDescent="0.25">
      <c r="A59" s="2" t="s">
        <v>14</v>
      </c>
      <c r="B59" s="7">
        <v>-1.38499039739991E-2</v>
      </c>
      <c r="C59" s="7">
        <v>1.0676598386095693E-2</v>
      </c>
      <c r="D59" s="7">
        <v>1.2232415902140747E-2</v>
      </c>
      <c r="E59" s="7">
        <v>3.3388981636059967E-3</v>
      </c>
      <c r="F59" s="7">
        <v>6.3541868667500445E-3</v>
      </c>
      <c r="G59" s="7"/>
      <c r="H59" s="7">
        <f t="shared" si="1"/>
        <v>-2.0204090840749145E-2</v>
      </c>
      <c r="I59" s="7">
        <f t="shared" si="2"/>
        <v>4.322411519345648E-3</v>
      </c>
      <c r="J59" s="7">
        <f t="shared" si="3"/>
        <v>5.878229035390703E-3</v>
      </c>
      <c r="K59" s="7">
        <f t="shared" si="4"/>
        <v>-3.0152887031440478E-3</v>
      </c>
      <c r="L59" s="7"/>
    </row>
    <row r="60" spans="1:12" x14ac:dyDescent="0.25">
      <c r="A60" s="2" t="s">
        <v>286</v>
      </c>
      <c r="B60" s="7">
        <v>-3.1294871322853357E-3</v>
      </c>
      <c r="C60" s="7">
        <v>1.0791818295896594E-2</v>
      </c>
      <c r="D60" s="7">
        <v>-2.0958083832335328E-2</v>
      </c>
      <c r="E60" s="7">
        <v>6.2491472233592527E-2</v>
      </c>
      <c r="F60" s="7">
        <v>1.8946753341611E-3</v>
      </c>
      <c r="G60" s="7"/>
      <c r="H60" s="7">
        <f t="shared" si="1"/>
        <v>-5.0241624664464357E-3</v>
      </c>
      <c r="I60" s="7">
        <f t="shared" si="2"/>
        <v>8.8971429617354936E-3</v>
      </c>
      <c r="J60" s="7">
        <f t="shared" si="3"/>
        <v>-2.2852759166496428E-2</v>
      </c>
      <c r="K60" s="7">
        <f t="shared" si="4"/>
        <v>6.0596796899431427E-2</v>
      </c>
      <c r="L60" s="7"/>
    </row>
    <row r="61" spans="1:12" x14ac:dyDescent="0.25">
      <c r="A61" s="2" t="s">
        <v>287</v>
      </c>
      <c r="B61" s="7">
        <v>-4.4351587127042791E-3</v>
      </c>
      <c r="C61" s="7">
        <v>-6.668744157058204E-3</v>
      </c>
      <c r="D61" s="7">
        <v>6.0240963855422436E-3</v>
      </c>
      <c r="E61" s="7">
        <v>-5.293159609120579E-3</v>
      </c>
      <c r="F61" s="7">
        <v>-7.3576325649918894E-3</v>
      </c>
      <c r="G61" s="7"/>
      <c r="H61" s="7">
        <f t="shared" si="1"/>
        <v>2.9224738522876104E-3</v>
      </c>
      <c r="I61" s="7">
        <f t="shared" si="2"/>
        <v>6.8888840793368544E-4</v>
      </c>
      <c r="J61" s="7">
        <f t="shared" si="3"/>
        <v>1.3381728950534133E-2</v>
      </c>
      <c r="K61" s="7">
        <f t="shared" si="4"/>
        <v>2.0644729558713104E-3</v>
      </c>
      <c r="L61" s="7"/>
    </row>
    <row r="62" spans="1:12" x14ac:dyDescent="0.25">
      <c r="A62" s="2" t="s">
        <v>288</v>
      </c>
      <c r="B62" s="7">
        <v>-2.4862888482632961E-3</v>
      </c>
      <c r="C62" s="7">
        <v>-3.4161490683231044E-3</v>
      </c>
      <c r="D62" s="7">
        <v>-1.4836795252225587E-2</v>
      </c>
      <c r="E62" s="7">
        <v>-7.6099400633038439E-3</v>
      </c>
      <c r="F62" s="7">
        <v>-1.3756671985912794E-3</v>
      </c>
      <c r="G62" s="7"/>
      <c r="H62" s="7">
        <f t="shared" si="1"/>
        <v>-1.1106216496720167E-3</v>
      </c>
      <c r="I62" s="7">
        <f t="shared" si="2"/>
        <v>-2.040481869731825E-3</v>
      </c>
      <c r="J62" s="7">
        <f t="shared" si="3"/>
        <v>-1.3461128053634308E-2</v>
      </c>
      <c r="K62" s="7">
        <f t="shared" si="4"/>
        <v>-6.2342728647125645E-3</v>
      </c>
      <c r="L62" s="7"/>
    </row>
    <row r="63" spans="1:12" x14ac:dyDescent="0.25">
      <c r="A63" s="2" t="s">
        <v>15</v>
      </c>
      <c r="B63" s="7">
        <v>1.3180054184667167E-3</v>
      </c>
      <c r="C63" s="7">
        <v>-2.2310361923649769E-3</v>
      </c>
      <c r="D63" s="7">
        <v>1.2012012012011963E-2</v>
      </c>
      <c r="E63" s="7">
        <v>-2.4632159747766669E-2</v>
      </c>
      <c r="F63" s="7">
        <v>-3.4920937266411656E-3</v>
      </c>
      <c r="G63" s="7"/>
      <c r="H63" s="7">
        <f t="shared" si="1"/>
        <v>4.8100991451078823E-3</v>
      </c>
      <c r="I63" s="7">
        <f t="shared" si="2"/>
        <v>1.2610575342761887E-3</v>
      </c>
      <c r="J63" s="7">
        <f t="shared" si="3"/>
        <v>1.5504105738653129E-2</v>
      </c>
      <c r="K63" s="7">
        <f t="shared" si="4"/>
        <v>-2.1140066021125503E-2</v>
      </c>
      <c r="L63" s="7"/>
    </row>
    <row r="64" spans="1:12" x14ac:dyDescent="0.25">
      <c r="A64" s="2" t="s">
        <v>289</v>
      </c>
      <c r="B64" s="7">
        <v>-1.4988119173826586E-3</v>
      </c>
      <c r="C64" s="7">
        <v>1.0900889612830422E-2</v>
      </c>
      <c r="D64" s="7">
        <v>1.2158054711246313E-2</v>
      </c>
      <c r="E64" s="7">
        <v>1.4527522324403686E-2</v>
      </c>
      <c r="F64" s="7">
        <v>-3.043832632483312E-4</v>
      </c>
      <c r="G64" s="7"/>
      <c r="H64" s="7">
        <f t="shared" si="1"/>
        <v>-1.1944286541343274E-3</v>
      </c>
      <c r="I64" s="7">
        <f t="shared" si="2"/>
        <v>1.1205272876078753E-2</v>
      </c>
      <c r="J64" s="7">
        <f t="shared" si="3"/>
        <v>1.2462437974494645E-2</v>
      </c>
      <c r="K64" s="7">
        <f t="shared" si="4"/>
        <v>1.4831905587652017E-2</v>
      </c>
      <c r="L64" s="7"/>
    </row>
    <row r="65" spans="1:12" x14ac:dyDescent="0.25">
      <c r="A65" s="2" t="s">
        <v>290</v>
      </c>
      <c r="B65" s="7">
        <v>5.2919775090956023E-3</v>
      </c>
      <c r="C65" s="7">
        <v>1.1917455936774068E-3</v>
      </c>
      <c r="D65" s="7">
        <v>3.0487804878049918E-3</v>
      </c>
      <c r="E65" s="7">
        <v>-7.7365602063081962E-3</v>
      </c>
      <c r="F65" s="7">
        <v>3.2215161386959235E-3</v>
      </c>
      <c r="G65" s="7"/>
      <c r="H65" s="7">
        <f t="shared" si="1"/>
        <v>2.0704613703996788E-3</v>
      </c>
      <c r="I65" s="7">
        <f t="shared" si="2"/>
        <v>-2.0297705450185166E-3</v>
      </c>
      <c r="J65" s="7">
        <f t="shared" si="3"/>
        <v>-1.7273565089093168E-4</v>
      </c>
      <c r="K65" s="7">
        <f t="shared" si="4"/>
        <v>-1.095807634500412E-2</v>
      </c>
      <c r="L65" s="7"/>
    </row>
    <row r="66" spans="1:12" x14ac:dyDescent="0.25">
      <c r="A66" s="2" t="s">
        <v>291</v>
      </c>
      <c r="B66" s="7">
        <v>5.1344562647752667E-3</v>
      </c>
      <c r="C66" s="7">
        <v>8.7890011927949097E-4</v>
      </c>
      <c r="D66" s="7">
        <v>-1.2048192771084376E-2</v>
      </c>
      <c r="E66" s="7">
        <v>1.78855325914129E-3</v>
      </c>
      <c r="F66" s="7">
        <v>4.5504173154282679E-3</v>
      </c>
      <c r="G66" s="7"/>
      <c r="H66" s="7">
        <f t="shared" si="1"/>
        <v>5.8403894934699885E-4</v>
      </c>
      <c r="I66" s="7">
        <f t="shared" si="2"/>
        <v>-3.6715171961487769E-3</v>
      </c>
      <c r="J66" s="7">
        <f t="shared" si="3"/>
        <v>-1.6598610086512644E-2</v>
      </c>
      <c r="K66" s="7">
        <f t="shared" si="4"/>
        <v>-2.7618640562869778E-3</v>
      </c>
      <c r="L66" s="7"/>
    </row>
    <row r="67" spans="1:12" x14ac:dyDescent="0.25">
      <c r="A67" s="2" t="s">
        <v>16</v>
      </c>
      <c r="B67" s="7">
        <v>-9.8387037782085018E-3</v>
      </c>
      <c r="C67" s="7">
        <v>-1.2093773257256357E-2</v>
      </c>
      <c r="D67" s="7">
        <v>1.5290519877675823E-2</v>
      </c>
      <c r="E67" s="7">
        <v>7.8109353094333311E-3</v>
      </c>
      <c r="F67" s="7">
        <v>6.4364620674519646E-3</v>
      </c>
      <c r="G67" s="7"/>
      <c r="H67" s="7">
        <f t="shared" ref="H67:H130" si="7">B67-$F67</f>
        <v>-1.6275165845660466E-2</v>
      </c>
      <c r="I67" s="7">
        <f t="shared" ref="I67:I130" si="8">C67-$F67</f>
        <v>-1.8530235324708322E-2</v>
      </c>
      <c r="J67" s="7">
        <f t="shared" ref="J67:J130" si="9">D67-$F67</f>
        <v>8.8540578102238587E-3</v>
      </c>
      <c r="K67" s="7">
        <f t="shared" ref="K67:K130" si="10">E67-$F67</f>
        <v>1.3744732419813666E-3</v>
      </c>
      <c r="L67" s="7"/>
    </row>
    <row r="68" spans="1:12" x14ac:dyDescent="0.25">
      <c r="A68" s="2" t="s">
        <v>292</v>
      </c>
      <c r="B68" s="7">
        <v>5.4056041773922203E-3</v>
      </c>
      <c r="C68" s="7">
        <v>1.2419274714356998E-3</v>
      </c>
      <c r="D68" s="7">
        <v>-3.0487804878047697E-3</v>
      </c>
      <c r="E68" s="7">
        <v>1.6766223187618889E-2</v>
      </c>
      <c r="F68" s="7">
        <v>8.8180245499471788E-3</v>
      </c>
      <c r="G68" s="7"/>
      <c r="H68" s="7">
        <f t="shared" si="7"/>
        <v>-3.4124203725549584E-3</v>
      </c>
      <c r="I68" s="7">
        <f t="shared" si="8"/>
        <v>-7.576097078511479E-3</v>
      </c>
      <c r="J68" s="7">
        <f t="shared" si="9"/>
        <v>-1.1866805037751949E-2</v>
      </c>
      <c r="K68" s="7">
        <f t="shared" si="10"/>
        <v>7.9481986376717106E-3</v>
      </c>
      <c r="L68" s="7"/>
    </row>
    <row r="69" spans="1:12" x14ac:dyDescent="0.25">
      <c r="A69" s="2" t="s">
        <v>293</v>
      </c>
      <c r="B69" s="7">
        <v>1.2887072425347146E-3</v>
      </c>
      <c r="C69" s="7">
        <v>-2.5394859089501454E-3</v>
      </c>
      <c r="D69" s="7">
        <v>-2.3809523809523836E-2</v>
      </c>
      <c r="E69" s="7">
        <v>1.5636685022775154E-3</v>
      </c>
      <c r="F69" s="7">
        <v>7.9343234996123169E-3</v>
      </c>
      <c r="G69" s="7"/>
      <c r="H69" s="7">
        <f t="shared" si="7"/>
        <v>-6.6456162570776023E-3</v>
      </c>
      <c r="I69" s="7">
        <f t="shared" si="8"/>
        <v>-1.0473809408562462E-2</v>
      </c>
      <c r="J69" s="7">
        <f t="shared" si="9"/>
        <v>-3.1743847309136153E-2</v>
      </c>
      <c r="K69" s="7">
        <f t="shared" si="10"/>
        <v>-6.3706549973348015E-3</v>
      </c>
      <c r="L69" s="7"/>
    </row>
    <row r="70" spans="1:12" x14ac:dyDescent="0.25">
      <c r="A70" s="2" t="s">
        <v>294</v>
      </c>
      <c r="B70" s="7">
        <v>-1.0060142154182827E-2</v>
      </c>
      <c r="C70" s="7">
        <v>-6.2780821074660542E-3</v>
      </c>
      <c r="D70" s="7">
        <v>2.9850746268655914E-3</v>
      </c>
      <c r="E70" s="7">
        <v>-1.4736419050170757E-2</v>
      </c>
      <c r="F70" s="7">
        <v>-1.1592203827500702E-2</v>
      </c>
      <c r="G70" s="7"/>
      <c r="H70" s="7">
        <f t="shared" si="7"/>
        <v>1.5320616733178749E-3</v>
      </c>
      <c r="I70" s="7">
        <f t="shared" si="8"/>
        <v>5.314121720034648E-3</v>
      </c>
      <c r="J70" s="7">
        <f t="shared" si="9"/>
        <v>1.4577278454366294E-2</v>
      </c>
      <c r="K70" s="7">
        <f t="shared" si="10"/>
        <v>-3.1442152226700548E-3</v>
      </c>
      <c r="L70" s="7"/>
    </row>
    <row r="71" spans="1:12" x14ac:dyDescent="0.25">
      <c r="A71" s="2" t="s">
        <v>295</v>
      </c>
      <c r="B71" s="7">
        <v>1.82581705313134E-3</v>
      </c>
      <c r="C71" s="7">
        <v>-1.5094568380213391E-2</v>
      </c>
      <c r="D71" s="7">
        <v>-1.179941002949858E-2</v>
      </c>
      <c r="E71" s="7">
        <v>-5.3301352521820666E-3</v>
      </c>
      <c r="F71" s="7">
        <v>-2.3839178699950336E-3</v>
      </c>
      <c r="G71" s="7"/>
      <c r="H71" s="7">
        <f t="shared" si="7"/>
        <v>4.2097349231263737E-3</v>
      </c>
      <c r="I71" s="7">
        <f t="shared" si="8"/>
        <v>-1.2710650510218358E-2</v>
      </c>
      <c r="J71" s="7">
        <f t="shared" si="9"/>
        <v>-9.4154921595035468E-3</v>
      </c>
      <c r="K71" s="7">
        <f t="shared" si="10"/>
        <v>-2.946217382187033E-3</v>
      </c>
      <c r="L71" s="7"/>
    </row>
    <row r="72" spans="1:12" x14ac:dyDescent="0.25">
      <c r="A72" s="2" t="s">
        <v>17</v>
      </c>
      <c r="B72" s="7">
        <v>-1.4998920940939353E-2</v>
      </c>
      <c r="C72" s="7">
        <v>-1.8971156705322567E-2</v>
      </c>
      <c r="D72" s="7">
        <v>1.8018018018018056E-2</v>
      </c>
      <c r="E72" s="7">
        <v>-3.5906988694758502E-2</v>
      </c>
      <c r="F72" s="7">
        <v>-1.5965058492165562E-3</v>
      </c>
      <c r="G72" s="7"/>
      <c r="H72" s="7">
        <f t="shared" si="7"/>
        <v>-1.3402415091722797E-2</v>
      </c>
      <c r="I72" s="7">
        <f t="shared" si="8"/>
        <v>-1.7374650856106011E-2</v>
      </c>
      <c r="J72" s="7">
        <f t="shared" si="9"/>
        <v>1.9614523867234612E-2</v>
      </c>
      <c r="K72" s="7">
        <f t="shared" si="10"/>
        <v>-3.4310482845541945E-2</v>
      </c>
      <c r="L72" s="7"/>
    </row>
    <row r="73" spans="1:12" x14ac:dyDescent="0.25">
      <c r="A73" s="2" t="s">
        <v>296</v>
      </c>
      <c r="B73" s="7">
        <v>9.0002520070564529E-4</v>
      </c>
      <c r="C73" s="7">
        <v>1.7873100983021306E-3</v>
      </c>
      <c r="D73" s="7">
        <v>-5.9701492537312939E-3</v>
      </c>
      <c r="E73" s="7">
        <v>-7.7756532823454183E-3</v>
      </c>
      <c r="F73" s="7">
        <v>-1.0663671931604113E-2</v>
      </c>
      <c r="G73" s="7"/>
      <c r="H73" s="7">
        <f t="shared" si="7"/>
        <v>1.1563697132309758E-2</v>
      </c>
      <c r="I73" s="7">
        <f t="shared" si="8"/>
        <v>1.2450982029906243E-2</v>
      </c>
      <c r="J73" s="7">
        <f t="shared" si="9"/>
        <v>4.693522677872819E-3</v>
      </c>
      <c r="K73" s="7">
        <f t="shared" si="10"/>
        <v>2.8880186492586946E-3</v>
      </c>
      <c r="L73" s="7"/>
    </row>
    <row r="74" spans="1:12" x14ac:dyDescent="0.25">
      <c r="A74" s="2" t="s">
        <v>297</v>
      </c>
      <c r="B74" s="7">
        <v>-2.6928048255062675E-3</v>
      </c>
      <c r="C74" s="7">
        <v>1.7766189667717702E-2</v>
      </c>
      <c r="D74" s="7">
        <v>-5.9347181008901906E-3</v>
      </c>
      <c r="E74" s="7">
        <v>-1.2089157536834039E-2</v>
      </c>
      <c r="F74" s="7">
        <v>2.0793764194066977E-3</v>
      </c>
      <c r="G74" s="7"/>
      <c r="H74" s="7">
        <f t="shared" si="7"/>
        <v>-4.7721812449129652E-3</v>
      </c>
      <c r="I74" s="7">
        <f t="shared" si="8"/>
        <v>1.5686813248311005E-2</v>
      </c>
      <c r="J74" s="7">
        <f t="shared" si="9"/>
        <v>-8.0140945202968883E-3</v>
      </c>
      <c r="K74" s="7">
        <f t="shared" si="10"/>
        <v>-1.4168533956240736E-2</v>
      </c>
      <c r="L74" s="7"/>
    </row>
    <row r="75" spans="1:12" x14ac:dyDescent="0.25">
      <c r="A75" s="2" t="s">
        <v>298</v>
      </c>
      <c r="B75" s="7">
        <v>5.7778419760219357E-3</v>
      </c>
      <c r="C75" s="7">
        <v>3.4682080924854919E-3</v>
      </c>
      <c r="D75" s="7">
        <v>-1.4619883040935644E-2</v>
      </c>
      <c r="E75" s="7">
        <v>1.833803539369061E-2</v>
      </c>
      <c r="F75" s="7">
        <v>6.7494967480494772E-3</v>
      </c>
      <c r="G75" s="7"/>
      <c r="H75" s="7">
        <f t="shared" si="7"/>
        <v>-9.7165477202754147E-4</v>
      </c>
      <c r="I75" s="7">
        <f t="shared" si="8"/>
        <v>-3.2812886555639853E-3</v>
      </c>
      <c r="J75" s="7">
        <f t="shared" si="9"/>
        <v>-2.1369379788985121E-2</v>
      </c>
      <c r="K75" s="7">
        <f t="shared" si="10"/>
        <v>1.1588538645641133E-2</v>
      </c>
      <c r="L75" s="7"/>
    </row>
    <row r="76" spans="1:12" x14ac:dyDescent="0.25">
      <c r="A76" s="2" t="s">
        <v>299</v>
      </c>
      <c r="B76" s="7">
        <v>-2.5573605157943602E-3</v>
      </c>
      <c r="C76" s="7">
        <v>6.8614837958709263E-3</v>
      </c>
      <c r="D76" s="7">
        <v>-1.1560693641618491E-2</v>
      </c>
      <c r="E76" s="7">
        <v>-1.3722886232846343E-2</v>
      </c>
      <c r="F76" s="7">
        <v>-8.7635890402559813E-4</v>
      </c>
      <c r="G76" s="7"/>
      <c r="H76" s="7">
        <f t="shared" si="7"/>
        <v>-1.6810016117687621E-3</v>
      </c>
      <c r="I76" s="7">
        <f t="shared" si="8"/>
        <v>7.7378426998965244E-3</v>
      </c>
      <c r="J76" s="7">
        <f t="shared" si="9"/>
        <v>-1.0684334737592893E-2</v>
      </c>
      <c r="K76" s="7">
        <f t="shared" si="10"/>
        <v>-1.2846527328820745E-2</v>
      </c>
      <c r="L76" s="7"/>
    </row>
    <row r="77" spans="1:12" x14ac:dyDescent="0.25">
      <c r="A77" s="2" t="s">
        <v>18</v>
      </c>
      <c r="B77" s="7">
        <v>-3.1954617262673901E-3</v>
      </c>
      <c r="C77" s="7">
        <v>-2.0992023031248142E-2</v>
      </c>
      <c r="D77" s="7">
        <v>-4.6831955922865043E-2</v>
      </c>
      <c r="E77" s="7">
        <v>-1.2001010611419893E-3</v>
      </c>
      <c r="F77" s="7">
        <v>-3.4772356776897606E-3</v>
      </c>
      <c r="G77" s="7"/>
      <c r="H77" s="7">
        <f t="shared" si="7"/>
        <v>2.8177395142237049E-4</v>
      </c>
      <c r="I77" s="7">
        <f t="shared" si="8"/>
        <v>-1.7514787353558381E-2</v>
      </c>
      <c r="J77" s="7">
        <f t="shared" si="9"/>
        <v>-4.3354720245175282E-2</v>
      </c>
      <c r="K77" s="7">
        <f t="shared" si="10"/>
        <v>2.2771346165477713E-3</v>
      </c>
      <c r="L77" s="7"/>
    </row>
    <row r="78" spans="1:12" x14ac:dyDescent="0.25">
      <c r="A78" s="2" t="s">
        <v>300</v>
      </c>
      <c r="B78" s="7">
        <v>-6.8463842533162955E-3</v>
      </c>
      <c r="C78" s="7">
        <v>-1.056317132514395E-2</v>
      </c>
      <c r="D78" s="7">
        <v>0</v>
      </c>
      <c r="E78" s="7">
        <v>5.5894308943089666E-3</v>
      </c>
      <c r="F78" s="7">
        <v>1.9366731222436595E-3</v>
      </c>
      <c r="G78" s="7"/>
      <c r="H78" s="7">
        <f t="shared" si="7"/>
        <v>-8.783057375559955E-3</v>
      </c>
      <c r="I78" s="7">
        <f t="shared" si="8"/>
        <v>-1.2499844447387609E-2</v>
      </c>
      <c r="J78" s="7">
        <f t="shared" si="9"/>
        <v>-1.9366731222436595E-3</v>
      </c>
      <c r="K78" s="7">
        <f t="shared" si="10"/>
        <v>3.6527577720653071E-3</v>
      </c>
      <c r="L78" s="7"/>
    </row>
    <row r="79" spans="1:12" x14ac:dyDescent="0.25">
      <c r="A79" s="2" t="s">
        <v>301</v>
      </c>
      <c r="B79" s="7">
        <v>-1.2117796251937429E-2</v>
      </c>
      <c r="C79" s="7">
        <v>-2.2110027855153258E-2</v>
      </c>
      <c r="D79" s="7">
        <v>0</v>
      </c>
      <c r="E79" s="7">
        <v>-4.0485829959514552E-3</v>
      </c>
      <c r="F79" s="7">
        <v>1.0803361305278258E-3</v>
      </c>
      <c r="G79" s="7"/>
      <c r="H79" s="7">
        <f t="shared" si="7"/>
        <v>-1.3198132382465255E-2</v>
      </c>
      <c r="I79" s="7">
        <f t="shared" si="8"/>
        <v>-2.3190363985681084E-2</v>
      </c>
      <c r="J79" s="7">
        <f t="shared" si="9"/>
        <v>-1.0803361305278258E-3</v>
      </c>
      <c r="K79" s="7">
        <f t="shared" si="10"/>
        <v>-5.1289191264792811E-3</v>
      </c>
      <c r="L79" s="7"/>
    </row>
    <row r="80" spans="1:12" x14ac:dyDescent="0.25">
      <c r="A80" s="2" t="s">
        <v>302</v>
      </c>
      <c r="B80" s="7">
        <v>-7.1348628987130125E-3</v>
      </c>
      <c r="C80" s="7">
        <v>8.9583699279818241E-3</v>
      </c>
      <c r="D80" s="7">
        <v>1.9662921348314599E-2</v>
      </c>
      <c r="E80" s="7">
        <v>-1.8928815242350794E-2</v>
      </c>
      <c r="F80" s="7">
        <v>2.9797770511774679E-3</v>
      </c>
      <c r="G80" s="7"/>
      <c r="H80" s="7">
        <f t="shared" si="7"/>
        <v>-1.011463994989048E-2</v>
      </c>
      <c r="I80" s="7">
        <f t="shared" si="8"/>
        <v>5.9785928768043561E-3</v>
      </c>
      <c r="J80" s="7">
        <f t="shared" si="9"/>
        <v>1.6683144297137131E-2</v>
      </c>
      <c r="K80" s="7">
        <f t="shared" si="10"/>
        <v>-2.1908592293528262E-2</v>
      </c>
      <c r="L80" s="7"/>
    </row>
    <row r="81" spans="1:12" x14ac:dyDescent="0.25">
      <c r="A81" s="2" t="s">
        <v>303</v>
      </c>
      <c r="B81" s="7">
        <v>1.0889548861547249E-2</v>
      </c>
      <c r="C81" s="7">
        <v>6.3045015319349584E-3</v>
      </c>
      <c r="D81" s="7">
        <v>5.6497175141243527E-3</v>
      </c>
      <c r="E81" s="7">
        <v>-1.9055156459271805E-2</v>
      </c>
      <c r="F81" s="7">
        <v>2.4572008167182968E-3</v>
      </c>
      <c r="G81" s="7"/>
      <c r="H81" s="7">
        <f t="shared" si="7"/>
        <v>8.4323480448289523E-3</v>
      </c>
      <c r="I81" s="7">
        <f t="shared" si="8"/>
        <v>3.8473007152166616E-3</v>
      </c>
      <c r="J81" s="7">
        <f t="shared" si="9"/>
        <v>3.1925166974060559E-3</v>
      </c>
      <c r="K81" s="7">
        <f t="shared" si="10"/>
        <v>-2.1512357275990102E-2</v>
      </c>
      <c r="L81" s="7"/>
    </row>
    <row r="82" spans="1:12" x14ac:dyDescent="0.25">
      <c r="A82" s="2" t="s">
        <v>19</v>
      </c>
      <c r="B82" s="7">
        <v>1.5255393230194869E-2</v>
      </c>
      <c r="C82" s="7">
        <v>-9.107893507706688E-3</v>
      </c>
      <c r="D82" s="7">
        <v>2.8328611898018607E-3</v>
      </c>
      <c r="E82" s="7">
        <v>4.4246662428480521E-2</v>
      </c>
      <c r="F82" s="7">
        <v>-5.3233349247856498E-3</v>
      </c>
      <c r="G82" s="7"/>
      <c r="H82" s="7">
        <f t="shared" si="7"/>
        <v>2.0578728154980519E-2</v>
      </c>
      <c r="I82" s="7">
        <f t="shared" si="8"/>
        <v>-3.7845585829210382E-3</v>
      </c>
      <c r="J82" s="7">
        <f t="shared" si="9"/>
        <v>8.1561961145875106E-3</v>
      </c>
      <c r="K82" s="7">
        <f t="shared" si="10"/>
        <v>4.9569997353266171E-2</v>
      </c>
      <c r="L82" s="7"/>
    </row>
    <row r="83" spans="1:12" x14ac:dyDescent="0.25">
      <c r="A83" s="2" t="s">
        <v>304</v>
      </c>
      <c r="B83" s="7">
        <v>4.6882325363335475E-3</v>
      </c>
      <c r="C83" s="7">
        <v>7.2924017878146508E-3</v>
      </c>
      <c r="D83" s="7">
        <v>-3.2876712328767099E-2</v>
      </c>
      <c r="E83" s="7">
        <v>-1.9035532994923221E-3</v>
      </c>
      <c r="F83" s="7">
        <v>5.3547759228842473E-3</v>
      </c>
      <c r="G83" s="7"/>
      <c r="H83" s="7">
        <f t="shared" si="7"/>
        <v>-6.6654338655069978E-4</v>
      </c>
      <c r="I83" s="7">
        <f t="shared" si="8"/>
        <v>1.9376258649304035E-3</v>
      </c>
      <c r="J83" s="7">
        <f t="shared" si="9"/>
        <v>-3.8231488251651347E-2</v>
      </c>
      <c r="K83" s="7">
        <f t="shared" si="10"/>
        <v>-7.2583292223765694E-3</v>
      </c>
      <c r="L83" s="7"/>
    </row>
    <row r="84" spans="1:12" x14ac:dyDescent="0.25">
      <c r="A84" s="2" t="s">
        <v>305</v>
      </c>
      <c r="B84" s="7">
        <v>2.0960572440462677E-3</v>
      </c>
      <c r="C84" s="7">
        <v>-4.2747555191193776E-3</v>
      </c>
      <c r="D84" s="7">
        <v>0</v>
      </c>
      <c r="E84" s="7">
        <v>3.7577224380613838E-3</v>
      </c>
      <c r="F84" s="7">
        <v>6.9067142781129576E-3</v>
      </c>
      <c r="G84" s="7"/>
      <c r="H84" s="7">
        <f t="shared" si="7"/>
        <v>-4.8106570340666899E-3</v>
      </c>
      <c r="I84" s="7">
        <f t="shared" si="8"/>
        <v>-1.1181469797232335E-2</v>
      </c>
      <c r="J84" s="7">
        <f t="shared" si="9"/>
        <v>-6.9067142781129576E-3</v>
      </c>
      <c r="K84" s="7">
        <f t="shared" si="10"/>
        <v>-3.1489918400515737E-3</v>
      </c>
      <c r="L84" s="7"/>
    </row>
    <row r="85" spans="1:12" x14ac:dyDescent="0.25">
      <c r="A85" s="2" t="s">
        <v>306</v>
      </c>
      <c r="B85" s="7">
        <v>3.8090401218890957E-3</v>
      </c>
      <c r="C85" s="7">
        <v>1.1670616113744092E-2</v>
      </c>
      <c r="D85" s="7">
        <v>-1.084010840108407E-2</v>
      </c>
      <c r="E85" s="7">
        <v>-2.3144403658308943E-2</v>
      </c>
      <c r="F85" s="7">
        <v>9.0617319302264132E-3</v>
      </c>
      <c r="G85" s="7"/>
      <c r="H85" s="7">
        <f t="shared" si="7"/>
        <v>-5.2526918083373175E-3</v>
      </c>
      <c r="I85" s="7">
        <f t="shared" si="8"/>
        <v>2.608884183517679E-3</v>
      </c>
      <c r="J85" s="7">
        <f t="shared" si="9"/>
        <v>-1.9901840331310483E-2</v>
      </c>
      <c r="K85" s="7">
        <f t="shared" si="10"/>
        <v>-3.2206135588535356E-2</v>
      </c>
      <c r="L85" s="7"/>
    </row>
    <row r="86" spans="1:12" x14ac:dyDescent="0.25">
      <c r="A86" s="2" t="s">
        <v>20</v>
      </c>
      <c r="B86" s="7">
        <v>1.6295531632502636E-2</v>
      </c>
      <c r="C86" s="7">
        <v>8.7247520019122504E-3</v>
      </c>
      <c r="D86" s="7">
        <v>-1.072386058981234E-2</v>
      </c>
      <c r="E86" s="7">
        <v>5.1003727195448878E-2</v>
      </c>
      <c r="F86" s="7">
        <v>1.5467235297948356E-2</v>
      </c>
      <c r="G86" s="7"/>
      <c r="H86" s="7">
        <f t="shared" si="7"/>
        <v>8.2829633455427931E-4</v>
      </c>
      <c r="I86" s="7">
        <f t="shared" si="8"/>
        <v>-6.7424832960361059E-3</v>
      </c>
      <c r="J86" s="7">
        <f t="shared" si="9"/>
        <v>-2.6191095887760696E-2</v>
      </c>
      <c r="K86" s="7">
        <f t="shared" si="10"/>
        <v>3.5536491897500522E-2</v>
      </c>
      <c r="L86" s="7"/>
    </row>
    <row r="87" spans="1:12" x14ac:dyDescent="0.25">
      <c r="A87" s="2" t="s">
        <v>307</v>
      </c>
      <c r="B87" s="7">
        <v>1.9699248120300883E-2</v>
      </c>
      <c r="C87" s="7">
        <v>2.1175321901507393E-2</v>
      </c>
      <c r="D87" s="7">
        <v>3.0386740331491691E-2</v>
      </c>
      <c r="E87" s="7">
        <v>-2.2834029227557506E-3</v>
      </c>
      <c r="F87" s="7">
        <v>9.8229633753188494E-3</v>
      </c>
      <c r="G87" s="7"/>
      <c r="H87" s="7">
        <f t="shared" si="7"/>
        <v>9.8762847449820335E-3</v>
      </c>
      <c r="I87" s="7">
        <f t="shared" si="8"/>
        <v>1.1352358526188544E-2</v>
      </c>
      <c r="J87" s="7">
        <f t="shared" si="9"/>
        <v>2.0563776956172841E-2</v>
      </c>
      <c r="K87" s="7">
        <f t="shared" si="10"/>
        <v>-1.21063662980746E-2</v>
      </c>
      <c r="L87" s="7"/>
    </row>
    <row r="88" spans="1:12" x14ac:dyDescent="0.25">
      <c r="A88" s="2" t="s">
        <v>308</v>
      </c>
      <c r="B88" s="7">
        <v>-8.6094442995042764E-3</v>
      </c>
      <c r="C88" s="7">
        <v>-1.1878919440424518E-2</v>
      </c>
      <c r="D88" s="7">
        <v>-1.0928961748633892E-2</v>
      </c>
      <c r="E88" s="7">
        <v>-3.5307445402479654E-2</v>
      </c>
      <c r="F88" s="7">
        <v>-1.5567225119539341E-2</v>
      </c>
      <c r="G88" s="7"/>
      <c r="H88" s="7">
        <f t="shared" si="7"/>
        <v>6.9577808200350644E-3</v>
      </c>
      <c r="I88" s="7">
        <f t="shared" si="8"/>
        <v>3.6883056791148228E-3</v>
      </c>
      <c r="J88" s="7">
        <f t="shared" si="9"/>
        <v>4.6382633709054488E-3</v>
      </c>
      <c r="K88" s="7">
        <f t="shared" si="10"/>
        <v>-1.9740220282940313E-2</v>
      </c>
      <c r="L88" s="7"/>
    </row>
    <row r="89" spans="1:12" x14ac:dyDescent="0.25">
      <c r="A89" s="2" t="s">
        <v>309</v>
      </c>
      <c r="B89" s="7">
        <v>4.1917736442231845E-3</v>
      </c>
      <c r="C89" s="7">
        <v>4.7864283550438369E-3</v>
      </c>
      <c r="D89" s="7">
        <v>-3.1746031746031633E-2</v>
      </c>
      <c r="E89" s="7">
        <v>-5.1965940395692911E-3</v>
      </c>
      <c r="F89" s="7">
        <v>3.7537855204221593E-3</v>
      </c>
      <c r="G89" s="7"/>
      <c r="H89" s="7">
        <f t="shared" si="7"/>
        <v>4.3798812380102525E-4</v>
      </c>
      <c r="I89" s="7">
        <f t="shared" si="8"/>
        <v>1.0326428346216776E-3</v>
      </c>
      <c r="J89" s="7">
        <f t="shared" si="9"/>
        <v>-3.5499817266453793E-2</v>
      </c>
      <c r="K89" s="7">
        <f t="shared" si="10"/>
        <v>-8.9503795599914504E-3</v>
      </c>
      <c r="L89" s="7"/>
    </row>
    <row r="90" spans="1:12" x14ac:dyDescent="0.25">
      <c r="A90" s="2" t="s">
        <v>310</v>
      </c>
      <c r="B90" s="7">
        <v>-7.4847498222285758E-5</v>
      </c>
      <c r="C90" s="7">
        <v>2.4293956878227441E-3</v>
      </c>
      <c r="D90" s="7">
        <v>2.1621621621621623E-2</v>
      </c>
      <c r="E90" s="7">
        <v>1.2744911546509252E-2</v>
      </c>
      <c r="F90" s="7">
        <v>-8.2563871224939911E-3</v>
      </c>
      <c r="G90" s="7"/>
      <c r="H90" s="7">
        <f t="shared" si="7"/>
        <v>8.1815396242717053E-3</v>
      </c>
      <c r="I90" s="7">
        <f t="shared" si="8"/>
        <v>1.0685782810316735E-2</v>
      </c>
      <c r="J90" s="7">
        <f t="shared" si="9"/>
        <v>2.9878008744115614E-2</v>
      </c>
      <c r="K90" s="7">
        <f t="shared" si="10"/>
        <v>2.1001298669003243E-2</v>
      </c>
      <c r="L90" s="7"/>
    </row>
    <row r="91" spans="1:12" x14ac:dyDescent="0.25">
      <c r="A91" s="2" t="s">
        <v>21</v>
      </c>
      <c r="B91" s="7">
        <v>-1.8187830687830808E-2</v>
      </c>
      <c r="C91" s="7">
        <v>-1.3067194149733341E-2</v>
      </c>
      <c r="D91" s="7">
        <v>2.4930747922437657E-2</v>
      </c>
      <c r="E91" s="7">
        <v>2.5422626788036418E-2</v>
      </c>
      <c r="F91" s="7">
        <v>-9.1623094959838447E-3</v>
      </c>
      <c r="G91" s="7"/>
      <c r="H91" s="7">
        <f t="shared" si="7"/>
        <v>-9.0255211918469636E-3</v>
      </c>
      <c r="I91" s="7">
        <f t="shared" si="8"/>
        <v>-3.9048846537494963E-3</v>
      </c>
      <c r="J91" s="7">
        <f t="shared" si="9"/>
        <v>3.4093057418421502E-2</v>
      </c>
      <c r="K91" s="7">
        <f t="shared" si="10"/>
        <v>3.4584936284020262E-2</v>
      </c>
      <c r="L91" s="7"/>
    </row>
    <row r="92" spans="1:12" x14ac:dyDescent="0.25">
      <c r="A92" s="2" t="s">
        <v>311</v>
      </c>
      <c r="B92" s="7">
        <v>-1.9435989585242508E-3</v>
      </c>
      <c r="C92" s="7">
        <v>-1.3599006681251025E-2</v>
      </c>
      <c r="D92" s="7">
        <v>5.5710306406684396E-3</v>
      </c>
      <c r="E92" s="7">
        <v>-3.7787787787787686E-2</v>
      </c>
      <c r="F92" s="7">
        <v>-5.016705034071034E-4</v>
      </c>
      <c r="G92" s="7"/>
      <c r="H92" s="7">
        <f t="shared" si="7"/>
        <v>-1.4419284551171474E-3</v>
      </c>
      <c r="I92" s="7">
        <f t="shared" si="8"/>
        <v>-1.3097336177843921E-2</v>
      </c>
      <c r="J92" s="7">
        <f t="shared" si="9"/>
        <v>6.072701144075543E-3</v>
      </c>
      <c r="K92" s="7">
        <f t="shared" si="10"/>
        <v>-3.7286117284380582E-2</v>
      </c>
      <c r="L92" s="7"/>
    </row>
    <row r="93" spans="1:12" x14ac:dyDescent="0.25">
      <c r="A93" s="2" t="s">
        <v>312</v>
      </c>
      <c r="B93" s="7">
        <v>-1.9032978295083769E-3</v>
      </c>
      <c r="C93" s="7">
        <v>-2.7124240816086553E-3</v>
      </c>
      <c r="D93" s="7">
        <v>8.4269662921347965E-3</v>
      </c>
      <c r="E93" s="7">
        <v>1.2222151858653607E-2</v>
      </c>
      <c r="F93" s="7">
        <v>-1.6556900387101336E-2</v>
      </c>
      <c r="G93" s="7"/>
      <c r="H93" s="7">
        <f t="shared" si="7"/>
        <v>1.465360255759296E-2</v>
      </c>
      <c r="I93" s="7">
        <f t="shared" si="8"/>
        <v>1.3844476305492681E-2</v>
      </c>
      <c r="J93" s="7">
        <f t="shared" si="9"/>
        <v>2.4983866679236133E-2</v>
      </c>
      <c r="K93" s="7">
        <f t="shared" si="10"/>
        <v>2.8779052245754944E-2</v>
      </c>
      <c r="L93" s="7"/>
    </row>
    <row r="94" spans="1:12" x14ac:dyDescent="0.25">
      <c r="A94" s="2" t="s">
        <v>313</v>
      </c>
      <c r="B94" s="7">
        <v>-6.4729626531875306E-3</v>
      </c>
      <c r="C94" s="7">
        <v>1.4294258373205748E-2</v>
      </c>
      <c r="D94" s="7">
        <v>1.1363636363636465E-2</v>
      </c>
      <c r="E94" s="7">
        <v>-1.797263681592054E-2</v>
      </c>
      <c r="F94" s="7">
        <v>6.2950861813360071E-4</v>
      </c>
      <c r="G94" s="7"/>
      <c r="H94" s="7">
        <f t="shared" si="7"/>
        <v>-7.1024712713211313E-3</v>
      </c>
      <c r="I94" s="7">
        <f t="shared" si="8"/>
        <v>1.3664749755072148E-2</v>
      </c>
      <c r="J94" s="7">
        <f t="shared" si="9"/>
        <v>1.0734127745502864E-2</v>
      </c>
      <c r="K94" s="7">
        <f t="shared" si="10"/>
        <v>-1.860214543405414E-2</v>
      </c>
      <c r="L94" s="7"/>
    </row>
    <row r="95" spans="1:12" x14ac:dyDescent="0.25">
      <c r="A95" s="2" t="s">
        <v>314</v>
      </c>
      <c r="B95" s="7">
        <v>2.1584070138940481E-2</v>
      </c>
      <c r="C95" s="7">
        <v>5.9563203176702384E-3</v>
      </c>
      <c r="D95" s="7">
        <v>-5.6497175141243527E-3</v>
      </c>
      <c r="E95" s="7">
        <v>-3.0682982699378969E-2</v>
      </c>
      <c r="F95" s="7">
        <v>2.0753963084874094E-3</v>
      </c>
      <c r="G95" s="7"/>
      <c r="H95" s="7">
        <f t="shared" si="7"/>
        <v>1.9508673830453072E-2</v>
      </c>
      <c r="I95" s="7">
        <f t="shared" si="8"/>
        <v>3.880924009182829E-3</v>
      </c>
      <c r="J95" s="7">
        <f t="shared" si="9"/>
        <v>-7.7251138226117622E-3</v>
      </c>
      <c r="K95" s="7">
        <f t="shared" si="10"/>
        <v>-3.2758379007866378E-2</v>
      </c>
      <c r="L95" s="7"/>
    </row>
    <row r="96" spans="1:12" x14ac:dyDescent="0.25">
      <c r="A96" s="2" t="s">
        <v>22</v>
      </c>
      <c r="B96" s="7">
        <v>4.5529183460220057E-3</v>
      </c>
      <c r="C96" s="7">
        <v>1.719706242350072E-2</v>
      </c>
      <c r="D96" s="7">
        <v>2.608695652173898E-2</v>
      </c>
      <c r="E96" s="7">
        <v>-2.7053023926897346E-3</v>
      </c>
      <c r="F96" s="7">
        <v>1.5400963024610581E-2</v>
      </c>
      <c r="G96" s="7"/>
      <c r="H96" s="7">
        <f t="shared" si="7"/>
        <v>-1.0848044678588575E-2</v>
      </c>
      <c r="I96" s="7">
        <f t="shared" si="8"/>
        <v>1.7960993988901386E-3</v>
      </c>
      <c r="J96" s="7">
        <f t="shared" si="9"/>
        <v>1.0685993497128399E-2</v>
      </c>
      <c r="K96" s="7">
        <f t="shared" si="10"/>
        <v>-1.8106265417300316E-2</v>
      </c>
      <c r="L96" s="7"/>
    </row>
    <row r="97" spans="1:12" x14ac:dyDescent="0.25">
      <c r="A97" s="2" t="s">
        <v>315</v>
      </c>
      <c r="B97" s="7">
        <v>-4.8280472405853869E-3</v>
      </c>
      <c r="C97" s="7">
        <v>6.0337396872307547E-3</v>
      </c>
      <c r="D97" s="7">
        <v>-8.6206896551723755E-3</v>
      </c>
      <c r="E97" s="7">
        <v>-7.5771135373784437E-3</v>
      </c>
      <c r="F97" s="7">
        <v>1.2618446740633171E-3</v>
      </c>
      <c r="G97" s="7"/>
      <c r="H97" s="7">
        <f t="shared" si="7"/>
        <v>-6.0898919146487041E-3</v>
      </c>
      <c r="I97" s="7">
        <f t="shared" si="8"/>
        <v>4.7718950131674376E-3</v>
      </c>
      <c r="J97" s="7">
        <f t="shared" si="9"/>
        <v>-9.8825343292356926E-3</v>
      </c>
      <c r="K97" s="7">
        <f t="shared" si="10"/>
        <v>-8.8389582114417609E-3</v>
      </c>
      <c r="L97" s="7"/>
    </row>
    <row r="98" spans="1:12" x14ac:dyDescent="0.25">
      <c r="A98" s="2" t="s">
        <v>316</v>
      </c>
      <c r="B98" s="7">
        <v>-1.3722508622927565E-3</v>
      </c>
      <c r="C98" s="7">
        <v>-2.885382773650913E-3</v>
      </c>
      <c r="D98" s="7">
        <v>5.7803468208093012E-3</v>
      </c>
      <c r="E98" s="7">
        <v>1.6927557335274956E-2</v>
      </c>
      <c r="F98" s="7">
        <v>-1.1178157494750818E-2</v>
      </c>
      <c r="G98" s="7"/>
      <c r="H98" s="7">
        <f t="shared" si="7"/>
        <v>9.8059066324580613E-3</v>
      </c>
      <c r="I98" s="7">
        <f t="shared" si="8"/>
        <v>8.2927747210999048E-3</v>
      </c>
      <c r="J98" s="7">
        <f t="shared" si="9"/>
        <v>1.6958504315560119E-2</v>
      </c>
      <c r="K98" s="7">
        <f t="shared" si="10"/>
        <v>2.8105714830025774E-2</v>
      </c>
      <c r="L98" s="7"/>
    </row>
    <row r="99" spans="1:12" x14ac:dyDescent="0.25">
      <c r="A99" s="2" t="s">
        <v>317</v>
      </c>
      <c r="B99" s="7">
        <v>3.7101621340851487E-4</v>
      </c>
      <c r="C99" s="7">
        <v>2.3242665996607847E-2</v>
      </c>
      <c r="D99" s="7">
        <v>1.4662756598240456E-2</v>
      </c>
      <c r="E99" s="7">
        <v>3.1649421789408105E-3</v>
      </c>
      <c r="F99" s="7">
        <v>3.6535209811638936E-3</v>
      </c>
      <c r="G99" s="7"/>
      <c r="H99" s="7">
        <f t="shared" si="7"/>
        <v>-3.2825047677553787E-3</v>
      </c>
      <c r="I99" s="7">
        <f t="shared" si="8"/>
        <v>1.9589145015443954E-2</v>
      </c>
      <c r="J99" s="7">
        <f t="shared" si="9"/>
        <v>1.1009235617076563E-2</v>
      </c>
      <c r="K99" s="7">
        <f t="shared" si="10"/>
        <v>-4.8857880222308303E-4</v>
      </c>
      <c r="L99" s="7"/>
    </row>
    <row r="100" spans="1:12" x14ac:dyDescent="0.25">
      <c r="A100" s="2" t="s">
        <v>318</v>
      </c>
      <c r="B100" s="7">
        <v>3.6866016235941323E-3</v>
      </c>
      <c r="C100" s="7">
        <v>-9.8277041736642978E-3</v>
      </c>
      <c r="D100" s="7">
        <v>-3.125E-2</v>
      </c>
      <c r="E100" s="7">
        <v>-2.0215874530383315E-2</v>
      </c>
      <c r="F100" s="7">
        <v>-1.1736770592982726E-2</v>
      </c>
      <c r="G100" s="7"/>
      <c r="H100" s="7">
        <f t="shared" si="7"/>
        <v>1.5423372216576858E-2</v>
      </c>
      <c r="I100" s="7">
        <f t="shared" si="8"/>
        <v>1.9090664193184281E-3</v>
      </c>
      <c r="J100" s="7">
        <f t="shared" si="9"/>
        <v>-1.9513229407017274E-2</v>
      </c>
      <c r="K100" s="7">
        <f t="shared" si="10"/>
        <v>-8.4791039374005894E-3</v>
      </c>
      <c r="L100" s="7"/>
    </row>
    <row r="101" spans="1:12" x14ac:dyDescent="0.25">
      <c r="A101" s="2" t="s">
        <v>23</v>
      </c>
      <c r="B101" s="7">
        <v>-4.8914251834284439E-3</v>
      </c>
      <c r="C101" s="7">
        <v>-2.5931535898212621E-2</v>
      </c>
      <c r="D101" s="7">
        <v>-1.4005602240896309E-2</v>
      </c>
      <c r="E101" s="7">
        <v>-1.6076981752038977E-2</v>
      </c>
      <c r="F101" s="7">
        <v>1.7207099207625642E-3</v>
      </c>
      <c r="G101" s="7"/>
      <c r="H101" s="7">
        <f t="shared" si="7"/>
        <v>-6.6121351041910081E-3</v>
      </c>
      <c r="I101" s="7">
        <f t="shared" si="8"/>
        <v>-2.7652245818975185E-2</v>
      </c>
      <c r="J101" s="7">
        <f t="shared" si="9"/>
        <v>-1.5726312161658873E-2</v>
      </c>
      <c r="K101" s="7">
        <f t="shared" si="10"/>
        <v>-1.7797691672801541E-2</v>
      </c>
      <c r="L101" s="7"/>
    </row>
    <row r="102" spans="1:12" x14ac:dyDescent="0.25">
      <c r="A102" s="2" t="s">
        <v>319</v>
      </c>
      <c r="B102" s="7">
        <v>-3.7655050206732987E-3</v>
      </c>
      <c r="C102" s="7">
        <v>3.0303030303047152E-4</v>
      </c>
      <c r="D102" s="7">
        <v>2.8089887640447841E-3</v>
      </c>
      <c r="E102" s="7">
        <v>-2.0123038003794669E-2</v>
      </c>
      <c r="F102" s="7">
        <v>2.6178701149457417E-3</v>
      </c>
      <c r="G102" s="7"/>
      <c r="H102" s="7">
        <f t="shared" si="7"/>
        <v>-6.3833751356190405E-3</v>
      </c>
      <c r="I102" s="7">
        <f t="shared" si="8"/>
        <v>-2.3148398119152702E-3</v>
      </c>
      <c r="J102" s="7">
        <f t="shared" si="9"/>
        <v>1.9111864909904241E-4</v>
      </c>
      <c r="K102" s="7">
        <f t="shared" si="10"/>
        <v>-2.2740908118740411E-2</v>
      </c>
      <c r="L102" s="7"/>
    </row>
    <row r="103" spans="1:12" x14ac:dyDescent="0.25">
      <c r="A103" s="2" t="s">
        <v>320</v>
      </c>
      <c r="B103" s="7">
        <v>6.2780935398789595E-3</v>
      </c>
      <c r="C103" s="7">
        <v>1.1091365892518024E-2</v>
      </c>
      <c r="D103" s="7">
        <v>-8.3565459610027704E-3</v>
      </c>
      <c r="E103" s="7">
        <v>-3.3561149080402197E-2</v>
      </c>
      <c r="F103" s="7">
        <v>-9.9048122149192341E-3</v>
      </c>
      <c r="G103" s="7"/>
      <c r="H103" s="7">
        <f t="shared" si="7"/>
        <v>1.6182905754798194E-2</v>
      </c>
      <c r="I103" s="7">
        <f t="shared" si="8"/>
        <v>2.0996178107437258E-2</v>
      </c>
      <c r="J103" s="7">
        <f t="shared" si="9"/>
        <v>1.5482662539164638E-3</v>
      </c>
      <c r="K103" s="7">
        <f t="shared" si="10"/>
        <v>-2.3656336865482963E-2</v>
      </c>
      <c r="L103" s="7"/>
    </row>
    <row r="104" spans="1:12" x14ac:dyDescent="0.25">
      <c r="A104" s="2" t="s">
        <v>321</v>
      </c>
      <c r="B104" s="7">
        <v>2.6071734515251688E-3</v>
      </c>
      <c r="C104" s="7">
        <v>-1.3182560319284109E-2</v>
      </c>
      <c r="D104" s="7">
        <v>0</v>
      </c>
      <c r="E104" s="7">
        <v>1.839067451335441E-2</v>
      </c>
      <c r="F104" s="7">
        <v>-4.3535740666289513E-5</v>
      </c>
      <c r="G104" s="7"/>
      <c r="H104" s="7">
        <f t="shared" si="7"/>
        <v>2.6507091921914583E-3</v>
      </c>
      <c r="I104" s="7">
        <f t="shared" si="8"/>
        <v>-1.3139024578617819E-2</v>
      </c>
      <c r="J104" s="7">
        <f t="shared" si="9"/>
        <v>4.3535740666289513E-5</v>
      </c>
      <c r="K104" s="7">
        <f t="shared" si="10"/>
        <v>1.84342102540207E-2</v>
      </c>
      <c r="L104" s="7"/>
    </row>
    <row r="105" spans="1:12" x14ac:dyDescent="0.25">
      <c r="A105" s="2" t="s">
        <v>322</v>
      </c>
      <c r="B105" s="7">
        <v>7.0816250465899344E-4</v>
      </c>
      <c r="C105" s="7">
        <v>-9.3452345294434691E-3</v>
      </c>
      <c r="D105" s="7">
        <v>3.4582132564841439E-2</v>
      </c>
      <c r="E105" s="7">
        <v>-1.5213151295625504E-2</v>
      </c>
      <c r="F105" s="7">
        <v>2.2879467532392894E-3</v>
      </c>
      <c r="G105" s="7"/>
      <c r="H105" s="7">
        <f t="shared" si="7"/>
        <v>-1.579784248580296E-3</v>
      </c>
      <c r="I105" s="7">
        <f t="shared" si="8"/>
        <v>-1.1633181282682759E-2</v>
      </c>
      <c r="J105" s="7">
        <f t="shared" si="9"/>
        <v>3.229418581160215E-2</v>
      </c>
      <c r="K105" s="7">
        <f t="shared" si="10"/>
        <v>-1.7501098048864794E-2</v>
      </c>
      <c r="L105" s="7"/>
    </row>
    <row r="106" spans="1:12" x14ac:dyDescent="0.25">
      <c r="A106" s="2" t="s">
        <v>24</v>
      </c>
      <c r="B106" s="7">
        <v>2.2796584324489277E-2</v>
      </c>
      <c r="C106" s="7">
        <v>-5.9869484523733529E-4</v>
      </c>
      <c r="D106" s="7">
        <v>2.8901734104047616E-3</v>
      </c>
      <c r="E106" s="7">
        <v>2.718946765884378E-2</v>
      </c>
      <c r="F106" s="7">
        <v>1.2290019126314666E-2</v>
      </c>
      <c r="G106" s="7"/>
      <c r="H106" s="7">
        <f t="shared" si="7"/>
        <v>1.0506565198174611E-2</v>
      </c>
      <c r="I106" s="7">
        <f t="shared" si="8"/>
        <v>-1.2888713971552002E-2</v>
      </c>
      <c r="J106" s="7">
        <f t="shared" si="9"/>
        <v>-9.3998457159099047E-3</v>
      </c>
      <c r="K106" s="7">
        <f t="shared" si="10"/>
        <v>1.4899448532529114E-2</v>
      </c>
      <c r="L106" s="7"/>
    </row>
    <row r="107" spans="1:12" x14ac:dyDescent="0.25">
      <c r="A107" s="2" t="s">
        <v>323</v>
      </c>
      <c r="B107" s="7">
        <v>1.2466710409510195E-2</v>
      </c>
      <c r="C107" s="7">
        <v>-1.8048206937095745E-2</v>
      </c>
      <c r="D107" s="7">
        <v>5.8139534883721034E-3</v>
      </c>
      <c r="E107" s="7">
        <v>1.6288539848749117E-2</v>
      </c>
      <c r="F107" s="7">
        <v>7.9024225191588471E-3</v>
      </c>
      <c r="G107" s="7"/>
      <c r="H107" s="7">
        <f t="shared" si="7"/>
        <v>4.5642878903513484E-3</v>
      </c>
      <c r="I107" s="7">
        <f t="shared" si="8"/>
        <v>-2.5950629456254592E-2</v>
      </c>
      <c r="J107" s="7">
        <f t="shared" si="9"/>
        <v>-2.0884690307867437E-3</v>
      </c>
      <c r="K107" s="7">
        <f t="shared" si="10"/>
        <v>8.3861173295902702E-3</v>
      </c>
      <c r="L107" s="7"/>
    </row>
    <row r="108" spans="1:12" x14ac:dyDescent="0.25">
      <c r="A108" s="2" t="s">
        <v>324</v>
      </c>
      <c r="B108" s="7">
        <v>4.3805241122654159E-3</v>
      </c>
      <c r="C108" s="7">
        <v>2.6120528443023261E-2</v>
      </c>
      <c r="D108" s="7">
        <v>1.1764705882352899E-2</v>
      </c>
      <c r="E108" s="7">
        <v>3.6416254672615445E-2</v>
      </c>
      <c r="F108" s="7">
        <v>5.8273875272412123E-3</v>
      </c>
      <c r="G108" s="7"/>
      <c r="H108" s="7">
        <f t="shared" si="7"/>
        <v>-1.4468634149757964E-3</v>
      </c>
      <c r="I108" s="7">
        <f t="shared" si="8"/>
        <v>2.0293140915782049E-2</v>
      </c>
      <c r="J108" s="7">
        <f t="shared" si="9"/>
        <v>5.937318355111687E-3</v>
      </c>
      <c r="K108" s="7">
        <f t="shared" si="10"/>
        <v>3.0588867145374232E-2</v>
      </c>
      <c r="L108" s="7"/>
    </row>
    <row r="109" spans="1:12" x14ac:dyDescent="0.25">
      <c r="A109" s="2" t="s">
        <v>325</v>
      </c>
      <c r="B109" s="7">
        <v>-1.643344644831668E-2</v>
      </c>
      <c r="C109" s="7">
        <v>3.5111084206067567E-3</v>
      </c>
      <c r="D109" s="7">
        <v>8.9020771513352859E-3</v>
      </c>
      <c r="E109" s="7">
        <v>-4.8599028019438162E-3</v>
      </c>
      <c r="F109" s="7">
        <v>-5.3375103001329638E-3</v>
      </c>
      <c r="G109" s="7"/>
      <c r="H109" s="7">
        <f t="shared" si="7"/>
        <v>-1.1095936148183716E-2</v>
      </c>
      <c r="I109" s="7">
        <f t="shared" si="8"/>
        <v>8.8486187207397204E-3</v>
      </c>
      <c r="J109" s="7">
        <f t="shared" si="9"/>
        <v>1.423958745146825E-2</v>
      </c>
      <c r="K109" s="7">
        <f t="shared" si="10"/>
        <v>4.7760749818914761E-4</v>
      </c>
      <c r="L109" s="7"/>
    </row>
    <row r="110" spans="1:12" x14ac:dyDescent="0.25">
      <c r="A110" s="2" t="s">
        <v>326</v>
      </c>
      <c r="B110" s="7">
        <v>2.0249102162450683E-3</v>
      </c>
      <c r="C110" s="7">
        <v>7.6647331030437194E-2</v>
      </c>
      <c r="D110" s="7">
        <v>-1.7492711370262426E-2</v>
      </c>
      <c r="E110" s="7">
        <v>-3.9199861647547185E-2</v>
      </c>
      <c r="F110" s="7">
        <v>3.2664551389505192E-5</v>
      </c>
      <c r="G110" s="7"/>
      <c r="H110" s="7">
        <f t="shared" si="7"/>
        <v>1.9922456648555631E-3</v>
      </c>
      <c r="I110" s="7">
        <f t="shared" si="8"/>
        <v>7.6614666479047688E-2</v>
      </c>
      <c r="J110" s="7">
        <f t="shared" si="9"/>
        <v>-1.7525375921651931E-2</v>
      </c>
      <c r="K110" s="7">
        <f t="shared" si="10"/>
        <v>-3.923252619893669E-2</v>
      </c>
      <c r="L110" s="7"/>
    </row>
    <row r="111" spans="1:12" x14ac:dyDescent="0.25">
      <c r="A111" s="2" t="s">
        <v>25</v>
      </c>
      <c r="B111" s="7">
        <v>3.9434494261546327E-2</v>
      </c>
      <c r="C111" s="7">
        <v>1.4010970854537064E-2</v>
      </c>
      <c r="D111" s="7">
        <v>1.7804154302670572E-2</v>
      </c>
      <c r="E111" s="7">
        <v>3.8431607303202497E-2</v>
      </c>
      <c r="F111" s="7">
        <v>1.0672252892777845E-2</v>
      </c>
      <c r="G111" s="7"/>
      <c r="H111" s="7">
        <f t="shared" si="7"/>
        <v>2.8762241368768482E-2</v>
      </c>
      <c r="I111" s="7">
        <f t="shared" si="8"/>
        <v>3.3387179617592189E-3</v>
      </c>
      <c r="J111" s="7">
        <f t="shared" si="9"/>
        <v>7.1319014098927269E-3</v>
      </c>
      <c r="K111" s="7">
        <f t="shared" si="10"/>
        <v>2.7759354410424653E-2</v>
      </c>
      <c r="L111" s="7"/>
    </row>
    <row r="112" spans="1:12" x14ac:dyDescent="0.25">
      <c r="A112" s="2" t="s">
        <v>327</v>
      </c>
      <c r="B112" s="7">
        <v>1.9556239371609108E-2</v>
      </c>
      <c r="C112" s="7">
        <v>8.1284562595775878E-3</v>
      </c>
      <c r="D112" s="7">
        <v>2.7439024390244038E-2</v>
      </c>
      <c r="E112" s="7">
        <v>1.1872312072203073E-2</v>
      </c>
      <c r="F112" s="7">
        <v>5.270724249404557E-3</v>
      </c>
      <c r="G112" s="7"/>
      <c r="H112" s="7">
        <f t="shared" si="7"/>
        <v>1.4285515122204551E-2</v>
      </c>
      <c r="I112" s="7">
        <f t="shared" si="8"/>
        <v>2.8577320101730308E-3</v>
      </c>
      <c r="J112" s="7">
        <f t="shared" si="9"/>
        <v>2.2168300140839481E-2</v>
      </c>
      <c r="K112" s="7">
        <f t="shared" si="10"/>
        <v>6.6015878227985159E-3</v>
      </c>
      <c r="L112" s="7"/>
    </row>
    <row r="113" spans="1:12" x14ac:dyDescent="0.25">
      <c r="A113" s="2" t="s">
        <v>328</v>
      </c>
      <c r="B113" s="7">
        <v>-7.5943263551252471E-3</v>
      </c>
      <c r="C113" s="7">
        <v>-1.3409583908499223E-2</v>
      </c>
      <c r="D113" s="7">
        <v>3.7974683544303778E-2</v>
      </c>
      <c r="E113" s="7">
        <v>-4.9424386715688495E-3</v>
      </c>
      <c r="F113" s="7">
        <v>-6.2943520220175575E-3</v>
      </c>
      <c r="G113" s="7"/>
      <c r="H113" s="7">
        <f t="shared" si="7"/>
        <v>-1.2999743331076896E-3</v>
      </c>
      <c r="I113" s="7">
        <f t="shared" si="8"/>
        <v>-7.1152318864816655E-3</v>
      </c>
      <c r="J113" s="7">
        <f t="shared" si="9"/>
        <v>4.4269035566321335E-2</v>
      </c>
      <c r="K113" s="7">
        <f t="shared" si="10"/>
        <v>1.351913350448708E-3</v>
      </c>
      <c r="L113" s="7"/>
    </row>
    <row r="114" spans="1:12" x14ac:dyDescent="0.25">
      <c r="A114" s="2" t="s">
        <v>329</v>
      </c>
      <c r="B114" s="7">
        <v>6.3485644965628474E-3</v>
      </c>
      <c r="C114" s="7">
        <v>6.1507936507936289E-3</v>
      </c>
      <c r="D114" s="7">
        <v>2.5974025974025983E-2</v>
      </c>
      <c r="E114" s="7">
        <v>1.872774161856805E-2</v>
      </c>
      <c r="F114" s="7">
        <v>4.0260011950075114E-3</v>
      </c>
      <c r="G114" s="7"/>
      <c r="H114" s="7">
        <f t="shared" si="7"/>
        <v>2.322563301555336E-3</v>
      </c>
      <c r="I114" s="7">
        <f t="shared" si="8"/>
        <v>2.1247924557861175E-3</v>
      </c>
      <c r="J114" s="7">
        <f t="shared" si="9"/>
        <v>2.1948024779018471E-2</v>
      </c>
      <c r="K114" s="7">
        <f t="shared" si="10"/>
        <v>1.4701740423560539E-2</v>
      </c>
      <c r="L114" s="7"/>
    </row>
    <row r="115" spans="1:12" x14ac:dyDescent="0.25">
      <c r="A115" s="2" t="s">
        <v>330</v>
      </c>
      <c r="B115" s="7">
        <v>4.4500182046203207E-4</v>
      </c>
      <c r="C115" s="7">
        <v>9.4805715048738026E-3</v>
      </c>
      <c r="D115" s="7">
        <v>-1.5974440894568676E-2</v>
      </c>
      <c r="E115" s="7">
        <v>-2.3679635513458308E-2</v>
      </c>
      <c r="F115" s="7">
        <v>-1.5643032313906735E-3</v>
      </c>
      <c r="G115" s="7"/>
      <c r="H115" s="7">
        <f t="shared" si="7"/>
        <v>2.0093050518527056E-3</v>
      </c>
      <c r="I115" s="7">
        <f t="shared" si="8"/>
        <v>1.1044874736264476E-2</v>
      </c>
      <c r="J115" s="7">
        <f t="shared" si="9"/>
        <v>-1.4410137663178002E-2</v>
      </c>
      <c r="K115" s="7">
        <f t="shared" si="10"/>
        <v>-2.2115332282067635E-2</v>
      </c>
      <c r="L115" s="7"/>
    </row>
    <row r="116" spans="1:12" x14ac:dyDescent="0.25">
      <c r="A116" s="2" t="s">
        <v>26</v>
      </c>
      <c r="B116" s="7">
        <v>9.7630718954246909E-3</v>
      </c>
      <c r="C116" s="7">
        <v>1.5801966768396181E-2</v>
      </c>
      <c r="D116" s="7">
        <v>3.2051282051281937E-3</v>
      </c>
      <c r="E116" s="7">
        <v>4.9053518646626104E-2</v>
      </c>
      <c r="F116" s="7">
        <v>1.5598602672868944E-2</v>
      </c>
      <c r="G116" s="7"/>
      <c r="H116" s="7">
        <f t="shared" si="7"/>
        <v>-5.8355307774442533E-3</v>
      </c>
      <c r="I116" s="7">
        <f t="shared" si="8"/>
        <v>2.0336409552723644E-4</v>
      </c>
      <c r="J116" s="7">
        <f t="shared" si="9"/>
        <v>-1.239347446774075E-2</v>
      </c>
      <c r="K116" s="7">
        <f t="shared" si="10"/>
        <v>3.345491597375716E-2</v>
      </c>
      <c r="L116" s="7"/>
    </row>
    <row r="117" spans="1:12" x14ac:dyDescent="0.25">
      <c r="A117" s="2" t="s">
        <v>331</v>
      </c>
      <c r="B117" s="7">
        <v>-3.4548035967818191E-2</v>
      </c>
      <c r="C117" s="7">
        <v>-2.7053777631145026E-2</v>
      </c>
      <c r="D117" s="7">
        <v>-2.5000000000000022E-2</v>
      </c>
      <c r="E117" s="7">
        <v>-8.4465684016582276E-2</v>
      </c>
      <c r="F117" s="7">
        <v>-2.7111658161485086E-2</v>
      </c>
      <c r="G117" s="7"/>
      <c r="H117" s="7">
        <f t="shared" si="7"/>
        <v>-7.4363778063331054E-3</v>
      </c>
      <c r="I117" s="7">
        <f t="shared" si="8"/>
        <v>5.7880530340059799E-5</v>
      </c>
      <c r="J117" s="7">
        <f t="shared" si="9"/>
        <v>2.1116581614850638E-3</v>
      </c>
      <c r="K117" s="7">
        <f t="shared" si="10"/>
        <v>-5.735402585509719E-2</v>
      </c>
      <c r="L117" s="7"/>
    </row>
    <row r="118" spans="1:12" x14ac:dyDescent="0.25">
      <c r="A118" s="2" t="s">
        <v>332</v>
      </c>
      <c r="B118" s="7">
        <v>-1.5568583297744243E-2</v>
      </c>
      <c r="C118" s="7">
        <v>-1.9981893429901532E-2</v>
      </c>
      <c r="D118" s="7">
        <v>1.9108280254777066E-2</v>
      </c>
      <c r="E118" s="7">
        <v>-4.1077738515901019E-2</v>
      </c>
      <c r="F118" s="7">
        <v>-2.755518440207827E-3</v>
      </c>
      <c r="G118" s="7"/>
      <c r="H118" s="7">
        <f t="shared" si="7"/>
        <v>-1.2813064857536416E-2</v>
      </c>
      <c r="I118" s="7">
        <f t="shared" si="8"/>
        <v>-1.7226374989693705E-2</v>
      </c>
      <c r="J118" s="7">
        <f t="shared" si="9"/>
        <v>2.1863798694984893E-2</v>
      </c>
      <c r="K118" s="7">
        <f t="shared" si="10"/>
        <v>-3.8322220075693192E-2</v>
      </c>
      <c r="L118" s="7"/>
    </row>
    <row r="119" spans="1:12" x14ac:dyDescent="0.25">
      <c r="A119" s="2" t="s">
        <v>333</v>
      </c>
      <c r="B119" s="7">
        <v>6.172116098285052E-3</v>
      </c>
      <c r="C119" s="7">
        <v>4.3514970448788048E-3</v>
      </c>
      <c r="D119" s="7">
        <v>0</v>
      </c>
      <c r="E119" s="7">
        <v>-1.1581095240721373E-3</v>
      </c>
      <c r="F119" s="7">
        <v>5.8276082381798489E-3</v>
      </c>
      <c r="G119" s="7"/>
      <c r="H119" s="7">
        <f t="shared" si="7"/>
        <v>3.4450786010520318E-4</v>
      </c>
      <c r="I119" s="7">
        <f t="shared" si="8"/>
        <v>-1.476111193301044E-3</v>
      </c>
      <c r="J119" s="7">
        <f t="shared" si="9"/>
        <v>-5.8276082381798489E-3</v>
      </c>
      <c r="K119" s="7">
        <f t="shared" si="10"/>
        <v>-6.9857177622519862E-3</v>
      </c>
      <c r="L119" s="7"/>
    </row>
    <row r="120" spans="1:12" x14ac:dyDescent="0.25">
      <c r="A120" s="2" t="s">
        <v>334</v>
      </c>
      <c r="B120" s="7">
        <v>-8.1967213114741977E-4</v>
      </c>
      <c r="C120" s="7">
        <v>-3.8817364300963719E-3</v>
      </c>
      <c r="D120" s="7">
        <v>-1.5673981191222541E-2</v>
      </c>
      <c r="E120" s="7">
        <v>-3.1460314069009621E-2</v>
      </c>
      <c r="F120" s="7">
        <v>-3.8114143626080121E-3</v>
      </c>
      <c r="G120" s="7"/>
      <c r="H120" s="7">
        <f t="shared" si="7"/>
        <v>2.9917422314605924E-3</v>
      </c>
      <c r="I120" s="7">
        <f t="shared" si="8"/>
        <v>-7.0322067488359785E-5</v>
      </c>
      <c r="J120" s="7">
        <f t="shared" si="9"/>
        <v>-1.1862566828614529E-2</v>
      </c>
      <c r="K120" s="7">
        <f t="shared" si="10"/>
        <v>-2.7648899706401608E-2</v>
      </c>
      <c r="L120" s="7"/>
    </row>
    <row r="121" spans="1:12" x14ac:dyDescent="0.25">
      <c r="A121" s="2" t="s">
        <v>27</v>
      </c>
      <c r="B121" s="7">
        <v>-5.1644468605598348E-3</v>
      </c>
      <c r="C121" s="7">
        <v>-1.7230417090539185E-2</v>
      </c>
      <c r="D121" s="7">
        <v>-1.2383900928792602E-2</v>
      </c>
      <c r="E121" s="7">
        <v>-4.3078232196990252E-3</v>
      </c>
      <c r="F121" s="7">
        <v>3.6466298082578064E-3</v>
      </c>
      <c r="G121" s="7"/>
      <c r="H121" s="7">
        <f t="shared" si="7"/>
        <v>-8.8110766688176412E-3</v>
      </c>
      <c r="I121" s="7">
        <f t="shared" si="8"/>
        <v>-2.0877046898796991E-2</v>
      </c>
      <c r="J121" s="7">
        <f t="shared" si="9"/>
        <v>-1.6030530737050408E-2</v>
      </c>
      <c r="K121" s="7">
        <f t="shared" si="10"/>
        <v>-7.9544530279568315E-3</v>
      </c>
      <c r="L121" s="7"/>
    </row>
    <row r="122" spans="1:12" x14ac:dyDescent="0.25">
      <c r="A122" s="2" t="s">
        <v>335</v>
      </c>
      <c r="B122" s="7">
        <v>3.4678927680797944E-3</v>
      </c>
      <c r="C122" s="7">
        <v>-8.2586875039702967E-4</v>
      </c>
      <c r="D122" s="7">
        <v>0</v>
      </c>
      <c r="E122" s="7">
        <v>-6.9187704658286719E-3</v>
      </c>
      <c r="F122" s="7">
        <v>6.552152903416264E-5</v>
      </c>
      <c r="G122" s="7"/>
      <c r="H122" s="7">
        <f t="shared" si="7"/>
        <v>3.4023712390456318E-3</v>
      </c>
      <c r="I122" s="7">
        <f t="shared" si="8"/>
        <v>-8.9139027943119231E-4</v>
      </c>
      <c r="J122" s="7">
        <f t="shared" si="9"/>
        <v>-6.552152903416264E-5</v>
      </c>
      <c r="K122" s="7">
        <f t="shared" si="10"/>
        <v>-6.9842919948628346E-3</v>
      </c>
      <c r="L122" s="7"/>
    </row>
    <row r="123" spans="1:12" x14ac:dyDescent="0.25">
      <c r="A123" s="2" t="s">
        <v>336</v>
      </c>
      <c r="B123" s="7">
        <v>6.589268904926282E-3</v>
      </c>
      <c r="C123" s="7">
        <v>1.7912571132953969E-2</v>
      </c>
      <c r="D123" s="7">
        <v>-6.1538461538461764E-3</v>
      </c>
      <c r="E123" s="7">
        <v>3.5890141153299027E-2</v>
      </c>
      <c r="F123" s="7">
        <v>6.1836929312208966E-4</v>
      </c>
      <c r="G123" s="7"/>
      <c r="H123" s="7">
        <f t="shared" si="7"/>
        <v>5.9708996118041924E-3</v>
      </c>
      <c r="I123" s="7">
        <f t="shared" si="8"/>
        <v>1.729420183983188E-2</v>
      </c>
      <c r="J123" s="7">
        <f t="shared" si="9"/>
        <v>-6.7722154469682661E-3</v>
      </c>
      <c r="K123" s="7">
        <f t="shared" si="10"/>
        <v>3.5271771860176937E-2</v>
      </c>
      <c r="L123" s="7"/>
    </row>
    <row r="124" spans="1:12" x14ac:dyDescent="0.25">
      <c r="A124" s="2" t="s">
        <v>337</v>
      </c>
      <c r="B124" s="7">
        <v>3.1870942356875265E-3</v>
      </c>
      <c r="C124" s="7">
        <v>5.2655528830525267E-3</v>
      </c>
      <c r="D124" s="7">
        <v>6.5573770491803351E-2</v>
      </c>
      <c r="E124" s="7">
        <v>2.2659878028310931E-2</v>
      </c>
      <c r="F124" s="7">
        <v>3.3998857734067744E-3</v>
      </c>
      <c r="G124" s="7"/>
      <c r="H124" s="7">
        <f t="shared" si="7"/>
        <v>-2.1279153771924797E-4</v>
      </c>
      <c r="I124" s="7">
        <f t="shared" si="8"/>
        <v>1.8656671096457522E-3</v>
      </c>
      <c r="J124" s="7">
        <f t="shared" si="9"/>
        <v>6.2173884718396577E-2</v>
      </c>
      <c r="K124" s="7">
        <f t="shared" si="10"/>
        <v>1.9259992254904157E-2</v>
      </c>
      <c r="L124" s="7"/>
    </row>
    <row r="125" spans="1:12" x14ac:dyDescent="0.25">
      <c r="A125" s="2" t="s">
        <v>338</v>
      </c>
      <c r="B125" s="7">
        <v>7.8755660563101237E-4</v>
      </c>
      <c r="C125" s="7">
        <v>7.1363100693990766E-3</v>
      </c>
      <c r="D125" s="7">
        <v>2.0066889632106788E-2</v>
      </c>
      <c r="E125" s="7">
        <v>-6.5036131183991985E-3</v>
      </c>
      <c r="F125" s="7">
        <v>4.0908483593822265E-3</v>
      </c>
      <c r="G125" s="7"/>
      <c r="H125" s="7">
        <f t="shared" si="7"/>
        <v>-3.3032917537512141E-3</v>
      </c>
      <c r="I125" s="7">
        <f t="shared" si="8"/>
        <v>3.0454617100168502E-3</v>
      </c>
      <c r="J125" s="7">
        <f t="shared" si="9"/>
        <v>1.5976041272724562E-2</v>
      </c>
      <c r="K125" s="7">
        <f t="shared" si="10"/>
        <v>-1.0594461477781425E-2</v>
      </c>
      <c r="L125" s="7"/>
    </row>
    <row r="126" spans="1:12" x14ac:dyDescent="0.25">
      <c r="A126" s="2" t="s">
        <v>28</v>
      </c>
      <c r="B126" s="7">
        <v>-4.0004706436052029E-3</v>
      </c>
      <c r="C126" s="7">
        <v>8.3179297597044677E-3</v>
      </c>
      <c r="D126" s="7">
        <v>-3.548387096774186E-2</v>
      </c>
      <c r="E126" s="7">
        <v>4.6477808155430234E-2</v>
      </c>
      <c r="F126" s="7">
        <v>2.6355795716241914E-3</v>
      </c>
      <c r="G126" s="7"/>
      <c r="H126" s="7">
        <f t="shared" si="7"/>
        <v>-6.6360502152293943E-3</v>
      </c>
      <c r="I126" s="7">
        <f t="shared" si="8"/>
        <v>5.6823501880802763E-3</v>
      </c>
      <c r="J126" s="7">
        <f t="shared" si="9"/>
        <v>-3.8119450539366051E-2</v>
      </c>
      <c r="K126" s="7">
        <f t="shared" si="10"/>
        <v>4.3842228583806042E-2</v>
      </c>
      <c r="L126" s="7"/>
    </row>
    <row r="127" spans="1:12" x14ac:dyDescent="0.25">
      <c r="A127" s="2" t="s">
        <v>339</v>
      </c>
      <c r="B127" s="7">
        <v>-5.4996489585771302E-3</v>
      </c>
      <c r="C127" s="7">
        <v>-1.3844023996308907E-3</v>
      </c>
      <c r="D127" s="7">
        <v>-3.215434083601254E-3</v>
      </c>
      <c r="E127" s="7">
        <v>-2.0288368382059607E-2</v>
      </c>
      <c r="F127" s="7">
        <v>5.9018398963164298E-3</v>
      </c>
      <c r="G127" s="7"/>
      <c r="H127" s="7">
        <f t="shared" si="7"/>
        <v>-1.140148885489356E-2</v>
      </c>
      <c r="I127" s="7">
        <f t="shared" si="8"/>
        <v>-7.2862422959473205E-3</v>
      </c>
      <c r="J127" s="7">
        <f t="shared" si="9"/>
        <v>-9.1172739799176838E-3</v>
      </c>
      <c r="K127" s="7">
        <f t="shared" si="10"/>
        <v>-2.6190208278376037E-2</v>
      </c>
      <c r="L127" s="7"/>
    </row>
    <row r="128" spans="1:12" x14ac:dyDescent="0.25">
      <c r="A128" s="2" t="s">
        <v>340</v>
      </c>
      <c r="B128" s="7">
        <v>1.8067744113092088E-2</v>
      </c>
      <c r="C128" s="7">
        <v>-1.0179445350734118E-2</v>
      </c>
      <c r="D128" s="7">
        <v>-2.8125000000000067E-2</v>
      </c>
      <c r="E128" s="7">
        <v>-5.4976195873951417E-3</v>
      </c>
      <c r="F128" s="7">
        <v>-5.0090615052493792E-3</v>
      </c>
      <c r="G128" s="7"/>
      <c r="H128" s="7">
        <f t="shared" si="7"/>
        <v>2.3076805618341467E-2</v>
      </c>
      <c r="I128" s="7">
        <f t="shared" si="8"/>
        <v>-5.1703838454847384E-3</v>
      </c>
      <c r="J128" s="7">
        <f t="shared" si="9"/>
        <v>-2.3115938494750687E-2</v>
      </c>
      <c r="K128" s="7">
        <f t="shared" si="10"/>
        <v>-4.8855808214576246E-4</v>
      </c>
      <c r="L128" s="7"/>
    </row>
    <row r="129" spans="1:12" x14ac:dyDescent="0.25">
      <c r="A129" s="2" t="s">
        <v>341</v>
      </c>
      <c r="B129" s="7">
        <v>-8.3481000196887756E-3</v>
      </c>
      <c r="C129" s="7">
        <v>-1.0843606790163385E-2</v>
      </c>
      <c r="D129" s="7">
        <v>-1.538461538461533E-2</v>
      </c>
      <c r="E129" s="7">
        <v>8.1922982585234116E-2</v>
      </c>
      <c r="F129" s="7">
        <v>-2.8466618195801541E-3</v>
      </c>
      <c r="G129" s="7"/>
      <c r="H129" s="7">
        <f t="shared" si="7"/>
        <v>-5.5014382001086215E-3</v>
      </c>
      <c r="I129" s="7">
        <f t="shared" si="8"/>
        <v>-7.9969449705832307E-3</v>
      </c>
      <c r="J129" s="7">
        <f t="shared" si="9"/>
        <v>-1.2537953565035176E-2</v>
      </c>
      <c r="K129" s="7">
        <f t="shared" si="10"/>
        <v>8.4769644404814271E-2</v>
      </c>
      <c r="L129" s="7"/>
    </row>
    <row r="130" spans="1:12" x14ac:dyDescent="0.25">
      <c r="A130" s="2" t="s">
        <v>342</v>
      </c>
      <c r="B130" s="7">
        <v>-6.4165264681717016E-3</v>
      </c>
      <c r="C130" s="7">
        <v>1.5801206399160828E-2</v>
      </c>
      <c r="D130" s="7">
        <v>3.833865814696491E-2</v>
      </c>
      <c r="E130" s="7">
        <v>-7.1232876712328252E-3</v>
      </c>
      <c r="F130" s="7">
        <v>-5.5021475256769037E-3</v>
      </c>
      <c r="G130" s="7"/>
      <c r="H130" s="7">
        <f t="shared" si="7"/>
        <v>-9.143789424947979E-4</v>
      </c>
      <c r="I130" s="7">
        <f t="shared" si="8"/>
        <v>2.1303353924837731E-2</v>
      </c>
      <c r="J130" s="7">
        <f t="shared" si="9"/>
        <v>4.3840805672641814E-2</v>
      </c>
      <c r="K130" s="7">
        <f t="shared" si="10"/>
        <v>-1.6211401455559216E-3</v>
      </c>
      <c r="L130" s="7"/>
    </row>
    <row r="131" spans="1:12" x14ac:dyDescent="0.25">
      <c r="A131" s="2" t="s">
        <v>29</v>
      </c>
      <c r="B131" s="7">
        <v>4.309676366159243E-2</v>
      </c>
      <c r="C131" s="7">
        <v>-1.7457965599433023E-2</v>
      </c>
      <c r="D131" s="7">
        <v>-9.493670886076E-3</v>
      </c>
      <c r="E131" s="7">
        <v>8.8446655610834313E-3</v>
      </c>
      <c r="F131" s="7">
        <v>4.4100258689507843E-3</v>
      </c>
      <c r="G131" s="7"/>
      <c r="H131" s="7">
        <f t="shared" ref="H131:H194" si="11">B131-$F131</f>
        <v>3.8686737792641646E-2</v>
      </c>
      <c r="I131" s="7">
        <f t="shared" ref="I131:I194" si="12">C131-$F131</f>
        <v>-2.1867991468383807E-2</v>
      </c>
      <c r="J131" s="7">
        <f t="shared" ref="J131:J194" si="13">D131-$F131</f>
        <v>-1.3903696755026784E-2</v>
      </c>
      <c r="K131" s="7">
        <f t="shared" ref="K131:K194" si="14">E131-$F131</f>
        <v>4.434639692132647E-3</v>
      </c>
      <c r="L131" s="7"/>
    </row>
    <row r="132" spans="1:12" x14ac:dyDescent="0.25">
      <c r="A132" s="2" t="s">
        <v>343</v>
      </c>
      <c r="B132" s="7">
        <v>3.2009434359600686E-2</v>
      </c>
      <c r="C132" s="7">
        <v>7.7252661646325382E-3</v>
      </c>
      <c r="D132" s="7">
        <v>-1.2499999999999956E-2</v>
      </c>
      <c r="E132" s="7">
        <v>2.0310192023633711E-3</v>
      </c>
      <c r="F132" s="7">
        <v>4.8854335671504323E-3</v>
      </c>
      <c r="G132" s="7"/>
      <c r="H132" s="7">
        <f t="shared" si="11"/>
        <v>2.7124000792450254E-2</v>
      </c>
      <c r="I132" s="7">
        <f t="shared" si="12"/>
        <v>2.8398325974821059E-3</v>
      </c>
      <c r="J132" s="7">
        <f t="shared" si="13"/>
        <v>-1.7385433567150388E-2</v>
      </c>
      <c r="K132" s="7">
        <f t="shared" si="14"/>
        <v>-2.8544143647870612E-3</v>
      </c>
      <c r="L132" s="7"/>
    </row>
    <row r="133" spans="1:12" x14ac:dyDescent="0.25">
      <c r="A133" s="2" t="s">
        <v>344</v>
      </c>
      <c r="B133" s="7">
        <v>-4.6533076213631785E-3</v>
      </c>
      <c r="C133" s="7">
        <v>1.495351407580614E-3</v>
      </c>
      <c r="D133" s="7">
        <v>-3.1152647975076775E-3</v>
      </c>
      <c r="E133" s="7">
        <v>-2.2206174399711176E-2</v>
      </c>
      <c r="F133" s="7">
        <v>4.7891399698500869E-3</v>
      </c>
      <c r="G133" s="7"/>
      <c r="H133" s="7">
        <f t="shared" si="11"/>
        <v>-9.4424475912132655E-3</v>
      </c>
      <c r="I133" s="7">
        <f t="shared" si="12"/>
        <v>-3.2937885622694729E-3</v>
      </c>
      <c r="J133" s="7">
        <f t="shared" si="13"/>
        <v>-7.9044047673577644E-3</v>
      </c>
      <c r="K133" s="7">
        <f t="shared" si="14"/>
        <v>-2.6995314369561263E-2</v>
      </c>
      <c r="L133" s="7"/>
    </row>
    <row r="134" spans="1:12" x14ac:dyDescent="0.25">
      <c r="A134" s="2" t="s">
        <v>345</v>
      </c>
      <c r="B134" s="7">
        <v>3.5338662179218439E-3</v>
      </c>
      <c r="C134" s="7">
        <v>-8.5089924579384579E-3</v>
      </c>
      <c r="D134" s="7">
        <v>3.2154340836012985E-2</v>
      </c>
      <c r="E134" s="7">
        <v>2.4412798224523691E-2</v>
      </c>
      <c r="F134" s="7">
        <v>-9.7021838238409153E-4</v>
      </c>
      <c r="G134" s="7"/>
      <c r="H134" s="7">
        <f t="shared" si="11"/>
        <v>4.5040846003059354E-3</v>
      </c>
      <c r="I134" s="7">
        <f t="shared" si="12"/>
        <v>-7.5387740755543664E-3</v>
      </c>
      <c r="J134" s="7">
        <f t="shared" si="13"/>
        <v>3.3124559218397076E-2</v>
      </c>
      <c r="K134" s="7">
        <f t="shared" si="14"/>
        <v>2.5383016606907782E-2</v>
      </c>
      <c r="L134" s="7"/>
    </row>
    <row r="135" spans="1:12" x14ac:dyDescent="0.25">
      <c r="A135" s="2" t="s">
        <v>346</v>
      </c>
      <c r="B135" s="7">
        <v>6.1375661375659973E-3</v>
      </c>
      <c r="C135" s="7">
        <v>-1.0303303496683736E-3</v>
      </c>
      <c r="D135" s="7">
        <v>-3.1152647975077885E-2</v>
      </c>
      <c r="E135" s="7">
        <v>2.6385725132877846E-2</v>
      </c>
      <c r="F135" s="7">
        <v>-1.2879273439672101E-3</v>
      </c>
      <c r="G135" s="7"/>
      <c r="H135" s="7">
        <f t="shared" si="11"/>
        <v>7.4254934815332074E-3</v>
      </c>
      <c r="I135" s="7">
        <f t="shared" si="12"/>
        <v>2.5759699429883653E-4</v>
      </c>
      <c r="J135" s="7">
        <f t="shared" si="13"/>
        <v>-2.9864720631110675E-2</v>
      </c>
      <c r="K135" s="7">
        <f t="shared" si="14"/>
        <v>2.7673652476845056E-2</v>
      </c>
      <c r="L135" s="7"/>
    </row>
    <row r="136" spans="1:12" x14ac:dyDescent="0.25">
      <c r="A136" s="2" t="s">
        <v>30</v>
      </c>
      <c r="B136" s="7">
        <v>1.125759780840685E-2</v>
      </c>
      <c r="C136" s="7">
        <v>-7.6682216116046309E-3</v>
      </c>
      <c r="D136" s="7">
        <v>4.9019607843137303E-2</v>
      </c>
      <c r="E136" s="7">
        <v>1.9218367083709387E-2</v>
      </c>
      <c r="F136" s="7">
        <v>4.7066578173196039E-3</v>
      </c>
      <c r="G136" s="7"/>
      <c r="H136" s="7">
        <f t="shared" si="11"/>
        <v>6.5509399910872457E-3</v>
      </c>
      <c r="I136" s="7">
        <f t="shared" si="12"/>
        <v>-1.2374879428924235E-2</v>
      </c>
      <c r="J136" s="7">
        <f t="shared" si="13"/>
        <v>4.4312950025817699E-2</v>
      </c>
      <c r="K136" s="7">
        <f t="shared" si="14"/>
        <v>1.4511709266389783E-2</v>
      </c>
      <c r="L136" s="7"/>
    </row>
    <row r="137" spans="1:12" x14ac:dyDescent="0.25">
      <c r="A137" s="2" t="s">
        <v>347</v>
      </c>
      <c r="B137" s="7">
        <v>1.7553029313123414E-2</v>
      </c>
      <c r="C137" s="7">
        <v>-1.0058198380566874E-2</v>
      </c>
      <c r="D137" s="7">
        <v>-3.4700315457413256E-2</v>
      </c>
      <c r="E137" s="7">
        <v>-2.4446731857951098E-3</v>
      </c>
      <c r="F137" s="7">
        <v>-4.8273464622994311E-4</v>
      </c>
      <c r="G137" s="7"/>
      <c r="H137" s="7">
        <f t="shared" si="11"/>
        <v>1.8035763959353357E-2</v>
      </c>
      <c r="I137" s="7">
        <f t="shared" si="12"/>
        <v>-9.5754637343369309E-3</v>
      </c>
      <c r="J137" s="7">
        <f t="shared" si="13"/>
        <v>-3.4217580811183312E-2</v>
      </c>
      <c r="K137" s="7">
        <f t="shared" si="14"/>
        <v>-1.9619385395651667E-3</v>
      </c>
      <c r="L137" s="7"/>
    </row>
    <row r="138" spans="1:12" x14ac:dyDescent="0.25">
      <c r="A138" s="2" t="s">
        <v>348</v>
      </c>
      <c r="B138" s="7">
        <v>1.4269305531012577E-2</v>
      </c>
      <c r="C138" s="7">
        <v>3.8428693424423788E-2</v>
      </c>
      <c r="D138" s="7">
        <v>2.5889967637540368E-2</v>
      </c>
      <c r="E138" s="7">
        <v>7.9969429583825358E-2</v>
      </c>
      <c r="F138" s="7">
        <v>8.4858635280862238E-3</v>
      </c>
      <c r="G138" s="7"/>
      <c r="H138" s="7">
        <f t="shared" si="11"/>
        <v>5.7834420029263534E-3</v>
      </c>
      <c r="I138" s="7">
        <f t="shared" si="12"/>
        <v>2.9942829896337564E-2</v>
      </c>
      <c r="J138" s="7">
        <f t="shared" si="13"/>
        <v>1.7404104109454144E-2</v>
      </c>
      <c r="K138" s="7">
        <f t="shared" si="14"/>
        <v>7.1483566055739134E-2</v>
      </c>
      <c r="L138" s="7"/>
    </row>
    <row r="139" spans="1:12" x14ac:dyDescent="0.25">
      <c r="A139" s="2" t="s">
        <v>349</v>
      </c>
      <c r="B139" s="7">
        <v>-3.2235998289867451E-2</v>
      </c>
      <c r="C139" s="7">
        <v>3.2292078555422599E-3</v>
      </c>
      <c r="D139" s="7">
        <v>0</v>
      </c>
      <c r="E139" s="7">
        <v>-2.1549966009517196E-2</v>
      </c>
      <c r="F139" s="7">
        <v>2.9834428900241683E-3</v>
      </c>
      <c r="G139" s="7"/>
      <c r="H139" s="7">
        <f t="shared" si="11"/>
        <v>-3.521944117989162E-2</v>
      </c>
      <c r="I139" s="7">
        <f t="shared" si="12"/>
        <v>2.4576496551809157E-4</v>
      </c>
      <c r="J139" s="7">
        <f t="shared" si="13"/>
        <v>-2.9834428900241683E-3</v>
      </c>
      <c r="K139" s="7">
        <f t="shared" si="14"/>
        <v>-2.4533408899541365E-2</v>
      </c>
      <c r="L139" s="7"/>
    </row>
    <row r="140" spans="1:12" x14ac:dyDescent="0.25">
      <c r="A140" s="2" t="s">
        <v>350</v>
      </c>
      <c r="B140" s="7">
        <v>-1.4867539906498806E-2</v>
      </c>
      <c r="C140" s="7">
        <v>-6.0264640377307721E-3</v>
      </c>
      <c r="D140" s="7">
        <v>-1.9047619047619091E-2</v>
      </c>
      <c r="E140" s="7">
        <v>4.1784702549575004E-2</v>
      </c>
      <c r="F140" s="7">
        <v>2.6881596267984698E-3</v>
      </c>
      <c r="G140" s="7"/>
      <c r="H140" s="7">
        <f t="shared" si="11"/>
        <v>-1.7555699533297275E-2</v>
      </c>
      <c r="I140" s="7">
        <f t="shared" si="12"/>
        <v>-8.7146236645292419E-3</v>
      </c>
      <c r="J140" s="7">
        <f t="shared" si="13"/>
        <v>-2.1735778674417561E-2</v>
      </c>
      <c r="K140" s="7">
        <f t="shared" si="14"/>
        <v>3.9096542922776534E-2</v>
      </c>
      <c r="L140" s="7"/>
    </row>
    <row r="141" spans="1:12" x14ac:dyDescent="0.25">
      <c r="A141" s="2" t="s">
        <v>31</v>
      </c>
      <c r="B141" s="7">
        <v>-7.5241399490030281E-3</v>
      </c>
      <c r="C141" s="7">
        <v>-8.3149278939846916E-3</v>
      </c>
      <c r="D141" s="7">
        <v>-6.3091482649841879E-3</v>
      </c>
      <c r="E141" s="7">
        <v>4.1451541525298508E-2</v>
      </c>
      <c r="F141" s="7">
        <v>2.1059939828742547E-3</v>
      </c>
      <c r="G141" s="7"/>
      <c r="H141" s="7">
        <f t="shared" si="11"/>
        <v>-9.6301339318772827E-3</v>
      </c>
      <c r="I141" s="7">
        <f t="shared" si="12"/>
        <v>-1.0420921876858946E-2</v>
      </c>
      <c r="J141" s="7">
        <f t="shared" si="13"/>
        <v>-8.4151422478584426E-3</v>
      </c>
      <c r="K141" s="7">
        <f t="shared" si="14"/>
        <v>3.9345547542424253E-2</v>
      </c>
      <c r="L141" s="7"/>
    </row>
    <row r="142" spans="1:12" x14ac:dyDescent="0.25">
      <c r="A142" s="2" t="s">
        <v>351</v>
      </c>
      <c r="B142" s="7">
        <v>-3.7606551897040319E-4</v>
      </c>
      <c r="C142" s="7">
        <v>-1.4270887389724596E-3</v>
      </c>
      <c r="D142" s="7">
        <v>1.2779552715654896E-2</v>
      </c>
      <c r="E142" s="7">
        <v>3.5594256034219507E-2</v>
      </c>
      <c r="F142" s="7">
        <v>-3.1651410010334891E-3</v>
      </c>
      <c r="G142" s="7"/>
      <c r="H142" s="7">
        <f t="shared" si="11"/>
        <v>2.7890754820630859E-3</v>
      </c>
      <c r="I142" s="7">
        <f t="shared" si="12"/>
        <v>1.7380522620610295E-3</v>
      </c>
      <c r="J142" s="7">
        <f t="shared" si="13"/>
        <v>1.5944693716688385E-2</v>
      </c>
      <c r="K142" s="7">
        <f t="shared" si="14"/>
        <v>3.8759397035252996E-2</v>
      </c>
      <c r="L142" s="7"/>
    </row>
    <row r="143" spans="1:12" x14ac:dyDescent="0.25">
      <c r="A143" s="2" t="s">
        <v>352</v>
      </c>
      <c r="B143" s="7">
        <v>5.4617259053859613E-3</v>
      </c>
      <c r="C143" s="7">
        <v>2.316320435388608E-2</v>
      </c>
      <c r="D143" s="7">
        <v>1.9543973941368087E-2</v>
      </c>
      <c r="E143" s="7">
        <v>-4.052766581165268E-2</v>
      </c>
      <c r="F143" s="7">
        <v>8.3464376436432897E-3</v>
      </c>
      <c r="G143" s="7"/>
      <c r="H143" s="7">
        <f t="shared" si="11"/>
        <v>-2.8847117382573284E-3</v>
      </c>
      <c r="I143" s="7">
        <f t="shared" si="12"/>
        <v>1.481676671024279E-2</v>
      </c>
      <c r="J143" s="7">
        <f t="shared" si="13"/>
        <v>1.1197536297724797E-2</v>
      </c>
      <c r="K143" s="7">
        <f t="shared" si="14"/>
        <v>-4.887410345529597E-2</v>
      </c>
      <c r="L143" s="7"/>
    </row>
    <row r="144" spans="1:12" x14ac:dyDescent="0.25">
      <c r="A144" s="2" t="s">
        <v>353</v>
      </c>
      <c r="B144" s="7">
        <v>3.8119330076762159E-2</v>
      </c>
      <c r="C144" s="7">
        <v>-1.4713575725869732E-2</v>
      </c>
      <c r="D144" s="7">
        <v>1.655629139072845E-2</v>
      </c>
      <c r="E144" s="7">
        <v>-1.5156983038614347E-2</v>
      </c>
      <c r="F144" s="7">
        <v>5.1001162801573852E-3</v>
      </c>
      <c r="G144" s="7"/>
      <c r="H144" s="7">
        <f t="shared" si="11"/>
        <v>3.3019213796604774E-2</v>
      </c>
      <c r="I144" s="7">
        <f t="shared" si="12"/>
        <v>-1.9813692006027117E-2</v>
      </c>
      <c r="J144" s="7">
        <f t="shared" si="13"/>
        <v>1.1456175110571065E-2</v>
      </c>
      <c r="K144" s="7">
        <f t="shared" si="14"/>
        <v>-2.0257099318771732E-2</v>
      </c>
      <c r="L144" s="7"/>
    </row>
    <row r="145" spans="1:12" x14ac:dyDescent="0.25">
      <c r="A145" s="2" t="s">
        <v>354</v>
      </c>
      <c r="B145" s="7">
        <v>-1.0444540353905851E-2</v>
      </c>
      <c r="C145" s="7">
        <v>-8.1079328014529439E-3</v>
      </c>
      <c r="D145" s="7">
        <v>0</v>
      </c>
      <c r="E145" s="7">
        <v>2.6296296296296484E-2</v>
      </c>
      <c r="F145" s="7">
        <v>-6.9223220118076467E-3</v>
      </c>
      <c r="G145" s="7"/>
      <c r="H145" s="7">
        <f t="shared" si="11"/>
        <v>-3.5222183420982045E-3</v>
      </c>
      <c r="I145" s="7">
        <f t="shared" si="12"/>
        <v>-1.1856107896452972E-3</v>
      </c>
      <c r="J145" s="7">
        <f t="shared" si="13"/>
        <v>6.9223220118076467E-3</v>
      </c>
      <c r="K145" s="7">
        <f t="shared" si="14"/>
        <v>3.3218618308104131E-2</v>
      </c>
      <c r="L145" s="7"/>
    </row>
    <row r="146" spans="1:12" x14ac:dyDescent="0.25">
      <c r="A146" s="2" t="s">
        <v>355</v>
      </c>
      <c r="B146" s="7">
        <v>-1.8094089264174551E-3</v>
      </c>
      <c r="C146" s="7">
        <v>-1.2932966259043499E-2</v>
      </c>
      <c r="D146" s="7">
        <v>3.424657534246589E-2</v>
      </c>
      <c r="E146" s="7">
        <v>0.1290457472610187</v>
      </c>
      <c r="F146" s="7">
        <v>-6.3981691392923645E-3</v>
      </c>
      <c r="G146" s="7"/>
      <c r="H146" s="7">
        <f t="shared" si="11"/>
        <v>4.5887602128749094E-3</v>
      </c>
      <c r="I146" s="7">
        <f t="shared" si="12"/>
        <v>-6.5347971197511345E-3</v>
      </c>
      <c r="J146" s="7">
        <f t="shared" si="13"/>
        <v>4.0644744481758255E-2</v>
      </c>
      <c r="K146" s="7">
        <f t="shared" si="14"/>
        <v>0.13544391640031106</v>
      </c>
      <c r="L146" s="7"/>
    </row>
    <row r="147" spans="1:12" x14ac:dyDescent="0.25">
      <c r="A147" s="2" t="s">
        <v>356</v>
      </c>
      <c r="B147" s="7">
        <v>8.99804390349912E-3</v>
      </c>
      <c r="C147" s="7">
        <v>6.6383088424852854E-3</v>
      </c>
      <c r="D147" s="7">
        <v>-1.6835016835016869E-2</v>
      </c>
      <c r="E147" s="7">
        <v>-2.1762251493086859E-2</v>
      </c>
      <c r="F147" s="7">
        <v>3.1567253988336041E-3</v>
      </c>
      <c r="G147" s="7"/>
      <c r="H147" s="7">
        <f t="shared" si="11"/>
        <v>5.8413185046655158E-3</v>
      </c>
      <c r="I147" s="7">
        <f t="shared" si="12"/>
        <v>3.4815834436516813E-3</v>
      </c>
      <c r="J147" s="7">
        <f t="shared" si="13"/>
        <v>-1.9991742233850474E-2</v>
      </c>
      <c r="K147" s="7">
        <f t="shared" si="14"/>
        <v>-2.4918976891920464E-2</v>
      </c>
      <c r="L147" s="7"/>
    </row>
    <row r="148" spans="1:12" x14ac:dyDescent="0.25">
      <c r="A148" s="2" t="s">
        <v>357</v>
      </c>
      <c r="B148" s="7">
        <v>5.1557652816009991E-3</v>
      </c>
      <c r="C148" s="7">
        <v>-2.5773195876288568E-4</v>
      </c>
      <c r="D148" s="7">
        <v>1.3651877133105783E-2</v>
      </c>
      <c r="E148" s="7">
        <v>-1.5782269103792546E-2</v>
      </c>
      <c r="F148" s="7">
        <v>2.3909903277790079E-3</v>
      </c>
      <c r="G148" s="7"/>
      <c r="H148" s="7">
        <f t="shared" si="11"/>
        <v>2.7647749538219912E-3</v>
      </c>
      <c r="I148" s="7">
        <f t="shared" si="12"/>
        <v>-2.6487222865418936E-3</v>
      </c>
      <c r="J148" s="7">
        <f t="shared" si="13"/>
        <v>1.1260886805326775E-2</v>
      </c>
      <c r="K148" s="7">
        <f t="shared" si="14"/>
        <v>-1.8173259431571553E-2</v>
      </c>
      <c r="L148" s="7"/>
    </row>
    <row r="149" spans="1:12" x14ac:dyDescent="0.25">
      <c r="A149" s="2" t="s">
        <v>358</v>
      </c>
      <c r="B149" s="7">
        <v>9.4385392316853611E-3</v>
      </c>
      <c r="C149" s="7">
        <v>4.5957667162921378E-3</v>
      </c>
      <c r="D149" s="7">
        <v>3.4246575342467001E-3</v>
      </c>
      <c r="E149" s="7">
        <v>-1.2866907921189608E-3</v>
      </c>
      <c r="F149" s="7">
        <v>4.1339768795463083E-3</v>
      </c>
      <c r="G149" s="7"/>
      <c r="H149" s="7">
        <f t="shared" si="11"/>
        <v>5.3045623521390528E-3</v>
      </c>
      <c r="I149" s="7">
        <f t="shared" si="12"/>
        <v>4.6178983674582952E-4</v>
      </c>
      <c r="J149" s="7">
        <f t="shared" si="13"/>
        <v>-7.0931934529960827E-4</v>
      </c>
      <c r="K149" s="7">
        <f t="shared" si="14"/>
        <v>-5.4206676716652691E-3</v>
      </c>
      <c r="L149" s="7"/>
    </row>
    <row r="150" spans="1:12" x14ac:dyDescent="0.25">
      <c r="A150" s="2" t="s">
        <v>32</v>
      </c>
      <c r="B150" s="7">
        <v>-2.6393348876083689E-3</v>
      </c>
      <c r="C150" s="7">
        <v>-1.35368111870251E-2</v>
      </c>
      <c r="D150" s="7">
        <v>-1.3513513513513487E-2</v>
      </c>
      <c r="E150" s="7">
        <v>1.1469009272816022E-2</v>
      </c>
      <c r="F150" s="7">
        <v>-4.2663343080389105E-3</v>
      </c>
      <c r="G150" s="7"/>
      <c r="H150" s="7">
        <f t="shared" si="11"/>
        <v>1.6269994204305416E-3</v>
      </c>
      <c r="I150" s="7">
        <f t="shared" si="12"/>
        <v>-9.2704768789861891E-3</v>
      </c>
      <c r="J150" s="7">
        <f t="shared" si="13"/>
        <v>-9.2471792054745761E-3</v>
      </c>
      <c r="K150" s="7">
        <f t="shared" si="14"/>
        <v>1.5735343580854932E-2</v>
      </c>
      <c r="L150" s="7"/>
    </row>
    <row r="151" spans="1:12" x14ac:dyDescent="0.25">
      <c r="A151" s="2" t="s">
        <v>359</v>
      </c>
      <c r="B151" s="7">
        <v>1.2741123535439103E-2</v>
      </c>
      <c r="C151" s="7">
        <v>2.809689489923195E-2</v>
      </c>
      <c r="D151" s="7">
        <v>6.8027210884353817E-3</v>
      </c>
      <c r="E151" s="7">
        <v>4.1070370056736305E-2</v>
      </c>
      <c r="F151" s="7">
        <v>1.518640789806236E-2</v>
      </c>
      <c r="G151" s="7"/>
      <c r="H151" s="7">
        <f t="shared" si="11"/>
        <v>-2.4452843626232568E-3</v>
      </c>
      <c r="I151" s="7">
        <f t="shared" si="12"/>
        <v>1.291048700116959E-2</v>
      </c>
      <c r="J151" s="7">
        <f t="shared" si="13"/>
        <v>-8.3836868096269779E-3</v>
      </c>
      <c r="K151" s="7">
        <f t="shared" si="14"/>
        <v>2.5883962158673945E-2</v>
      </c>
      <c r="L151" s="7"/>
    </row>
    <row r="152" spans="1:12" x14ac:dyDescent="0.25">
      <c r="A152" s="2" t="s">
        <v>360</v>
      </c>
      <c r="B152" s="7">
        <v>-4.9206489937051456E-3</v>
      </c>
      <c r="C152" s="7">
        <v>-2.3577182526687279E-3</v>
      </c>
      <c r="D152" s="7">
        <v>5.0000000000000044E-2</v>
      </c>
      <c r="E152" s="7">
        <v>-1.1716461628588082E-2</v>
      </c>
      <c r="F152" s="7">
        <v>-4.0042027712021699E-3</v>
      </c>
      <c r="G152" s="7"/>
      <c r="H152" s="7">
        <f t="shared" si="11"/>
        <v>-9.1644622250297569E-4</v>
      </c>
      <c r="I152" s="7">
        <f t="shared" si="12"/>
        <v>1.646484518533442E-3</v>
      </c>
      <c r="J152" s="7">
        <f t="shared" si="13"/>
        <v>5.4004202771202214E-2</v>
      </c>
      <c r="K152" s="7">
        <f t="shared" si="14"/>
        <v>-7.7122588573859119E-3</v>
      </c>
      <c r="L152" s="7"/>
    </row>
    <row r="153" spans="1:12" x14ac:dyDescent="0.25">
      <c r="A153" s="2" t="s">
        <v>361</v>
      </c>
      <c r="B153" s="7">
        <v>-1.9728837128454635E-2</v>
      </c>
      <c r="C153" s="7">
        <v>2.6265677326153813E-3</v>
      </c>
      <c r="D153" s="7">
        <v>2.1897810218977964E-2</v>
      </c>
      <c r="E153" s="7">
        <v>-4.1670139178264787E-3</v>
      </c>
      <c r="F153" s="7">
        <v>-2.4316175793941408E-3</v>
      </c>
      <c r="G153" s="7"/>
      <c r="H153" s="7">
        <f t="shared" si="11"/>
        <v>-1.7297219549060494E-2</v>
      </c>
      <c r="I153" s="7">
        <f t="shared" si="12"/>
        <v>5.0581853120095221E-3</v>
      </c>
      <c r="J153" s="7">
        <f t="shared" si="13"/>
        <v>2.4329427798372105E-2</v>
      </c>
      <c r="K153" s="7">
        <f t="shared" si="14"/>
        <v>-1.7353963384323379E-3</v>
      </c>
      <c r="L153" s="7"/>
    </row>
    <row r="154" spans="1:12" x14ac:dyDescent="0.25">
      <c r="A154" s="2" t="s">
        <v>362</v>
      </c>
      <c r="B154" s="7">
        <v>-1.4319809069212042E-3</v>
      </c>
      <c r="C154" s="7">
        <v>9.6797719286612072E-3</v>
      </c>
      <c r="D154" s="7">
        <v>-2.1428571428571241E-2</v>
      </c>
      <c r="E154" s="7">
        <v>-1.161449752883037E-2</v>
      </c>
      <c r="F154" s="7">
        <v>-5.8581363435491474E-3</v>
      </c>
      <c r="G154" s="7"/>
      <c r="H154" s="7">
        <f t="shared" si="11"/>
        <v>4.4261554366279432E-3</v>
      </c>
      <c r="I154" s="7">
        <f t="shared" si="12"/>
        <v>1.5537908272210355E-2</v>
      </c>
      <c r="J154" s="7">
        <f t="shared" si="13"/>
        <v>-1.5570435085022094E-2</v>
      </c>
      <c r="K154" s="7">
        <f t="shared" si="14"/>
        <v>-5.7563611852812224E-3</v>
      </c>
      <c r="L154" s="7"/>
    </row>
    <row r="155" spans="1:12" x14ac:dyDescent="0.25">
      <c r="A155" s="2" t="s">
        <v>33</v>
      </c>
      <c r="B155" s="7">
        <v>-3.02833657797974E-3</v>
      </c>
      <c r="C155" s="7">
        <v>3.0591208352730437E-3</v>
      </c>
      <c r="D155" s="7">
        <v>1.8181818181818077E-2</v>
      </c>
      <c r="E155" s="7">
        <v>1.154543955137699E-3</v>
      </c>
      <c r="F155" s="7">
        <v>-1.0077831870769494E-4</v>
      </c>
      <c r="G155" s="7"/>
      <c r="H155" s="7">
        <f t="shared" si="11"/>
        <v>-2.927558259272045E-3</v>
      </c>
      <c r="I155" s="7">
        <f t="shared" si="12"/>
        <v>3.1598991539807386E-3</v>
      </c>
      <c r="J155" s="7">
        <f t="shared" si="13"/>
        <v>1.8282596500525772E-2</v>
      </c>
      <c r="K155" s="7">
        <f t="shared" si="14"/>
        <v>1.255322273845394E-3</v>
      </c>
      <c r="L155" s="7"/>
    </row>
    <row r="156" spans="1:12" x14ac:dyDescent="0.25">
      <c r="A156" s="2" t="s">
        <v>363</v>
      </c>
      <c r="B156" s="7">
        <v>-5.1218042523887286E-3</v>
      </c>
      <c r="C156" s="7">
        <v>-2.7172155010674715E-2</v>
      </c>
      <c r="D156" s="7">
        <v>7.3260073260073E-3</v>
      </c>
      <c r="E156" s="7">
        <v>-8.3415112855740325E-3</v>
      </c>
      <c r="F156" s="7">
        <v>-2.8970988816641174E-3</v>
      </c>
      <c r="G156" s="7"/>
      <c r="H156" s="7">
        <f t="shared" si="11"/>
        <v>-2.2247053707246112E-3</v>
      </c>
      <c r="I156" s="7">
        <f t="shared" si="12"/>
        <v>-2.4275056129010597E-2</v>
      </c>
      <c r="J156" s="7">
        <f t="shared" si="13"/>
        <v>1.0223106207671417E-2</v>
      </c>
      <c r="K156" s="7">
        <f t="shared" si="14"/>
        <v>-5.4444124039099151E-3</v>
      </c>
      <c r="L156" s="7"/>
    </row>
    <row r="157" spans="1:12" x14ac:dyDescent="0.25">
      <c r="A157" s="2" t="s">
        <v>364</v>
      </c>
      <c r="B157" s="7">
        <v>-2.361629954055533E-3</v>
      </c>
      <c r="C157" s="7">
        <v>-2.2142088947934457E-2</v>
      </c>
      <c r="D157" s="7">
        <v>-1.4440433212996373E-2</v>
      </c>
      <c r="E157" s="7">
        <v>-3.6102790477691937E-2</v>
      </c>
      <c r="F157" s="7">
        <v>3.0309684562790373E-4</v>
      </c>
      <c r="G157" s="7"/>
      <c r="H157" s="7">
        <f t="shared" si="11"/>
        <v>-2.6647267996834367E-3</v>
      </c>
      <c r="I157" s="7">
        <f t="shared" si="12"/>
        <v>-2.2445185793562361E-2</v>
      </c>
      <c r="J157" s="7">
        <f t="shared" si="13"/>
        <v>-1.4743530058624277E-2</v>
      </c>
      <c r="K157" s="7">
        <f t="shared" si="14"/>
        <v>-3.6405887323319841E-2</v>
      </c>
      <c r="L157" s="7"/>
    </row>
    <row r="158" spans="1:12" x14ac:dyDescent="0.25">
      <c r="A158" s="2" t="s">
        <v>365</v>
      </c>
      <c r="B158" s="7">
        <v>1.6055145936041182E-2</v>
      </c>
      <c r="C158" s="7">
        <v>1.4895666131621077E-2</v>
      </c>
      <c r="D158" s="7">
        <v>7.2727272727273196E-3</v>
      </c>
      <c r="E158" s="7">
        <v>3.6268583564776913E-2</v>
      </c>
      <c r="F158" s="7">
        <v>3.2300302834731287E-3</v>
      </c>
      <c r="G158" s="7"/>
      <c r="H158" s="7">
        <f t="shared" si="11"/>
        <v>1.2825115652568053E-2</v>
      </c>
      <c r="I158" s="7">
        <f t="shared" si="12"/>
        <v>1.1665635848147948E-2</v>
      </c>
      <c r="J158" s="7">
        <f t="shared" si="13"/>
        <v>4.0426969892541909E-3</v>
      </c>
      <c r="K158" s="7">
        <f t="shared" si="14"/>
        <v>3.3038553281303784E-2</v>
      </c>
      <c r="L158" s="7"/>
    </row>
    <row r="159" spans="1:12" x14ac:dyDescent="0.25">
      <c r="A159" s="2" t="s">
        <v>366</v>
      </c>
      <c r="B159" s="7">
        <v>1.0848952590959193E-2</v>
      </c>
      <c r="C159" s="7">
        <v>1.6313213703099461E-2</v>
      </c>
      <c r="D159" s="7">
        <v>1.1029411764705843E-2</v>
      </c>
      <c r="E159" s="7">
        <v>3.1861092380310208E-2</v>
      </c>
      <c r="F159" s="7">
        <v>1.1345503612643082E-2</v>
      </c>
      <c r="G159" s="7"/>
      <c r="H159" s="7">
        <f t="shared" si="11"/>
        <v>-4.9655102168388865E-4</v>
      </c>
      <c r="I159" s="7">
        <f t="shared" si="12"/>
        <v>4.9677100904563787E-3</v>
      </c>
      <c r="J159" s="7">
        <f t="shared" si="13"/>
        <v>-3.1609184793723877E-4</v>
      </c>
      <c r="K159" s="7">
        <f t="shared" si="14"/>
        <v>2.0515588767667126E-2</v>
      </c>
      <c r="L159" s="7"/>
    </row>
    <row r="160" spans="1:12" x14ac:dyDescent="0.25">
      <c r="A160" s="2" t="s">
        <v>34</v>
      </c>
      <c r="B160" s="7">
        <v>-8.3096435600262808E-3</v>
      </c>
      <c r="C160" s="7">
        <v>1.3156154964961031E-2</v>
      </c>
      <c r="D160" s="7">
        <v>-2.1582733812949506E-2</v>
      </c>
      <c r="E160" s="7">
        <v>-1.429046194749084E-2</v>
      </c>
      <c r="F160" s="7">
        <v>-2.5041278983324311E-3</v>
      </c>
      <c r="G160" s="7"/>
      <c r="H160" s="7">
        <f t="shared" si="11"/>
        <v>-5.8055156616938497E-3</v>
      </c>
      <c r="I160" s="7">
        <f t="shared" si="12"/>
        <v>1.5660282863293462E-2</v>
      </c>
      <c r="J160" s="7">
        <f t="shared" si="13"/>
        <v>-1.9078605914617075E-2</v>
      </c>
      <c r="K160" s="7">
        <f t="shared" si="14"/>
        <v>-1.1786334049158409E-2</v>
      </c>
      <c r="L160" s="7"/>
    </row>
    <row r="161" spans="1:12" x14ac:dyDescent="0.25">
      <c r="A161" s="2" t="s">
        <v>367</v>
      </c>
      <c r="B161" s="7">
        <v>4.2350474106491509E-2</v>
      </c>
      <c r="C161" s="7">
        <v>1.0285866951643019E-2</v>
      </c>
      <c r="D161" s="7">
        <v>-1.7667844522968323E-2</v>
      </c>
      <c r="E161" s="7">
        <v>-4.9603174603174427E-3</v>
      </c>
      <c r="F161" s="7">
        <v>7.7996845425867267E-3</v>
      </c>
      <c r="G161" s="7"/>
      <c r="H161" s="7">
        <f t="shared" si="11"/>
        <v>3.4550789563904782E-2</v>
      </c>
      <c r="I161" s="7">
        <f t="shared" si="12"/>
        <v>2.4861824090562923E-3</v>
      </c>
      <c r="J161" s="7">
        <f t="shared" si="13"/>
        <v>-2.546752906555505E-2</v>
      </c>
      <c r="K161" s="7">
        <f t="shared" si="14"/>
        <v>-1.2760002002904169E-2</v>
      </c>
      <c r="L161" s="7"/>
    </row>
    <row r="162" spans="1:12" x14ac:dyDescent="0.25">
      <c r="A162" s="2" t="s">
        <v>368</v>
      </c>
      <c r="B162" s="7">
        <v>3.1796801505174166E-2</v>
      </c>
      <c r="C162" s="7">
        <v>6.0475742507728469E-3</v>
      </c>
      <c r="D162" s="7">
        <v>2.5362318840579823E-2</v>
      </c>
      <c r="E162" s="7">
        <v>8.2740360747957098E-4</v>
      </c>
      <c r="F162" s="7">
        <v>-7.9747078829839335E-4</v>
      </c>
      <c r="G162" s="7"/>
      <c r="H162" s="7">
        <f t="shared" si="11"/>
        <v>3.2594272293472559E-2</v>
      </c>
      <c r="I162" s="7">
        <f t="shared" si="12"/>
        <v>6.8450450390712403E-3</v>
      </c>
      <c r="J162" s="7">
        <f t="shared" si="13"/>
        <v>2.6159789628878216E-2</v>
      </c>
      <c r="K162" s="7">
        <f t="shared" si="14"/>
        <v>1.6248743957779643E-3</v>
      </c>
      <c r="L162" s="7"/>
    </row>
    <row r="163" spans="1:12" x14ac:dyDescent="0.25">
      <c r="A163" s="2" t="s">
        <v>369</v>
      </c>
      <c r="B163" s="7">
        <v>5.0914483440434921E-2</v>
      </c>
      <c r="C163" s="7">
        <v>4.8615800135043408E-3</v>
      </c>
      <c r="D163" s="7">
        <v>-2.1276595744680882E-2</v>
      </c>
      <c r="E163" s="7">
        <v>3.2638414217361467E-2</v>
      </c>
      <c r="F163" s="7">
        <v>7.2818886237755454E-3</v>
      </c>
      <c r="G163" s="7"/>
      <c r="H163" s="7">
        <f t="shared" si="11"/>
        <v>4.3632594816659376E-2</v>
      </c>
      <c r="I163" s="7">
        <f t="shared" si="12"/>
        <v>-2.4203086102712046E-3</v>
      </c>
      <c r="J163" s="7">
        <f t="shared" si="13"/>
        <v>-2.8558484368456427E-2</v>
      </c>
      <c r="K163" s="7">
        <f t="shared" si="14"/>
        <v>2.5356525593585921E-2</v>
      </c>
      <c r="L163" s="7"/>
    </row>
    <row r="164" spans="1:12" x14ac:dyDescent="0.25">
      <c r="A164" s="2" t="s">
        <v>370</v>
      </c>
      <c r="B164" s="7">
        <v>-2.1210476989097504E-3</v>
      </c>
      <c r="C164" s="7">
        <v>1.5009252278801899E-2</v>
      </c>
      <c r="D164" s="7">
        <v>2.9197080291970767E-2</v>
      </c>
      <c r="E164" s="7">
        <v>-3.9148936170212423E-3</v>
      </c>
      <c r="F164" s="7">
        <v>-4.8578659513360822E-3</v>
      </c>
      <c r="G164" s="7"/>
      <c r="H164" s="7">
        <f t="shared" si="11"/>
        <v>2.7368182524263318E-3</v>
      </c>
      <c r="I164" s="7">
        <f t="shared" si="12"/>
        <v>1.9867118230137981E-2</v>
      </c>
      <c r="J164" s="7">
        <f t="shared" si="13"/>
        <v>3.4054946243306849E-2</v>
      </c>
      <c r="K164" s="7">
        <f t="shared" si="14"/>
        <v>9.4297233431483996E-4</v>
      </c>
      <c r="L164" s="7"/>
    </row>
    <row r="165" spans="1:12" x14ac:dyDescent="0.25">
      <c r="A165" s="2" t="s">
        <v>35</v>
      </c>
      <c r="B165" s="7">
        <v>4.757892650046891E-3</v>
      </c>
      <c r="C165" s="7">
        <v>2.4001684328724737E-2</v>
      </c>
      <c r="D165" s="7">
        <v>2.621722846441954E-2</v>
      </c>
      <c r="E165" s="7">
        <v>3.6730161441873577E-3</v>
      </c>
      <c r="F165" s="7">
        <v>1.473707159815385E-2</v>
      </c>
      <c r="G165" s="7"/>
      <c r="H165" s="7">
        <f t="shared" si="11"/>
        <v>-9.9791789481069593E-3</v>
      </c>
      <c r="I165" s="7">
        <f t="shared" si="12"/>
        <v>9.264612730570887E-3</v>
      </c>
      <c r="J165" s="7">
        <f t="shared" si="13"/>
        <v>1.1480156866265689E-2</v>
      </c>
      <c r="K165" s="7">
        <f t="shared" si="14"/>
        <v>-1.1064055453966493E-2</v>
      </c>
      <c r="L165" s="7"/>
    </row>
    <row r="166" spans="1:12" x14ac:dyDescent="0.25">
      <c r="A166" s="2" t="s">
        <v>371</v>
      </c>
      <c r="B166" s="7">
        <v>-2.4983086885087435E-2</v>
      </c>
      <c r="C166" s="7">
        <v>-3.2260255365389789E-2</v>
      </c>
      <c r="D166" s="7">
        <v>-1.4760147601476037E-2</v>
      </c>
      <c r="E166" s="7">
        <v>-2.9511730083727095E-2</v>
      </c>
      <c r="F166" s="7">
        <v>-1.5992074947274171E-2</v>
      </c>
      <c r="G166" s="7"/>
      <c r="H166" s="7">
        <f t="shared" si="11"/>
        <v>-8.9910119378132647E-3</v>
      </c>
      <c r="I166" s="7">
        <f t="shared" si="12"/>
        <v>-1.6268180418115619E-2</v>
      </c>
      <c r="J166" s="7">
        <f t="shared" si="13"/>
        <v>1.2319273457981339E-3</v>
      </c>
      <c r="K166" s="7">
        <f t="shared" si="14"/>
        <v>-1.3519655136452924E-2</v>
      </c>
      <c r="L166" s="7"/>
    </row>
    <row r="167" spans="1:12" x14ac:dyDescent="0.25">
      <c r="A167" s="2" t="s">
        <v>372</v>
      </c>
      <c r="B167" s="7">
        <v>-7.101045964878594E-3</v>
      </c>
      <c r="C167" s="7">
        <v>1.7764567636690654E-2</v>
      </c>
      <c r="D167" s="7">
        <v>0</v>
      </c>
      <c r="E167" s="7">
        <v>2.768785142272967E-2</v>
      </c>
      <c r="F167" s="7">
        <v>-3.6948561190650597E-3</v>
      </c>
      <c r="G167" s="7"/>
      <c r="H167" s="7">
        <f t="shared" si="11"/>
        <v>-3.4061898458135342E-3</v>
      </c>
      <c r="I167" s="7">
        <f t="shared" si="12"/>
        <v>2.1459423755755713E-2</v>
      </c>
      <c r="J167" s="7">
        <f t="shared" si="13"/>
        <v>3.6948561190650597E-3</v>
      </c>
      <c r="K167" s="7">
        <f t="shared" si="14"/>
        <v>3.138270754179473E-2</v>
      </c>
      <c r="L167" s="7"/>
    </row>
    <row r="168" spans="1:12" x14ac:dyDescent="0.25">
      <c r="A168" s="2" t="s">
        <v>373</v>
      </c>
      <c r="B168" s="7">
        <v>-1.049233252623083E-2</v>
      </c>
      <c r="C168" s="7">
        <v>-3.4052213393870767E-2</v>
      </c>
      <c r="D168" s="7">
        <v>-1.0948905109489093E-2</v>
      </c>
      <c r="E168" s="7">
        <v>-1.6588471849866004E-2</v>
      </c>
      <c r="F168" s="7">
        <v>-1.249438851269713E-3</v>
      </c>
      <c r="G168" s="7"/>
      <c r="H168" s="7">
        <f t="shared" si="11"/>
        <v>-9.2428936749611168E-3</v>
      </c>
      <c r="I168" s="7">
        <f t="shared" si="12"/>
        <v>-3.2802774542601054E-2</v>
      </c>
      <c r="J168" s="7">
        <f t="shared" si="13"/>
        <v>-9.6994662582193802E-3</v>
      </c>
      <c r="K168" s="7">
        <f t="shared" si="14"/>
        <v>-1.5339032998596291E-2</v>
      </c>
      <c r="L168" s="7"/>
    </row>
    <row r="169" spans="1:12" x14ac:dyDescent="0.25">
      <c r="A169" s="2" t="s">
        <v>374</v>
      </c>
      <c r="B169" s="7">
        <v>-1.2980318650421818E-2</v>
      </c>
      <c r="C169" s="7">
        <v>-1.7329867359860973E-3</v>
      </c>
      <c r="D169" s="7">
        <v>7.3529411764705621E-3</v>
      </c>
      <c r="E169" s="7">
        <v>-2.2840769545640627E-2</v>
      </c>
      <c r="F169" s="7">
        <v>-2.9594179446209568E-3</v>
      </c>
      <c r="G169" s="7"/>
      <c r="H169" s="7">
        <f t="shared" si="11"/>
        <v>-1.0020900705800861E-2</v>
      </c>
      <c r="I169" s="7">
        <f t="shared" si="12"/>
        <v>1.2264312086348594E-3</v>
      </c>
      <c r="J169" s="7">
        <f t="shared" si="13"/>
        <v>1.0312359121091519E-2</v>
      </c>
      <c r="K169" s="7">
        <f t="shared" si="14"/>
        <v>-1.988135160101967E-2</v>
      </c>
      <c r="L169" s="7"/>
    </row>
    <row r="170" spans="1:12" x14ac:dyDescent="0.25">
      <c r="A170" s="2" t="s">
        <v>36</v>
      </c>
      <c r="B170" s="7">
        <v>7.9726117338085878E-4</v>
      </c>
      <c r="C170" s="7">
        <v>5.1587833311002029E-3</v>
      </c>
      <c r="D170" s="7">
        <v>2.6415094339622858E-2</v>
      </c>
      <c r="E170" s="7">
        <v>1.7662251103890636E-2</v>
      </c>
      <c r="F170" s="7">
        <v>1.7687645570885202E-4</v>
      </c>
      <c r="G170" s="7"/>
      <c r="H170" s="7">
        <f t="shared" si="11"/>
        <v>6.2038471767200676E-4</v>
      </c>
      <c r="I170" s="7">
        <f t="shared" si="12"/>
        <v>4.9819068753913509E-3</v>
      </c>
      <c r="J170" s="7">
        <f t="shared" si="13"/>
        <v>2.6238217883914006E-2</v>
      </c>
      <c r="K170" s="7">
        <f t="shared" si="14"/>
        <v>1.7485374648181784E-2</v>
      </c>
      <c r="L170" s="7"/>
    </row>
    <row r="171" spans="1:12" x14ac:dyDescent="0.25">
      <c r="A171" s="2" t="s">
        <v>375</v>
      </c>
      <c r="B171" s="7">
        <v>5.6308948430383587E-4</v>
      </c>
      <c r="C171" s="7">
        <v>1.3168612544121716E-2</v>
      </c>
      <c r="D171" s="7">
        <v>-1.4869888475836479E-2</v>
      </c>
      <c r="E171" s="7">
        <v>-9.2447379281882514E-3</v>
      </c>
      <c r="F171" s="7">
        <v>3.9743217016194876E-3</v>
      </c>
      <c r="G171" s="7"/>
      <c r="H171" s="7">
        <f t="shared" si="11"/>
        <v>-3.4112322173156517E-3</v>
      </c>
      <c r="I171" s="7">
        <f t="shared" si="12"/>
        <v>9.1942908425022285E-3</v>
      </c>
      <c r="J171" s="7">
        <f t="shared" si="13"/>
        <v>-1.8844210177455967E-2</v>
      </c>
      <c r="K171" s="7">
        <f t="shared" si="14"/>
        <v>-1.3219059629807739E-2</v>
      </c>
      <c r="L171" s="7"/>
    </row>
    <row r="172" spans="1:12" x14ac:dyDescent="0.25">
      <c r="A172" s="2" t="s">
        <v>376</v>
      </c>
      <c r="B172" s="7">
        <v>-1.8266978922716337E-3</v>
      </c>
      <c r="C172" s="7">
        <v>-1.0079290417954523E-2</v>
      </c>
      <c r="D172" s="7">
        <v>-3.7037037037037646E-3</v>
      </c>
      <c r="E172" s="7">
        <v>-1.1665850872899286E-2</v>
      </c>
      <c r="F172" s="7">
        <v>6.9823287324410899E-4</v>
      </c>
      <c r="G172" s="7"/>
      <c r="H172" s="7">
        <f t="shared" si="11"/>
        <v>-2.5249307655157427E-3</v>
      </c>
      <c r="I172" s="7">
        <f t="shared" si="12"/>
        <v>-1.0777523291198632E-2</v>
      </c>
      <c r="J172" s="7">
        <f t="shared" si="13"/>
        <v>-4.4019365769478735E-3</v>
      </c>
      <c r="K172" s="7">
        <f t="shared" si="14"/>
        <v>-1.2364083746143395E-2</v>
      </c>
      <c r="L172" s="7"/>
    </row>
    <row r="173" spans="1:12" x14ac:dyDescent="0.25">
      <c r="A173" s="2" t="s">
        <v>377</v>
      </c>
      <c r="B173" s="7">
        <v>-1.1695906432748204E-3</v>
      </c>
      <c r="C173" s="7">
        <v>-2.4800589851866617E-3</v>
      </c>
      <c r="D173" s="7">
        <v>3.0534351145038219E-2</v>
      </c>
      <c r="E173" s="7">
        <v>1.5491674260624588E-2</v>
      </c>
      <c r="F173" s="7">
        <v>7.8118809056646477E-3</v>
      </c>
      <c r="G173" s="7"/>
      <c r="H173" s="7">
        <f t="shared" si="11"/>
        <v>-8.9814715489394681E-3</v>
      </c>
      <c r="I173" s="7">
        <f t="shared" si="12"/>
        <v>-1.0291939890851309E-2</v>
      </c>
      <c r="J173" s="7">
        <f t="shared" si="13"/>
        <v>2.2722470239373571E-2</v>
      </c>
      <c r="K173" s="7">
        <f t="shared" si="14"/>
        <v>7.6797933549599406E-3</v>
      </c>
      <c r="L173" s="7"/>
    </row>
    <row r="174" spans="1:12" x14ac:dyDescent="0.25">
      <c r="A174" s="2" t="s">
        <v>378</v>
      </c>
      <c r="B174" s="7">
        <v>9.0162386706948983E-3</v>
      </c>
      <c r="C174" s="7">
        <v>-1.0610783208435559E-2</v>
      </c>
      <c r="D174" s="7">
        <v>7.692307692307665E-3</v>
      </c>
      <c r="E174" s="7">
        <v>3.6584351874948684E-3</v>
      </c>
      <c r="F174" s="7">
        <v>6.3752854605425568E-4</v>
      </c>
      <c r="G174" s="7"/>
      <c r="H174" s="7">
        <f t="shared" si="11"/>
        <v>8.3787101246406426E-3</v>
      </c>
      <c r="I174" s="7">
        <f t="shared" si="12"/>
        <v>-1.1248311754489815E-2</v>
      </c>
      <c r="J174" s="7">
        <f t="shared" si="13"/>
        <v>7.0547791462534093E-3</v>
      </c>
      <c r="K174" s="7">
        <f t="shared" si="14"/>
        <v>3.0209066414406127E-3</v>
      </c>
      <c r="L174" s="7"/>
    </row>
    <row r="175" spans="1:12" x14ac:dyDescent="0.25">
      <c r="A175" s="2" t="s">
        <v>37</v>
      </c>
      <c r="B175" s="7">
        <v>6.1745986510877149E-3</v>
      </c>
      <c r="C175" s="7">
        <v>-2.6456776241815527E-3</v>
      </c>
      <c r="D175" s="7">
        <v>0</v>
      </c>
      <c r="E175" s="7">
        <v>3.3269566663896022E-4</v>
      </c>
      <c r="F175" s="7">
        <v>1.3991255862113583E-3</v>
      </c>
      <c r="G175" s="7"/>
      <c r="H175" s="7">
        <f t="shared" si="11"/>
        <v>4.7754730648763566E-3</v>
      </c>
      <c r="I175" s="7">
        <f t="shared" si="12"/>
        <v>-4.044803210392911E-3</v>
      </c>
      <c r="J175" s="7">
        <f t="shared" si="13"/>
        <v>-1.3991255862113583E-3</v>
      </c>
      <c r="K175" s="7">
        <f t="shared" si="14"/>
        <v>-1.0664299195723981E-3</v>
      </c>
      <c r="L175" s="7"/>
    </row>
    <row r="176" spans="1:12" x14ac:dyDescent="0.25">
      <c r="A176" s="2" t="s">
        <v>379</v>
      </c>
      <c r="B176" s="7">
        <v>5.5401662049860967E-3</v>
      </c>
      <c r="C176" s="7">
        <v>-3.6576817689415675E-2</v>
      </c>
      <c r="D176" s="7">
        <v>-1.8867924528301772E-2</v>
      </c>
      <c r="E176" s="7">
        <v>2.4978687127024779E-2</v>
      </c>
      <c r="F176" s="7">
        <v>-9.0514120202667137E-5</v>
      </c>
      <c r="G176" s="7"/>
      <c r="H176" s="7">
        <f t="shared" si="11"/>
        <v>5.6306803251887638E-3</v>
      </c>
      <c r="I176" s="7">
        <f t="shared" si="12"/>
        <v>-3.6486303569213008E-2</v>
      </c>
      <c r="J176" s="7">
        <f t="shared" si="13"/>
        <v>-1.8777410408099104E-2</v>
      </c>
      <c r="K176" s="7">
        <f t="shared" si="14"/>
        <v>2.5069201247227446E-2</v>
      </c>
      <c r="L176" s="7"/>
    </row>
    <row r="177" spans="1:12" x14ac:dyDescent="0.25">
      <c r="A177" s="2" t="s">
        <v>380</v>
      </c>
      <c r="B177" s="7">
        <v>-6.6819396716311097E-4</v>
      </c>
      <c r="C177" s="7">
        <v>9.3908792693124798E-3</v>
      </c>
      <c r="D177" s="7">
        <v>1.5325670498084198E-2</v>
      </c>
      <c r="E177" s="7">
        <v>1.3566058930268632E-2</v>
      </c>
      <c r="F177" s="7">
        <v>5.3738205852771337E-3</v>
      </c>
      <c r="G177" s="7"/>
      <c r="H177" s="7">
        <f t="shared" si="11"/>
        <v>-6.0420145524402447E-3</v>
      </c>
      <c r="I177" s="7">
        <f t="shared" si="12"/>
        <v>4.0170586840353462E-3</v>
      </c>
      <c r="J177" s="7">
        <f t="shared" si="13"/>
        <v>9.9518499128070648E-3</v>
      </c>
      <c r="K177" s="7">
        <f t="shared" si="14"/>
        <v>8.1922383449914982E-3</v>
      </c>
      <c r="L177" s="7"/>
    </row>
    <row r="178" spans="1:12" x14ac:dyDescent="0.25">
      <c r="A178" s="2" t="s">
        <v>381</v>
      </c>
      <c r="B178" s="7">
        <v>4.9884881043746887E-3</v>
      </c>
      <c r="C178" s="7">
        <v>6.2131900847841592E-3</v>
      </c>
      <c r="D178" s="7">
        <v>3.8461538461538325E-3</v>
      </c>
      <c r="E178" s="7">
        <v>-1.0601008805676604E-2</v>
      </c>
      <c r="F178" s="7">
        <v>3.193588478737075E-3</v>
      </c>
      <c r="G178" s="7"/>
      <c r="H178" s="7">
        <f t="shared" si="11"/>
        <v>1.7948996256376137E-3</v>
      </c>
      <c r="I178" s="7">
        <f t="shared" si="12"/>
        <v>3.0196016060470843E-3</v>
      </c>
      <c r="J178" s="7">
        <f t="shared" si="13"/>
        <v>6.5256536741675752E-4</v>
      </c>
      <c r="K178" s="7">
        <f t="shared" si="14"/>
        <v>-1.3794597284413679E-2</v>
      </c>
      <c r="L178" s="7"/>
    </row>
    <row r="179" spans="1:12" x14ac:dyDescent="0.25">
      <c r="A179" s="2" t="s">
        <v>382</v>
      </c>
      <c r="B179" s="7">
        <v>2.3558824943505918E-3</v>
      </c>
      <c r="C179" s="7">
        <v>-8.3434952827161624E-3</v>
      </c>
      <c r="D179" s="7">
        <v>-1.8867924528301772E-2</v>
      </c>
      <c r="E179" s="7">
        <v>8.0853816300129333E-2</v>
      </c>
      <c r="F179" s="7">
        <v>-3.9562515154996092E-3</v>
      </c>
      <c r="G179" s="7"/>
      <c r="H179" s="7">
        <f t="shared" si="11"/>
        <v>6.312134009850201E-3</v>
      </c>
      <c r="I179" s="7">
        <f t="shared" si="12"/>
        <v>-4.3872437672165532E-3</v>
      </c>
      <c r="J179" s="7">
        <f t="shared" si="13"/>
        <v>-1.4911673012802162E-2</v>
      </c>
      <c r="K179" s="7">
        <f t="shared" si="14"/>
        <v>8.4810067815628942E-2</v>
      </c>
      <c r="L179" s="7"/>
    </row>
    <row r="180" spans="1:12" x14ac:dyDescent="0.25">
      <c r="A180" s="2" t="s">
        <v>38</v>
      </c>
      <c r="B180" s="7">
        <v>-1.2017860535816105E-2</v>
      </c>
      <c r="C180" s="7">
        <v>1.3266566950640435E-2</v>
      </c>
      <c r="D180" s="7">
        <v>-3.7593984962407401E-3</v>
      </c>
      <c r="E180" s="7">
        <v>1.4055472263868163E-2</v>
      </c>
      <c r="F180" s="7">
        <v>1.4074044490595128E-3</v>
      </c>
      <c r="G180" s="7"/>
      <c r="H180" s="7">
        <f t="shared" si="11"/>
        <v>-1.3425264984875618E-2</v>
      </c>
      <c r="I180" s="7">
        <f t="shared" si="12"/>
        <v>1.1859162501580922E-2</v>
      </c>
      <c r="J180" s="7">
        <f t="shared" si="13"/>
        <v>-5.1668029453002529E-3</v>
      </c>
      <c r="K180" s="7">
        <f t="shared" si="14"/>
        <v>1.264806781480865E-2</v>
      </c>
      <c r="L180" s="7"/>
    </row>
    <row r="181" spans="1:12" x14ac:dyDescent="0.25">
      <c r="A181" s="2" t="s">
        <v>383</v>
      </c>
      <c r="B181" s="7">
        <v>-5.9026302120225305E-3</v>
      </c>
      <c r="C181" s="7">
        <v>-9.4053984410228386E-3</v>
      </c>
      <c r="D181" s="7">
        <v>7.575757575757569E-3</v>
      </c>
      <c r="E181" s="7">
        <v>7.5018754688671585E-4</v>
      </c>
      <c r="F181" s="7">
        <v>-3.2975291618766445E-3</v>
      </c>
      <c r="G181" s="7"/>
      <c r="H181" s="7">
        <f t="shared" si="11"/>
        <v>-2.605101050145886E-3</v>
      </c>
      <c r="I181" s="7">
        <f t="shared" si="12"/>
        <v>-6.1078692791461942E-3</v>
      </c>
      <c r="J181" s="7">
        <f t="shared" si="13"/>
        <v>1.0873286737634213E-2</v>
      </c>
      <c r="K181" s="7">
        <f t="shared" si="14"/>
        <v>4.0477167087633603E-3</v>
      </c>
      <c r="L181" s="7"/>
    </row>
    <row r="182" spans="1:12" x14ac:dyDescent="0.25">
      <c r="A182" s="2" t="s">
        <v>384</v>
      </c>
      <c r="B182" s="7">
        <v>6.0332541567695852E-3</v>
      </c>
      <c r="C182" s="7">
        <v>8.5764407770774209E-3</v>
      </c>
      <c r="D182" s="7">
        <v>2.7237354085603238E-2</v>
      </c>
      <c r="E182" s="7">
        <v>2.706346913223534E-2</v>
      </c>
      <c r="F182" s="7">
        <v>2.7461737178402501E-3</v>
      </c>
      <c r="G182" s="7"/>
      <c r="H182" s="7">
        <f t="shared" si="11"/>
        <v>3.2870804389293351E-3</v>
      </c>
      <c r="I182" s="7">
        <f t="shared" si="12"/>
        <v>5.8302670592371708E-3</v>
      </c>
      <c r="J182" s="7">
        <f t="shared" si="13"/>
        <v>2.4491180367762988E-2</v>
      </c>
      <c r="K182" s="7">
        <f t="shared" si="14"/>
        <v>2.431729541439509E-2</v>
      </c>
      <c r="L182" s="7"/>
    </row>
    <row r="183" spans="1:12" x14ac:dyDescent="0.25">
      <c r="A183" s="2" t="s">
        <v>385</v>
      </c>
      <c r="B183" s="7">
        <v>5.3971438123894266E-3</v>
      </c>
      <c r="C183" s="7">
        <v>1.4568226763348679E-2</v>
      </c>
      <c r="D183" s="7">
        <v>-2.6515151515151603E-2</v>
      </c>
      <c r="E183" s="7">
        <v>-3.8522085378275728E-2</v>
      </c>
      <c r="F183" s="7">
        <v>6.0621442064276998E-3</v>
      </c>
      <c r="G183" s="7"/>
      <c r="H183" s="7">
        <f t="shared" si="11"/>
        <v>-6.6500039403827316E-4</v>
      </c>
      <c r="I183" s="7">
        <f t="shared" si="12"/>
        <v>8.5060825569209797E-3</v>
      </c>
      <c r="J183" s="7">
        <f t="shared" si="13"/>
        <v>-3.2577295721579302E-2</v>
      </c>
      <c r="K183" s="7">
        <f t="shared" si="14"/>
        <v>-4.4584229584703428E-2</v>
      </c>
      <c r="L183" s="7"/>
    </row>
    <row r="184" spans="1:12" x14ac:dyDescent="0.25">
      <c r="A184" s="2" t="s">
        <v>386</v>
      </c>
      <c r="B184" s="7">
        <v>2.8665615594092309E-4</v>
      </c>
      <c r="C184" s="7">
        <v>1.254839140301689E-2</v>
      </c>
      <c r="D184" s="7">
        <v>-7.5187969924812581E-3</v>
      </c>
      <c r="E184" s="7">
        <v>1.6185188670367889E-2</v>
      </c>
      <c r="F184" s="7">
        <v>-7.1589314893449885E-4</v>
      </c>
      <c r="G184" s="7"/>
      <c r="H184" s="7">
        <f t="shared" si="11"/>
        <v>1.0025493048754219E-3</v>
      </c>
      <c r="I184" s="7">
        <f t="shared" si="12"/>
        <v>1.3264284551951389E-2</v>
      </c>
      <c r="J184" s="7">
        <f t="shared" si="13"/>
        <v>-6.8029038435467593E-3</v>
      </c>
      <c r="K184" s="7">
        <f t="shared" si="14"/>
        <v>1.6901081819302388E-2</v>
      </c>
      <c r="L184" s="7"/>
    </row>
    <row r="185" spans="1:12" x14ac:dyDescent="0.25">
      <c r="A185" s="2" t="s">
        <v>39</v>
      </c>
      <c r="B185" s="7">
        <v>-1.6862376702677317E-2</v>
      </c>
      <c r="C185" s="7">
        <v>-7.2228480551321805E-3</v>
      </c>
      <c r="D185" s="7">
        <v>1.1406844106463865E-2</v>
      </c>
      <c r="E185" s="7">
        <v>-2.2355105795768271E-2</v>
      </c>
      <c r="F185" s="7">
        <v>-7.8622787390415505E-3</v>
      </c>
      <c r="G185" s="7"/>
      <c r="H185" s="7">
        <f t="shared" si="11"/>
        <v>-9.000097963635767E-3</v>
      </c>
      <c r="I185" s="7">
        <f t="shared" si="12"/>
        <v>6.3943068390936997E-4</v>
      </c>
      <c r="J185" s="7">
        <f t="shared" si="13"/>
        <v>1.9269122845505415E-2</v>
      </c>
      <c r="K185" s="7">
        <f t="shared" si="14"/>
        <v>-1.449282705672672E-2</v>
      </c>
      <c r="L185" s="7"/>
    </row>
    <row r="186" spans="1:12" x14ac:dyDescent="0.25">
      <c r="A186" s="2" t="s">
        <v>387</v>
      </c>
      <c r="B186" s="7">
        <v>5.193578847969782E-3</v>
      </c>
      <c r="C186" s="7">
        <v>-6.6482359136387226E-3</v>
      </c>
      <c r="D186" s="7">
        <v>1.1538461538461497E-2</v>
      </c>
      <c r="E186" s="7">
        <v>-1.815554150483234E-2</v>
      </c>
      <c r="F186" s="7">
        <v>8.33892687501403E-3</v>
      </c>
      <c r="G186" s="7"/>
      <c r="H186" s="7">
        <f t="shared" si="11"/>
        <v>-3.145348027044248E-3</v>
      </c>
      <c r="I186" s="7">
        <f t="shared" si="12"/>
        <v>-1.4987162788652753E-2</v>
      </c>
      <c r="J186" s="7">
        <f t="shared" si="13"/>
        <v>3.1995346634474675E-3</v>
      </c>
      <c r="K186" s="7">
        <f t="shared" si="14"/>
        <v>-2.649446837984637E-2</v>
      </c>
      <c r="L186" s="7"/>
    </row>
    <row r="187" spans="1:12" x14ac:dyDescent="0.25">
      <c r="A187" s="2" t="s">
        <v>388</v>
      </c>
      <c r="B187" s="7">
        <v>2.225010859597476E-2</v>
      </c>
      <c r="C187" s="7">
        <v>9.8833761612948656E-4</v>
      </c>
      <c r="D187" s="7">
        <v>2.7667984189723382E-2</v>
      </c>
      <c r="E187" s="7">
        <v>-2.8604018601386394E-2</v>
      </c>
      <c r="F187" s="7">
        <v>4.7450714019499074E-3</v>
      </c>
      <c r="G187" s="7"/>
      <c r="H187" s="7">
        <f t="shared" si="11"/>
        <v>1.7505037194024853E-2</v>
      </c>
      <c r="I187" s="7">
        <f t="shared" si="12"/>
        <v>-3.7567337858204208E-3</v>
      </c>
      <c r="J187" s="7">
        <f t="shared" si="13"/>
        <v>2.2922912787773475E-2</v>
      </c>
      <c r="K187" s="7">
        <f t="shared" si="14"/>
        <v>-3.3349090003336301E-2</v>
      </c>
      <c r="L187" s="7"/>
    </row>
    <row r="188" spans="1:12" x14ac:dyDescent="0.25">
      <c r="A188" s="2" t="s">
        <v>389</v>
      </c>
      <c r="B188" s="7">
        <v>1.2906379858225403E-2</v>
      </c>
      <c r="C188" s="7">
        <v>1.0318199973372355E-2</v>
      </c>
      <c r="D188" s="7">
        <v>-7.8431372549019329E-3</v>
      </c>
      <c r="E188" s="7">
        <v>4.937836169649934E-3</v>
      </c>
      <c r="F188" s="7">
        <v>-1.1184618731818752E-3</v>
      </c>
      <c r="G188" s="7"/>
      <c r="H188" s="7">
        <f t="shared" si="11"/>
        <v>1.4024841731407278E-2</v>
      </c>
      <c r="I188" s="7">
        <f t="shared" si="12"/>
        <v>1.143666184655423E-2</v>
      </c>
      <c r="J188" s="7">
        <f t="shared" si="13"/>
        <v>-6.7246753817200577E-3</v>
      </c>
      <c r="K188" s="7">
        <f t="shared" si="14"/>
        <v>6.0562980428318092E-3</v>
      </c>
      <c r="L188" s="7"/>
    </row>
    <row r="189" spans="1:12" x14ac:dyDescent="0.25">
      <c r="A189" s="2" t="s">
        <v>40</v>
      </c>
      <c r="B189" s="7">
        <v>2.0352172394872081E-2</v>
      </c>
      <c r="C189" s="7">
        <v>1.4666666666667272E-3</v>
      </c>
      <c r="D189" s="7">
        <v>-2.6717557251908497E-2</v>
      </c>
      <c r="E189" s="7">
        <v>-5.8730715287517166E-3</v>
      </c>
      <c r="F189" s="7">
        <v>5.1643671625301035E-3</v>
      </c>
      <c r="G189" s="7"/>
      <c r="H189" s="7">
        <f t="shared" si="11"/>
        <v>1.5187805232341978E-2</v>
      </c>
      <c r="I189" s="7">
        <f t="shared" si="12"/>
        <v>-3.6977004958633763E-3</v>
      </c>
      <c r="J189" s="7">
        <f t="shared" si="13"/>
        <v>-3.18819244144386E-2</v>
      </c>
      <c r="K189" s="7">
        <f t="shared" si="14"/>
        <v>-1.103743869128182E-2</v>
      </c>
      <c r="L189" s="7"/>
    </row>
    <row r="190" spans="1:12" x14ac:dyDescent="0.25">
      <c r="A190" s="2" t="s">
        <v>390</v>
      </c>
      <c r="B190" s="7">
        <v>3.9922151803994943E-4</v>
      </c>
      <c r="C190" s="7">
        <v>8.3355740790536093E-3</v>
      </c>
      <c r="D190" s="7">
        <v>3.8314176245211051E-3</v>
      </c>
      <c r="E190" s="7">
        <v>1.3165979109979187E-3</v>
      </c>
      <c r="F190" s="7">
        <v>5.2190027063907518E-3</v>
      </c>
      <c r="G190" s="7"/>
      <c r="H190" s="7">
        <f t="shared" si="11"/>
        <v>-4.8197811883508024E-3</v>
      </c>
      <c r="I190" s="7">
        <f t="shared" si="12"/>
        <v>3.1165713726628574E-3</v>
      </c>
      <c r="J190" s="7">
        <f t="shared" si="13"/>
        <v>-1.3875850818696467E-3</v>
      </c>
      <c r="K190" s="7">
        <f t="shared" si="14"/>
        <v>-3.9024047953928331E-3</v>
      </c>
      <c r="L190" s="7"/>
    </row>
    <row r="191" spans="1:12" x14ac:dyDescent="0.25">
      <c r="A191" s="2" t="s">
        <v>391</v>
      </c>
      <c r="B191" s="7">
        <v>-2.7867628763373897E-3</v>
      </c>
      <c r="C191" s="7">
        <v>2.0371767610947167E-2</v>
      </c>
      <c r="D191" s="7">
        <v>-1.1363636363636465E-2</v>
      </c>
      <c r="E191" s="7">
        <v>-5.4124836316018499E-3</v>
      </c>
      <c r="F191" s="7">
        <v>8.0201439226810223E-3</v>
      </c>
      <c r="G191" s="7"/>
      <c r="H191" s="7">
        <f t="shared" si="11"/>
        <v>-1.0806906799018412E-2</v>
      </c>
      <c r="I191" s="7">
        <f t="shared" si="12"/>
        <v>1.2351623688266145E-2</v>
      </c>
      <c r="J191" s="7">
        <f t="shared" si="13"/>
        <v>-1.9383780286317487E-2</v>
      </c>
      <c r="K191" s="7">
        <f t="shared" si="14"/>
        <v>-1.3432627554282872E-2</v>
      </c>
      <c r="L191" s="7"/>
    </row>
    <row r="192" spans="1:12" x14ac:dyDescent="0.25">
      <c r="A192" s="2" t="s">
        <v>392</v>
      </c>
      <c r="B192" s="7">
        <v>6.3097801592468805E-3</v>
      </c>
      <c r="C192" s="7">
        <v>-1.4133080876386317E-2</v>
      </c>
      <c r="D192" s="7">
        <v>3.125E-2</v>
      </c>
      <c r="E192" s="7">
        <v>-2.1023844115887647E-2</v>
      </c>
      <c r="F192" s="7">
        <v>-3.282897091061443E-6</v>
      </c>
      <c r="G192" s="7"/>
      <c r="H192" s="7">
        <f t="shared" si="11"/>
        <v>6.313063056337942E-3</v>
      </c>
      <c r="I192" s="7">
        <f t="shared" si="12"/>
        <v>-1.4129797979295255E-2</v>
      </c>
      <c r="J192" s="7">
        <f t="shared" si="13"/>
        <v>3.1253282897091061E-2</v>
      </c>
      <c r="K192" s="7">
        <f t="shared" si="14"/>
        <v>-2.1020561218796585E-2</v>
      </c>
      <c r="L192" s="7"/>
    </row>
    <row r="193" spans="1:12" x14ac:dyDescent="0.25">
      <c r="A193" s="2" t="s">
        <v>393</v>
      </c>
      <c r="B193" s="7">
        <v>-5.9734182886156395E-3</v>
      </c>
      <c r="C193" s="7">
        <v>1.5380390002746491E-2</v>
      </c>
      <c r="D193" s="7">
        <v>-4.8327137546468335E-2</v>
      </c>
      <c r="E193" s="7">
        <v>3.4662658059952278E-2</v>
      </c>
      <c r="F193" s="7">
        <v>1.1121677894565751E-2</v>
      </c>
      <c r="G193" s="7"/>
      <c r="H193" s="7">
        <f t="shared" si="11"/>
        <v>-1.7095096183181391E-2</v>
      </c>
      <c r="I193" s="7">
        <f t="shared" si="12"/>
        <v>4.25871210818074E-3</v>
      </c>
      <c r="J193" s="7">
        <f t="shared" si="13"/>
        <v>-5.9448815441034086E-2</v>
      </c>
      <c r="K193" s="7">
        <f t="shared" si="14"/>
        <v>2.3540980165386527E-2</v>
      </c>
      <c r="L193" s="7"/>
    </row>
    <row r="194" spans="1:12" x14ac:dyDescent="0.25">
      <c r="A194" s="2" t="s">
        <v>41</v>
      </c>
      <c r="B194" s="7">
        <v>2.4951344877488513E-3</v>
      </c>
      <c r="C194" s="7">
        <v>2.4767801857584981E-2</v>
      </c>
      <c r="D194" s="7">
        <v>7.4906367041198685E-3</v>
      </c>
      <c r="E194" s="7">
        <v>7.0790195557912661E-4</v>
      </c>
      <c r="F194" s="7">
        <v>9.6064907906379116E-3</v>
      </c>
      <c r="G194" s="7"/>
      <c r="H194" s="7">
        <f t="shared" si="11"/>
        <v>-7.1113563028890603E-3</v>
      </c>
      <c r="I194" s="7">
        <f t="shared" si="12"/>
        <v>1.516131106694707E-2</v>
      </c>
      <c r="J194" s="7">
        <f t="shared" si="13"/>
        <v>-2.1158540865180431E-3</v>
      </c>
      <c r="K194" s="7">
        <f t="shared" si="14"/>
        <v>-8.898588835058785E-3</v>
      </c>
      <c r="L194" s="7"/>
    </row>
    <row r="195" spans="1:12" x14ac:dyDescent="0.25">
      <c r="A195" s="2" t="s">
        <v>394</v>
      </c>
      <c r="B195" s="7">
        <v>2.2502296152668633E-2</v>
      </c>
      <c r="C195" s="7">
        <v>1.0667045939411146E-2</v>
      </c>
      <c r="D195" s="7">
        <v>-3.2608695652173836E-2</v>
      </c>
      <c r="E195" s="7">
        <v>-4.2294475284164745E-3</v>
      </c>
      <c r="F195" s="7">
        <v>-2.1786128105107938E-3</v>
      </c>
      <c r="G195" s="7"/>
      <c r="H195" s="7">
        <f t="shared" ref="H195:H258" si="15">B195-$F195</f>
        <v>2.4680908963179427E-2</v>
      </c>
      <c r="I195" s="7">
        <f t="shared" ref="I195:I258" si="16">C195-$F195</f>
        <v>1.284565874992194E-2</v>
      </c>
      <c r="J195" s="7">
        <f t="shared" ref="J195:J258" si="17">D195-$F195</f>
        <v>-3.0430082841663042E-2</v>
      </c>
      <c r="K195" s="7">
        <f t="shared" ref="K195:K258" si="18">E195-$F195</f>
        <v>-2.0508347179056807E-3</v>
      </c>
      <c r="L195" s="7"/>
    </row>
    <row r="196" spans="1:12" x14ac:dyDescent="0.25">
      <c r="A196" s="2" t="s">
        <v>395</v>
      </c>
      <c r="B196" s="7">
        <v>4.7680082030248094E-3</v>
      </c>
      <c r="C196" s="7">
        <v>2.1379703534778471E-3</v>
      </c>
      <c r="D196" s="7">
        <v>-3.6101083032491488E-3</v>
      </c>
      <c r="E196" s="7">
        <v>-1.3387811875163025E-2</v>
      </c>
      <c r="F196" s="7">
        <v>-3.0922389816012696E-4</v>
      </c>
      <c r="G196" s="7"/>
      <c r="H196" s="7">
        <f t="shared" si="15"/>
        <v>5.0772321011849364E-3</v>
      </c>
      <c r="I196" s="7">
        <f t="shared" si="16"/>
        <v>2.4471942516379741E-3</v>
      </c>
      <c r="J196" s="7">
        <f t="shared" si="17"/>
        <v>-3.3008844050890218E-3</v>
      </c>
      <c r="K196" s="7">
        <f t="shared" si="18"/>
        <v>-1.3078587977002898E-2</v>
      </c>
      <c r="L196" s="7"/>
    </row>
    <row r="197" spans="1:12" x14ac:dyDescent="0.25">
      <c r="A197" s="2" t="s">
        <v>396</v>
      </c>
      <c r="B197" s="7">
        <v>-1.4002628652310056E-2</v>
      </c>
      <c r="C197" s="7">
        <v>-1.9700992035769138E-2</v>
      </c>
      <c r="D197" s="7">
        <v>2.9739776951672958E-2</v>
      </c>
      <c r="E197" s="7">
        <v>-8.0200068989305651E-3</v>
      </c>
      <c r="F197" s="7">
        <v>-8.3522428730786746E-3</v>
      </c>
      <c r="G197" s="7"/>
      <c r="H197" s="7">
        <f t="shared" si="15"/>
        <v>-5.6503857792313816E-3</v>
      </c>
      <c r="I197" s="7">
        <f t="shared" si="16"/>
        <v>-1.1348749162690464E-2</v>
      </c>
      <c r="J197" s="7">
        <f t="shared" si="17"/>
        <v>3.8092019824751633E-2</v>
      </c>
      <c r="K197" s="7">
        <f t="shared" si="18"/>
        <v>3.3223597414810957E-4</v>
      </c>
      <c r="L197" s="7"/>
    </row>
    <row r="198" spans="1:12" x14ac:dyDescent="0.25">
      <c r="A198" s="2" t="s">
        <v>42</v>
      </c>
      <c r="B198" s="7">
        <v>1.0058718406944056E-2</v>
      </c>
      <c r="C198" s="7">
        <v>1.9297870825321972E-2</v>
      </c>
      <c r="D198" s="7">
        <v>-2.1818181818181848E-2</v>
      </c>
      <c r="E198" s="7">
        <v>2.7376627979090795E-2</v>
      </c>
      <c r="F198" s="7">
        <v>9.3927190532994143E-3</v>
      </c>
      <c r="G198" s="7"/>
      <c r="H198" s="7">
        <f t="shared" si="15"/>
        <v>6.659993536446418E-4</v>
      </c>
      <c r="I198" s="7">
        <f t="shared" si="16"/>
        <v>9.9051517720225579E-3</v>
      </c>
      <c r="J198" s="7">
        <f t="shared" si="17"/>
        <v>-3.1210900871481262E-2</v>
      </c>
      <c r="K198" s="7">
        <f t="shared" si="18"/>
        <v>1.7983908925791381E-2</v>
      </c>
      <c r="L198" s="7"/>
    </row>
    <row r="199" spans="1:12" x14ac:dyDescent="0.25">
      <c r="A199" s="2" t="s">
        <v>397</v>
      </c>
      <c r="B199" s="7">
        <v>-1.3846928499496425E-2</v>
      </c>
      <c r="C199" s="7">
        <v>-1.6940847042351992E-2</v>
      </c>
      <c r="D199" s="7">
        <v>4.1666666666666519E-2</v>
      </c>
      <c r="E199" s="7">
        <v>-3.2155719430629448E-2</v>
      </c>
      <c r="F199" s="7">
        <v>-1.1296453750541779E-2</v>
      </c>
      <c r="G199" s="7"/>
      <c r="H199" s="7">
        <f t="shared" si="15"/>
        <v>-2.5504747489546453E-3</v>
      </c>
      <c r="I199" s="7">
        <f t="shared" si="16"/>
        <v>-5.6443932918102124E-3</v>
      </c>
      <c r="J199" s="7">
        <f t="shared" si="17"/>
        <v>5.2963120417208298E-2</v>
      </c>
      <c r="K199" s="7">
        <f t="shared" si="18"/>
        <v>-2.0859265680087669E-2</v>
      </c>
      <c r="L199" s="7"/>
    </row>
    <row r="200" spans="1:12" x14ac:dyDescent="0.25">
      <c r="A200" s="2" t="s">
        <v>398</v>
      </c>
      <c r="B200" s="7">
        <v>2.1192854980320863E-3</v>
      </c>
      <c r="C200" s="7">
        <v>-1.6320066106596864E-2</v>
      </c>
      <c r="D200" s="7">
        <v>1.538461538461533E-2</v>
      </c>
      <c r="E200" s="7">
        <v>-1.4451111298909747E-2</v>
      </c>
      <c r="F200" s="7">
        <v>3.8224979409655635E-3</v>
      </c>
      <c r="G200" s="7"/>
      <c r="H200" s="7">
        <f t="shared" si="15"/>
        <v>-1.7032124429334772E-3</v>
      </c>
      <c r="I200" s="7">
        <f t="shared" si="16"/>
        <v>-2.0142564047562428E-2</v>
      </c>
      <c r="J200" s="7">
        <f t="shared" si="17"/>
        <v>1.1562117443649766E-2</v>
      </c>
      <c r="K200" s="7">
        <f t="shared" si="18"/>
        <v>-1.827360923987531E-2</v>
      </c>
      <c r="L200" s="7"/>
    </row>
    <row r="201" spans="1:12" x14ac:dyDescent="0.25">
      <c r="A201" s="2" t="s">
        <v>399</v>
      </c>
      <c r="B201" s="7">
        <v>-1.9202217163218793E-2</v>
      </c>
      <c r="C201" s="7">
        <v>1.4602109969957366E-2</v>
      </c>
      <c r="D201" s="7">
        <v>3.8610038610038533E-3</v>
      </c>
      <c r="E201" s="7">
        <v>-1.2682519816437199E-2</v>
      </c>
      <c r="F201" s="7">
        <v>-2.7439180898224391E-3</v>
      </c>
      <c r="G201" s="7"/>
      <c r="H201" s="7">
        <f t="shared" si="15"/>
        <v>-1.6458299073396354E-2</v>
      </c>
      <c r="I201" s="7">
        <f t="shared" si="16"/>
        <v>1.7346028059779806E-2</v>
      </c>
      <c r="J201" s="7">
        <f t="shared" si="17"/>
        <v>6.6049219508262924E-3</v>
      </c>
      <c r="K201" s="7">
        <f t="shared" si="18"/>
        <v>-9.9386017266147597E-3</v>
      </c>
      <c r="L201" s="7"/>
    </row>
    <row r="202" spans="1:12" x14ac:dyDescent="0.25">
      <c r="A202" s="2" t="s">
        <v>400</v>
      </c>
      <c r="B202" s="7">
        <v>6.0744871539533118E-3</v>
      </c>
      <c r="C202" s="7">
        <v>5.7620687232098344E-3</v>
      </c>
      <c r="D202" s="7">
        <v>1.171875E-2</v>
      </c>
      <c r="E202" s="7">
        <v>3.2646911099949438E-3</v>
      </c>
      <c r="F202" s="7">
        <v>5.4829600325014827E-3</v>
      </c>
      <c r="G202" s="7"/>
      <c r="H202" s="7">
        <f t="shared" si="15"/>
        <v>5.9152712145182917E-4</v>
      </c>
      <c r="I202" s="7">
        <f t="shared" si="16"/>
        <v>2.7910869070835176E-4</v>
      </c>
      <c r="J202" s="7">
        <f t="shared" si="17"/>
        <v>6.2357899674985173E-3</v>
      </c>
      <c r="K202" s="7">
        <f t="shared" si="18"/>
        <v>-2.2182689225065388E-3</v>
      </c>
      <c r="L202" s="7"/>
    </row>
    <row r="203" spans="1:12" x14ac:dyDescent="0.25">
      <c r="A203" s="2" t="s">
        <v>43</v>
      </c>
      <c r="B203" s="7">
        <v>-1.2100344318740852E-2</v>
      </c>
      <c r="C203" s="7">
        <v>-8.7762067284250511E-3</v>
      </c>
      <c r="D203" s="7">
        <v>-1.5384615384615441E-2</v>
      </c>
      <c r="E203" s="7">
        <v>1.7546848381601254E-2</v>
      </c>
      <c r="F203" s="7">
        <v>9.1994480331192285E-4</v>
      </c>
      <c r="G203" s="7"/>
      <c r="H203" s="7">
        <f t="shared" si="15"/>
        <v>-1.3020289122052775E-2</v>
      </c>
      <c r="I203" s="7">
        <f t="shared" si="16"/>
        <v>-9.696151531736974E-3</v>
      </c>
      <c r="J203" s="7">
        <f t="shared" si="17"/>
        <v>-1.6304560187927364E-2</v>
      </c>
      <c r="K203" s="7">
        <f t="shared" si="18"/>
        <v>1.6626903578289332E-2</v>
      </c>
      <c r="L203" s="7"/>
    </row>
    <row r="204" spans="1:12" x14ac:dyDescent="0.25">
      <c r="A204" s="2" t="s">
        <v>401</v>
      </c>
      <c r="B204" s="7">
        <v>1.6398360163983661E-2</v>
      </c>
      <c r="C204" s="7">
        <v>-5.196784922394726E-3</v>
      </c>
      <c r="D204" s="7">
        <v>-3.8314176245209941E-3</v>
      </c>
      <c r="E204" s="7">
        <v>-4.8317368822581308E-3</v>
      </c>
      <c r="F204" s="7">
        <v>1.0280672806559643E-2</v>
      </c>
      <c r="G204" s="7"/>
      <c r="H204" s="7">
        <f t="shared" si="15"/>
        <v>6.1176873574240176E-3</v>
      </c>
      <c r="I204" s="7">
        <f t="shared" si="16"/>
        <v>-1.5477457728954369E-2</v>
      </c>
      <c r="J204" s="7">
        <f t="shared" si="17"/>
        <v>-1.4112090431080637E-2</v>
      </c>
      <c r="K204" s="7">
        <f t="shared" si="18"/>
        <v>-1.5112409688817774E-2</v>
      </c>
      <c r="L204" s="7"/>
    </row>
    <row r="205" spans="1:12" x14ac:dyDescent="0.25">
      <c r="A205" s="2" t="s">
        <v>402</v>
      </c>
      <c r="B205" s="7">
        <v>-1.0781404549950468E-2</v>
      </c>
      <c r="C205" s="7">
        <v>-3.7277371255006742E-3</v>
      </c>
      <c r="D205" s="7">
        <v>-7.6045627376425395E-3</v>
      </c>
      <c r="E205" s="7">
        <v>4.3419036267666744E-3</v>
      </c>
      <c r="F205" s="7">
        <v>-5.2773409302925289E-3</v>
      </c>
      <c r="G205" s="7"/>
      <c r="H205" s="7">
        <f t="shared" si="15"/>
        <v>-5.5040636196579396E-3</v>
      </c>
      <c r="I205" s="7">
        <f t="shared" si="16"/>
        <v>1.5496038047918548E-3</v>
      </c>
      <c r="J205" s="7">
        <f t="shared" si="17"/>
        <v>-2.3272218073500106E-3</v>
      </c>
      <c r="K205" s="7">
        <f t="shared" si="18"/>
        <v>9.6192445570592033E-3</v>
      </c>
      <c r="L205" s="7"/>
    </row>
    <row r="206" spans="1:12" x14ac:dyDescent="0.25">
      <c r="A206" s="2" t="s">
        <v>403</v>
      </c>
      <c r="B206" s="7">
        <v>-2.2205773501111636E-3</v>
      </c>
      <c r="C206" s="7">
        <v>-8.8943623426380736E-3</v>
      </c>
      <c r="D206" s="7">
        <v>3.5433070866141669E-2</v>
      </c>
      <c r="E206" s="7">
        <v>3.8917388996992708E-2</v>
      </c>
      <c r="F206" s="7">
        <v>7.3697275043249633E-5</v>
      </c>
      <c r="G206" s="7"/>
      <c r="H206" s="7">
        <f t="shared" si="15"/>
        <v>-2.2942746251544133E-3</v>
      </c>
      <c r="I206" s="7">
        <f t="shared" si="16"/>
        <v>-8.9680596176813232E-3</v>
      </c>
      <c r="J206" s="7">
        <f t="shared" si="17"/>
        <v>3.535937359109842E-2</v>
      </c>
      <c r="K206" s="7">
        <f t="shared" si="18"/>
        <v>3.8843691721949458E-2</v>
      </c>
      <c r="L206" s="7"/>
    </row>
    <row r="207" spans="1:12" x14ac:dyDescent="0.25">
      <c r="A207" s="2" t="s">
        <v>404</v>
      </c>
      <c r="B207" s="7">
        <v>7.7577204236909392E-3</v>
      </c>
      <c r="C207" s="7">
        <v>1.1838006230529663E-2</v>
      </c>
      <c r="D207" s="7">
        <v>-7.8125E-3</v>
      </c>
      <c r="E207" s="7">
        <v>1.9496632399857994E-3</v>
      </c>
      <c r="F207" s="7">
        <v>5.8002607843070653E-3</v>
      </c>
      <c r="G207" s="7"/>
      <c r="H207" s="7">
        <f t="shared" si="15"/>
        <v>1.9574596393838739E-3</v>
      </c>
      <c r="I207" s="7">
        <f t="shared" si="16"/>
        <v>6.0377454462225977E-3</v>
      </c>
      <c r="J207" s="7">
        <f t="shared" si="17"/>
        <v>-1.3612760784307065E-2</v>
      </c>
      <c r="K207" s="7">
        <f t="shared" si="18"/>
        <v>-3.8505975443212659E-3</v>
      </c>
      <c r="L207" s="7"/>
    </row>
    <row r="208" spans="1:12" x14ac:dyDescent="0.25">
      <c r="A208" s="2" t="s">
        <v>44</v>
      </c>
      <c r="B208" s="7">
        <v>4.2449061126648147E-3</v>
      </c>
      <c r="C208" s="7">
        <v>-1.3184861319852526E-2</v>
      </c>
      <c r="D208" s="7">
        <v>2.4000000000000021E-2</v>
      </c>
      <c r="E208" s="7">
        <v>7.9499776686020596E-3</v>
      </c>
      <c r="F208" s="7">
        <v>4.1020418864994301E-3</v>
      </c>
      <c r="G208" s="7"/>
      <c r="H208" s="7">
        <f t="shared" si="15"/>
        <v>1.4286422616538452E-4</v>
      </c>
      <c r="I208" s="7">
        <f t="shared" si="16"/>
        <v>-1.7286903206351956E-2</v>
      </c>
      <c r="J208" s="7">
        <f t="shared" si="17"/>
        <v>1.9897958113500591E-2</v>
      </c>
      <c r="K208" s="7">
        <f t="shared" si="18"/>
        <v>3.8479357821026294E-3</v>
      </c>
      <c r="L208" s="7"/>
    </row>
    <row r="209" spans="1:12" x14ac:dyDescent="0.25">
      <c r="A209" s="2" t="s">
        <v>405</v>
      </c>
      <c r="B209" s="7">
        <v>4.5148991672518957E-3</v>
      </c>
      <c r="C209" s="7">
        <v>-8.5342725548631648E-3</v>
      </c>
      <c r="D209" s="7">
        <v>3.3057851239669533E-2</v>
      </c>
      <c r="E209" s="7">
        <v>-2.8464809511411948E-2</v>
      </c>
      <c r="F209" s="7">
        <v>-8.118846379590039E-5</v>
      </c>
      <c r="G209" s="7"/>
      <c r="H209" s="7">
        <f t="shared" si="15"/>
        <v>4.5960876310477961E-3</v>
      </c>
      <c r="I209" s="7">
        <f t="shared" si="16"/>
        <v>-8.4530840910672644E-3</v>
      </c>
      <c r="J209" s="7">
        <f t="shared" si="17"/>
        <v>3.3139039703465434E-2</v>
      </c>
      <c r="K209" s="7">
        <f t="shared" si="18"/>
        <v>-2.8383621047616048E-2</v>
      </c>
      <c r="L209" s="7"/>
    </row>
    <row r="210" spans="1:12" x14ac:dyDescent="0.25">
      <c r="A210" s="2" t="s">
        <v>406</v>
      </c>
      <c r="B210" s="7">
        <v>-2.3522346228916913E-3</v>
      </c>
      <c r="C210" s="7">
        <v>6.5448595582218161E-3</v>
      </c>
      <c r="D210" s="7">
        <v>-3.2000000000000028E-2</v>
      </c>
      <c r="E210" s="7">
        <v>3.7456445993031551E-3</v>
      </c>
      <c r="F210" s="7">
        <v>4.0111742279509421E-3</v>
      </c>
      <c r="G210" s="7"/>
      <c r="H210" s="7">
        <f t="shared" si="15"/>
        <v>-6.3634088508426334E-3</v>
      </c>
      <c r="I210" s="7">
        <f t="shared" si="16"/>
        <v>2.5336853302708739E-3</v>
      </c>
      <c r="J210" s="7">
        <f t="shared" si="17"/>
        <v>-3.6011174227950971E-2</v>
      </c>
      <c r="K210" s="7">
        <f t="shared" si="18"/>
        <v>-2.6552962864778706E-4</v>
      </c>
      <c r="L210" s="7"/>
    </row>
    <row r="211" spans="1:12" x14ac:dyDescent="0.25">
      <c r="A211" s="2" t="s">
        <v>407</v>
      </c>
      <c r="B211" s="7">
        <v>1.0521042084168375E-3</v>
      </c>
      <c r="C211" s="7">
        <v>-5.5593220338983063E-3</v>
      </c>
      <c r="D211" s="7">
        <v>-1.9607843137254832E-2</v>
      </c>
      <c r="E211" s="7">
        <v>-2.3228111971411614E-2</v>
      </c>
      <c r="F211" s="7">
        <v>-5.571185873944895E-3</v>
      </c>
      <c r="G211" s="7"/>
      <c r="H211" s="7">
        <f t="shared" si="15"/>
        <v>6.6232900823617324E-3</v>
      </c>
      <c r="I211" s="7">
        <f t="shared" si="16"/>
        <v>1.1863840046588692E-5</v>
      </c>
      <c r="J211" s="7">
        <f t="shared" si="17"/>
        <v>-1.4036657263309937E-2</v>
      </c>
      <c r="K211" s="7">
        <f t="shared" si="18"/>
        <v>-1.7656926097466719E-2</v>
      </c>
      <c r="L211" s="7"/>
    </row>
    <row r="212" spans="1:12" x14ac:dyDescent="0.25">
      <c r="A212" s="2" t="s">
        <v>408</v>
      </c>
      <c r="B212" s="7">
        <v>2.5272241627285696E-2</v>
      </c>
      <c r="C212" s="7">
        <v>1.2632157078127149E-2</v>
      </c>
      <c r="D212" s="7">
        <v>1.1904761904761862E-2</v>
      </c>
      <c r="E212" s="7">
        <v>-1.0023584905660354E-2</v>
      </c>
      <c r="F212" s="7">
        <v>2.0459018201495205E-2</v>
      </c>
      <c r="G212" s="7"/>
      <c r="H212" s="7">
        <f t="shared" si="15"/>
        <v>4.8132234257904916E-3</v>
      </c>
      <c r="I212" s="7">
        <f t="shared" si="16"/>
        <v>-7.8268611233680563E-3</v>
      </c>
      <c r="J212" s="7">
        <f t="shared" si="17"/>
        <v>-8.5542562967333424E-3</v>
      </c>
      <c r="K212" s="7">
        <f t="shared" si="18"/>
        <v>-3.0482603107155559E-2</v>
      </c>
      <c r="L212" s="7"/>
    </row>
    <row r="213" spans="1:12" x14ac:dyDescent="0.25">
      <c r="A213" s="2" t="s">
        <v>409</v>
      </c>
      <c r="B213" s="7">
        <v>-3.0236612702366106E-2</v>
      </c>
      <c r="C213" s="7">
        <v>-9.5872713673760268E-3</v>
      </c>
      <c r="D213" s="7">
        <v>2.4390243902439046E-2</v>
      </c>
      <c r="E213" s="7">
        <v>-6.1945421061442296E-3</v>
      </c>
      <c r="F213" s="7">
        <v>-6.708307585916562E-3</v>
      </c>
      <c r="G213" s="7"/>
      <c r="H213" s="7">
        <f t="shared" si="15"/>
        <v>-2.3528305116449544E-2</v>
      </c>
      <c r="I213" s="7">
        <f t="shared" si="16"/>
        <v>-2.8789637814594649E-3</v>
      </c>
      <c r="J213" s="7">
        <f t="shared" si="17"/>
        <v>3.1098551488355608E-2</v>
      </c>
      <c r="K213" s="7">
        <f t="shared" si="18"/>
        <v>5.1376547977233233E-4</v>
      </c>
      <c r="L213" s="7"/>
    </row>
    <row r="214" spans="1:12" x14ac:dyDescent="0.25">
      <c r="A214" s="2" t="s">
        <v>410</v>
      </c>
      <c r="B214" s="7">
        <v>-3.6231884057970065E-3</v>
      </c>
      <c r="C214" s="7">
        <v>2.5221540558963973E-3</v>
      </c>
      <c r="D214" s="7">
        <v>-2.3809523809523836E-2</v>
      </c>
      <c r="E214" s="7">
        <v>-1.7113707421425151E-2</v>
      </c>
      <c r="F214" s="7">
        <v>-4.4485431876539749E-4</v>
      </c>
      <c r="G214" s="7"/>
      <c r="H214" s="7">
        <f t="shared" si="15"/>
        <v>-3.178334087031609E-3</v>
      </c>
      <c r="I214" s="7">
        <f t="shared" si="16"/>
        <v>2.9670083746617948E-3</v>
      </c>
      <c r="J214" s="7">
        <f t="shared" si="17"/>
        <v>-2.3364669490758438E-2</v>
      </c>
      <c r="K214" s="7">
        <f t="shared" si="18"/>
        <v>-1.6668853102659753E-2</v>
      </c>
      <c r="L214" s="7"/>
    </row>
    <row r="215" spans="1:12" x14ac:dyDescent="0.25">
      <c r="A215" s="2" t="s">
        <v>411</v>
      </c>
      <c r="B215" s="7">
        <v>-2.3032536488386768E-2</v>
      </c>
      <c r="C215" s="7">
        <v>-3.0787526427061507E-2</v>
      </c>
      <c r="D215" s="7">
        <v>-1.9455252918287869E-2</v>
      </c>
      <c r="E215" s="7">
        <v>-1.2512187195320101E-2</v>
      </c>
      <c r="F215" s="7">
        <v>-1.6135114115741978E-2</v>
      </c>
      <c r="G215" s="7"/>
      <c r="H215" s="7">
        <f t="shared" si="15"/>
        <v>-6.8974223726447903E-3</v>
      </c>
      <c r="I215" s="7">
        <f t="shared" si="16"/>
        <v>-1.4652412311319529E-2</v>
      </c>
      <c r="J215" s="7">
        <f t="shared" si="17"/>
        <v>-3.3201388025458911E-3</v>
      </c>
      <c r="K215" s="7">
        <f t="shared" si="18"/>
        <v>3.6229269204218761E-3</v>
      </c>
      <c r="L215" s="7"/>
    </row>
    <row r="216" spans="1:12" x14ac:dyDescent="0.25">
      <c r="A216" s="2" t="s">
        <v>412</v>
      </c>
      <c r="B216" s="7">
        <v>-9.2241172231564139E-3</v>
      </c>
      <c r="C216" s="7">
        <v>6.6072018500396013E-5</v>
      </c>
      <c r="D216" s="7">
        <v>-3.8759689922481799E-3</v>
      </c>
      <c r="E216" s="7">
        <v>1.7863049950380461E-2</v>
      </c>
      <c r="F216" s="7">
        <v>-3.8802065866255786E-3</v>
      </c>
      <c r="G216" s="7"/>
      <c r="H216" s="7">
        <f t="shared" si="15"/>
        <v>-5.3439106365308353E-3</v>
      </c>
      <c r="I216" s="7">
        <f t="shared" si="16"/>
        <v>3.9462786051259746E-3</v>
      </c>
      <c r="J216" s="7">
        <f t="shared" si="17"/>
        <v>4.2375943773986791E-6</v>
      </c>
      <c r="K216" s="7">
        <f t="shared" si="18"/>
        <v>2.1743256537006039E-2</v>
      </c>
      <c r="L216" s="7"/>
    </row>
    <row r="217" spans="1:12" x14ac:dyDescent="0.25">
      <c r="A217" s="2" t="s">
        <v>45</v>
      </c>
      <c r="B217" s="7">
        <v>-1.1727281359794839E-2</v>
      </c>
      <c r="C217" s="7">
        <v>6.7181056272449524E-3</v>
      </c>
      <c r="D217" s="7">
        <v>-1.1494252873563093E-2</v>
      </c>
      <c r="E217" s="7">
        <v>-4.035911374680845E-3</v>
      </c>
      <c r="F217" s="7">
        <v>8.76077054501323E-4</v>
      </c>
      <c r="G217" s="7"/>
      <c r="H217" s="7">
        <f t="shared" si="15"/>
        <v>-1.2603358414296162E-2</v>
      </c>
      <c r="I217" s="7">
        <f t="shared" si="16"/>
        <v>5.8420285727436294E-3</v>
      </c>
      <c r="J217" s="7">
        <f t="shared" si="17"/>
        <v>-1.2370329928064416E-2</v>
      </c>
      <c r="K217" s="7">
        <f t="shared" si="18"/>
        <v>-4.911988429182168E-3</v>
      </c>
      <c r="L217" s="7"/>
    </row>
    <row r="218" spans="1:12" x14ac:dyDescent="0.25">
      <c r="A218" s="2" t="s">
        <v>413</v>
      </c>
      <c r="B218" s="7">
        <v>-9.0128551776480492E-4</v>
      </c>
      <c r="C218" s="7">
        <v>2.9373502225265247E-2</v>
      </c>
      <c r="D218" s="7">
        <v>1.5564202334630295E-2</v>
      </c>
      <c r="E218" s="7">
        <v>-3.5292186474065179E-3</v>
      </c>
      <c r="F218" s="7">
        <v>7.0053220166539365E-3</v>
      </c>
      <c r="G218" s="7"/>
      <c r="H218" s="7">
        <f t="shared" si="15"/>
        <v>-7.9066075344187414E-3</v>
      </c>
      <c r="I218" s="7">
        <f t="shared" si="16"/>
        <v>2.236818020861131E-2</v>
      </c>
      <c r="J218" s="7">
        <f t="shared" si="17"/>
        <v>8.5588803179763584E-3</v>
      </c>
      <c r="K218" s="7">
        <f t="shared" si="18"/>
        <v>-1.0534540664060454E-2</v>
      </c>
      <c r="L218" s="7"/>
    </row>
    <row r="219" spans="1:12" x14ac:dyDescent="0.25">
      <c r="A219" s="2" t="s">
        <v>414</v>
      </c>
      <c r="B219" s="7">
        <v>-4.1570220605602337E-3</v>
      </c>
      <c r="C219" s="7">
        <v>5.853994490358394E-3</v>
      </c>
      <c r="D219" s="7">
        <v>1.9841269841269771E-2</v>
      </c>
      <c r="E219" s="7">
        <v>-7.5709300561371484E-2</v>
      </c>
      <c r="F219" s="7">
        <v>4.1323155561741043E-3</v>
      </c>
      <c r="G219" s="7"/>
      <c r="H219" s="7">
        <f t="shared" si="15"/>
        <v>-8.289337616734338E-3</v>
      </c>
      <c r="I219" s="7">
        <f t="shared" si="16"/>
        <v>1.7216789341842897E-3</v>
      </c>
      <c r="J219" s="7">
        <f t="shared" si="17"/>
        <v>1.5708954285095666E-2</v>
      </c>
      <c r="K219" s="7">
        <f t="shared" si="18"/>
        <v>-7.9841616117545589E-2</v>
      </c>
      <c r="L219" s="7"/>
    </row>
    <row r="220" spans="1:12" x14ac:dyDescent="0.25">
      <c r="A220" s="2" t="s">
        <v>415</v>
      </c>
      <c r="B220" s="7">
        <v>-2.7793480309026286E-3</v>
      </c>
      <c r="C220" s="7">
        <v>-1.8985203702452602E-2</v>
      </c>
      <c r="D220" s="7">
        <v>8.0000000000000071E-3</v>
      </c>
      <c r="E220" s="7">
        <v>1.8229568978834987E-2</v>
      </c>
      <c r="F220" s="7">
        <v>1.024369112638146E-3</v>
      </c>
      <c r="G220" s="7"/>
      <c r="H220" s="7">
        <f t="shared" si="15"/>
        <v>-3.8037171435407746E-3</v>
      </c>
      <c r="I220" s="7">
        <f t="shared" si="16"/>
        <v>-2.0009572815090748E-2</v>
      </c>
      <c r="J220" s="7">
        <f t="shared" si="17"/>
        <v>6.9756308873618611E-3</v>
      </c>
      <c r="K220" s="7">
        <f t="shared" si="18"/>
        <v>1.7205199866196841E-2</v>
      </c>
      <c r="L220" s="7"/>
    </row>
    <row r="221" spans="1:12" x14ac:dyDescent="0.25">
      <c r="A221" s="2" t="s">
        <v>416</v>
      </c>
      <c r="B221" s="7">
        <v>1.0135617416131337E-2</v>
      </c>
      <c r="C221" s="7">
        <v>2.7098435065373572E-3</v>
      </c>
      <c r="D221" s="7">
        <v>2.4590163934426146E-2</v>
      </c>
      <c r="E221" s="7">
        <v>-6.8277713847333388E-3</v>
      </c>
      <c r="F221" s="7">
        <v>7.2482243048224149E-3</v>
      </c>
      <c r="G221" s="7"/>
      <c r="H221" s="7">
        <f t="shared" si="15"/>
        <v>2.8873931113089224E-3</v>
      </c>
      <c r="I221" s="7">
        <f t="shared" si="16"/>
        <v>-4.5383807982850577E-3</v>
      </c>
      <c r="J221" s="7">
        <f t="shared" si="17"/>
        <v>1.7341939629603731E-2</v>
      </c>
      <c r="K221" s="7">
        <f t="shared" si="18"/>
        <v>-1.4075995689555754E-2</v>
      </c>
      <c r="L221" s="7"/>
    </row>
    <row r="222" spans="1:12" x14ac:dyDescent="0.25">
      <c r="A222" s="2" t="s">
        <v>46</v>
      </c>
      <c r="B222" s="7">
        <v>6.3135528911822725E-2</v>
      </c>
      <c r="C222" s="7">
        <v>5.4206541922582563E-2</v>
      </c>
      <c r="D222" s="7">
        <v>-8.1300813008130524E-3</v>
      </c>
      <c r="E222" s="7">
        <v>5.7606490872210925E-2</v>
      </c>
      <c r="F222" s="7">
        <v>3.2558821606703869E-2</v>
      </c>
      <c r="G222" s="7"/>
      <c r="H222" s="7">
        <f t="shared" si="15"/>
        <v>3.0576707305118855E-2</v>
      </c>
      <c r="I222" s="7">
        <f t="shared" si="16"/>
        <v>2.1647720315878693E-2</v>
      </c>
      <c r="J222" s="7">
        <f t="shared" si="17"/>
        <v>-4.0688902907516922E-2</v>
      </c>
      <c r="K222" s="7">
        <f t="shared" si="18"/>
        <v>2.5047669265507055E-2</v>
      </c>
      <c r="L222" s="7"/>
    </row>
    <row r="223" spans="1:12" x14ac:dyDescent="0.25">
      <c r="A223" s="2" t="s">
        <v>417</v>
      </c>
      <c r="B223" s="7">
        <v>5.2891217006560964E-3</v>
      </c>
      <c r="C223" s="7">
        <v>1.0464025402323829E-2</v>
      </c>
      <c r="D223" s="7">
        <v>1.2345679012345512E-2</v>
      </c>
      <c r="E223" s="7">
        <v>-3.637833468067897E-3</v>
      </c>
      <c r="F223" s="7">
        <v>-7.1151883671083382E-4</v>
      </c>
      <c r="G223" s="7"/>
      <c r="H223" s="7">
        <f t="shared" si="15"/>
        <v>6.0006405373669303E-3</v>
      </c>
      <c r="I223" s="7">
        <f t="shared" si="16"/>
        <v>1.1175544239034663E-2</v>
      </c>
      <c r="J223" s="7">
        <f t="shared" si="17"/>
        <v>1.3057197849056346E-2</v>
      </c>
      <c r="K223" s="7">
        <f t="shared" si="18"/>
        <v>-2.9263146313570632E-3</v>
      </c>
      <c r="L223" s="7"/>
    </row>
    <row r="224" spans="1:12" x14ac:dyDescent="0.25">
      <c r="A224" s="2" t="s">
        <v>418</v>
      </c>
      <c r="B224" s="7">
        <v>6.2947799385875136E-3</v>
      </c>
      <c r="C224" s="7">
        <v>1.7924043194005757E-2</v>
      </c>
      <c r="D224" s="7">
        <v>-1.619433198380571E-2</v>
      </c>
      <c r="E224" s="7">
        <v>2.0795510810364792E-2</v>
      </c>
      <c r="F224" s="7">
        <v>5.7997471267632328E-3</v>
      </c>
      <c r="G224" s="7"/>
      <c r="H224" s="7">
        <f t="shared" si="15"/>
        <v>4.9503281182428083E-4</v>
      </c>
      <c r="I224" s="7">
        <f t="shared" si="16"/>
        <v>1.2124296067242524E-2</v>
      </c>
      <c r="J224" s="7">
        <f t="shared" si="17"/>
        <v>-2.1994079110568943E-2</v>
      </c>
      <c r="K224" s="7">
        <f t="shared" si="18"/>
        <v>1.499576368360156E-2</v>
      </c>
      <c r="L224" s="7"/>
    </row>
    <row r="225" spans="1:12" x14ac:dyDescent="0.25">
      <c r="A225" s="2" t="s">
        <v>419</v>
      </c>
      <c r="B225" s="7">
        <v>-1.1383759170250474E-2</v>
      </c>
      <c r="C225" s="7">
        <v>4.5011806375441221E-3</v>
      </c>
      <c r="D225" s="7">
        <v>-1.19999999999999E-2</v>
      </c>
      <c r="E225" s="7">
        <v>-3.4729966544527646E-2</v>
      </c>
      <c r="F225" s="7">
        <v>4.3464225393308187E-3</v>
      </c>
      <c r="G225" s="7"/>
      <c r="H225" s="7">
        <f t="shared" si="15"/>
        <v>-1.5730181709581292E-2</v>
      </c>
      <c r="I225" s="7">
        <f t="shared" si="16"/>
        <v>1.5475809821330344E-4</v>
      </c>
      <c r="J225" s="7">
        <f t="shared" si="17"/>
        <v>-1.6346422539330718E-2</v>
      </c>
      <c r="K225" s="7">
        <f t="shared" si="18"/>
        <v>-3.9076389083858465E-2</v>
      </c>
      <c r="L225" s="7"/>
    </row>
    <row r="226" spans="1:12" x14ac:dyDescent="0.25">
      <c r="A226" s="2" t="s">
        <v>420</v>
      </c>
      <c r="B226" s="7">
        <v>-1.9189011765894382E-3</v>
      </c>
      <c r="C226" s="7">
        <v>-1.9746835443037902E-2</v>
      </c>
      <c r="D226" s="7">
        <v>-3.9840637450198058E-3</v>
      </c>
      <c r="E226" s="7">
        <v>8.5964489435206293E-3</v>
      </c>
      <c r="F226" s="7">
        <v>-7.6932878850626274E-3</v>
      </c>
      <c r="G226" s="7"/>
      <c r="H226" s="7">
        <f t="shared" si="15"/>
        <v>5.7743867084731892E-3</v>
      </c>
      <c r="I226" s="7">
        <f t="shared" si="16"/>
        <v>-1.2053547557975275E-2</v>
      </c>
      <c r="J226" s="7">
        <f t="shared" si="17"/>
        <v>3.7092241400428216E-3</v>
      </c>
      <c r="K226" s="7">
        <f t="shared" si="18"/>
        <v>1.6289736828583257E-2</v>
      </c>
      <c r="L226" s="7"/>
    </row>
    <row r="227" spans="1:12" x14ac:dyDescent="0.25">
      <c r="A227" s="2" t="s">
        <v>47</v>
      </c>
      <c r="B227" s="7">
        <v>-3.1448694121099519E-2</v>
      </c>
      <c r="C227" s="7">
        <v>-9.0316106372302363E-3</v>
      </c>
      <c r="D227" s="7">
        <v>2.0325203252032464E-2</v>
      </c>
      <c r="E227" s="7">
        <v>6.4688283334681795E-3</v>
      </c>
      <c r="F227" s="7">
        <v>-6.3815906321273985E-3</v>
      </c>
      <c r="G227" s="7"/>
      <c r="H227" s="7">
        <f t="shared" si="15"/>
        <v>-2.506710348897212E-2</v>
      </c>
      <c r="I227" s="7">
        <f t="shared" si="16"/>
        <v>-2.6500200051028378E-3</v>
      </c>
      <c r="J227" s="7">
        <f t="shared" si="17"/>
        <v>2.6706793884159863E-2</v>
      </c>
      <c r="K227" s="7">
        <f t="shared" si="18"/>
        <v>1.2850418965595578E-2</v>
      </c>
      <c r="L227" s="7"/>
    </row>
    <row r="228" spans="1:12" x14ac:dyDescent="0.25">
      <c r="A228" s="2" t="s">
        <v>421</v>
      </c>
      <c r="B228" s="7">
        <v>-3.7336974433824444E-2</v>
      </c>
      <c r="C228" s="7">
        <v>3.0354505169867041E-2</v>
      </c>
      <c r="D228" s="7">
        <v>2.0746887966804906E-2</v>
      </c>
      <c r="E228" s="7">
        <v>4.3364549059309976E-2</v>
      </c>
      <c r="F228" s="7">
        <v>1.4726612825518126E-2</v>
      </c>
      <c r="G228" s="7"/>
      <c r="H228" s="7">
        <f t="shared" si="15"/>
        <v>-5.206358725934257E-2</v>
      </c>
      <c r="I228" s="7">
        <f t="shared" si="16"/>
        <v>1.5627892344348915E-2</v>
      </c>
      <c r="J228" s="7">
        <f t="shared" si="17"/>
        <v>6.0202751412867794E-3</v>
      </c>
      <c r="K228" s="7">
        <f t="shared" si="18"/>
        <v>2.863793623379185E-2</v>
      </c>
      <c r="L228" s="7"/>
    </row>
    <row r="229" spans="1:12" x14ac:dyDescent="0.25">
      <c r="A229" s="2" t="s">
        <v>422</v>
      </c>
      <c r="B229" s="7">
        <v>3.8283391624915897E-3</v>
      </c>
      <c r="C229" s="7">
        <v>-7.3313782991202281E-3</v>
      </c>
      <c r="D229" s="7">
        <v>-4.1322314049585529E-3</v>
      </c>
      <c r="E229" s="7">
        <v>9.2813351498637342E-3</v>
      </c>
      <c r="F229" s="7">
        <v>6.2990881764606321E-3</v>
      </c>
      <c r="G229" s="7"/>
      <c r="H229" s="7">
        <f t="shared" si="15"/>
        <v>-2.4707490139690425E-3</v>
      </c>
      <c r="I229" s="7">
        <f t="shared" si="16"/>
        <v>-1.363046647558086E-2</v>
      </c>
      <c r="J229" s="7">
        <f t="shared" si="17"/>
        <v>-1.0431319581419185E-2</v>
      </c>
      <c r="K229" s="7">
        <f t="shared" si="18"/>
        <v>2.9822469734031021E-3</v>
      </c>
      <c r="L229" s="7"/>
    </row>
    <row r="230" spans="1:12" x14ac:dyDescent="0.25">
      <c r="A230" s="2" t="s">
        <v>423</v>
      </c>
      <c r="B230" s="7">
        <v>6.134385848114654E-3</v>
      </c>
      <c r="C230" s="7">
        <v>3.8269060936120258E-3</v>
      </c>
      <c r="D230" s="7">
        <v>-4.115226337448652E-3</v>
      </c>
      <c r="E230" s="7">
        <v>4.6193327630452696E-3</v>
      </c>
      <c r="F230" s="7">
        <v>1.4799948928487794E-3</v>
      </c>
      <c r="G230" s="7"/>
      <c r="H230" s="7">
        <f t="shared" si="15"/>
        <v>4.6543909552658747E-3</v>
      </c>
      <c r="I230" s="7">
        <f t="shared" si="16"/>
        <v>2.3469112007632464E-3</v>
      </c>
      <c r="J230" s="7">
        <f t="shared" si="17"/>
        <v>-5.5952212302974313E-3</v>
      </c>
      <c r="K230" s="7">
        <f t="shared" si="18"/>
        <v>3.1393378701964902E-3</v>
      </c>
      <c r="L230" s="7"/>
    </row>
    <row r="231" spans="1:12" x14ac:dyDescent="0.25">
      <c r="A231" s="2" t="s">
        <v>424</v>
      </c>
      <c r="B231" s="7">
        <v>5.0661950963055702E-3</v>
      </c>
      <c r="C231" s="7">
        <v>3.3227497600234468E-3</v>
      </c>
      <c r="D231" s="7">
        <v>1.2500000000000178E-2</v>
      </c>
      <c r="E231" s="7">
        <v>4.2955326460480947E-3</v>
      </c>
      <c r="F231" s="7">
        <v>5.8023965634184105E-3</v>
      </c>
      <c r="G231" s="7"/>
      <c r="H231" s="7">
        <f t="shared" si="15"/>
        <v>-7.3620146711284029E-4</v>
      </c>
      <c r="I231" s="7">
        <f t="shared" si="16"/>
        <v>-2.4796468033949637E-3</v>
      </c>
      <c r="J231" s="7">
        <f t="shared" si="17"/>
        <v>6.6976034365817672E-3</v>
      </c>
      <c r="K231" s="7">
        <f t="shared" si="18"/>
        <v>-1.5068639173703158E-3</v>
      </c>
      <c r="L231" s="7"/>
    </row>
    <row r="232" spans="1:12" x14ac:dyDescent="0.25">
      <c r="A232" s="2" t="s">
        <v>48</v>
      </c>
      <c r="B232" s="7">
        <v>4.1272735998463261E-3</v>
      </c>
      <c r="C232" s="7">
        <v>4.3755562147731464E-3</v>
      </c>
      <c r="D232" s="7">
        <v>-8.2644628099173278E-3</v>
      </c>
      <c r="E232" s="7">
        <v>-1.589448765640844E-2</v>
      </c>
      <c r="F232" s="7">
        <v>6.4069962951629478E-4</v>
      </c>
      <c r="G232" s="7"/>
      <c r="H232" s="7">
        <f t="shared" si="15"/>
        <v>3.4865739703300314E-3</v>
      </c>
      <c r="I232" s="7">
        <f t="shared" si="16"/>
        <v>3.7348565852568516E-3</v>
      </c>
      <c r="J232" s="7">
        <f t="shared" si="17"/>
        <v>-8.9051624394336226E-3</v>
      </c>
      <c r="K232" s="7">
        <f t="shared" si="18"/>
        <v>-1.6535187285924735E-2</v>
      </c>
      <c r="L232" s="7"/>
    </row>
    <row r="233" spans="1:12" x14ac:dyDescent="0.25">
      <c r="A233" s="2" t="s">
        <v>425</v>
      </c>
      <c r="B233" s="7">
        <v>4.3379765749265164E-3</v>
      </c>
      <c r="C233" s="7">
        <v>-1.121947642443355E-2</v>
      </c>
      <c r="D233" s="7">
        <v>1.2552301255229992E-2</v>
      </c>
      <c r="E233" s="7">
        <v>8.2686897962662709E-3</v>
      </c>
      <c r="F233" s="7">
        <v>7.3731441792452834E-3</v>
      </c>
      <c r="G233" s="7"/>
      <c r="H233" s="7">
        <f t="shared" si="15"/>
        <v>-3.035167604318767E-3</v>
      </c>
      <c r="I233" s="7">
        <f t="shared" si="16"/>
        <v>-1.8592620603678833E-2</v>
      </c>
      <c r="J233" s="7">
        <f t="shared" si="17"/>
        <v>5.1791570759847083E-3</v>
      </c>
      <c r="K233" s="7">
        <f t="shared" si="18"/>
        <v>8.9554561702098745E-4</v>
      </c>
      <c r="L233" s="7"/>
    </row>
    <row r="234" spans="1:12" x14ac:dyDescent="0.25">
      <c r="A234" s="2" t="s">
        <v>426</v>
      </c>
      <c r="B234" s="7">
        <v>1.8457611310195743E-2</v>
      </c>
      <c r="C234" s="7">
        <v>2.0733532934131826E-2</v>
      </c>
      <c r="D234" s="7">
        <v>1.2711864406779849E-2</v>
      </c>
      <c r="E234" s="7">
        <v>2.7352765193606743E-3</v>
      </c>
      <c r="F234" s="7">
        <v>2.025908412793509E-2</v>
      </c>
      <c r="G234" s="7"/>
      <c r="H234" s="7">
        <f t="shared" si="15"/>
        <v>-1.8014728177393469E-3</v>
      </c>
      <c r="I234" s="7">
        <f t="shared" si="16"/>
        <v>4.7444880619673668E-4</v>
      </c>
      <c r="J234" s="7">
        <f t="shared" si="17"/>
        <v>-7.5472197211552405E-3</v>
      </c>
      <c r="K234" s="7">
        <f t="shared" si="18"/>
        <v>-1.7523807608574415E-2</v>
      </c>
      <c r="L234" s="7"/>
    </row>
    <row r="235" spans="1:12" x14ac:dyDescent="0.25">
      <c r="A235" s="2" t="s">
        <v>427</v>
      </c>
      <c r="B235" s="7">
        <v>2.4337506914064555E-2</v>
      </c>
      <c r="C235" s="7">
        <v>-1.9423278051696746E-3</v>
      </c>
      <c r="D235" s="7">
        <v>1.7241379310344751E-2</v>
      </c>
      <c r="E235" s="7">
        <v>2.6678367705133654E-2</v>
      </c>
      <c r="F235" s="7">
        <v>1.6661119264111734E-2</v>
      </c>
      <c r="G235" s="7"/>
      <c r="H235" s="7">
        <f t="shared" si="15"/>
        <v>7.6763876499528205E-3</v>
      </c>
      <c r="I235" s="7">
        <f t="shared" si="16"/>
        <v>-1.8603447069281409E-2</v>
      </c>
      <c r="J235" s="7">
        <f t="shared" si="17"/>
        <v>5.8026004623301652E-4</v>
      </c>
      <c r="K235" s="7">
        <f t="shared" si="18"/>
        <v>1.001724844102192E-2</v>
      </c>
      <c r="L235" s="7"/>
    </row>
    <row r="236" spans="1:12" x14ac:dyDescent="0.25">
      <c r="A236" s="2" t="s">
        <v>428</v>
      </c>
      <c r="B236" s="7">
        <v>3.4057820299500996E-2</v>
      </c>
      <c r="C236" s="7">
        <v>8.1172764720135682E-2</v>
      </c>
      <c r="D236" s="7">
        <v>0</v>
      </c>
      <c r="E236" s="7">
        <v>5.1975627769571764E-2</v>
      </c>
      <c r="F236" s="7">
        <v>2.511728897677501E-2</v>
      </c>
      <c r="G236" s="7"/>
      <c r="H236" s="7">
        <f t="shared" si="15"/>
        <v>8.9405313227259864E-3</v>
      </c>
      <c r="I236" s="7">
        <f t="shared" si="16"/>
        <v>5.6055475743360672E-2</v>
      </c>
      <c r="J236" s="7">
        <f t="shared" si="17"/>
        <v>-2.511728897677501E-2</v>
      </c>
      <c r="K236" s="7">
        <f t="shared" si="18"/>
        <v>2.6858338792796754E-2</v>
      </c>
      <c r="L236" s="7"/>
    </row>
    <row r="237" spans="1:12" x14ac:dyDescent="0.25">
      <c r="A237" s="2" t="s">
        <v>49</v>
      </c>
      <c r="B237" s="7">
        <v>-1.9425890990669492E-2</v>
      </c>
      <c r="C237" s="7">
        <v>-3.1599530700039069E-2</v>
      </c>
      <c r="D237" s="7">
        <v>-2.1097046413502185E-2</v>
      </c>
      <c r="E237" s="7">
        <v>1.1769101438445562E-2</v>
      </c>
      <c r="F237" s="7">
        <v>-2.3567493895167213E-2</v>
      </c>
      <c r="G237" s="7"/>
      <c r="H237" s="7">
        <f t="shared" si="15"/>
        <v>4.1416029044977209E-3</v>
      </c>
      <c r="I237" s="7">
        <f t="shared" si="16"/>
        <v>-8.032036804871856E-3</v>
      </c>
      <c r="J237" s="7">
        <f t="shared" si="17"/>
        <v>2.4704474816650279E-3</v>
      </c>
      <c r="K237" s="7">
        <f t="shared" si="18"/>
        <v>3.5336595333612775E-2</v>
      </c>
      <c r="L237" s="7"/>
    </row>
    <row r="238" spans="1:12" x14ac:dyDescent="0.25">
      <c r="A238" s="2" t="s">
        <v>429</v>
      </c>
      <c r="B238" s="7">
        <v>1.3958537972392993E-2</v>
      </c>
      <c r="C238" s="7">
        <v>-1.9516003122560521E-3</v>
      </c>
      <c r="D238" s="7">
        <v>2.5974025974025983E-2</v>
      </c>
      <c r="E238" s="7">
        <v>1.9813297771003935E-2</v>
      </c>
      <c r="F238" s="7">
        <v>1.3268381447011368E-3</v>
      </c>
      <c r="G238" s="7"/>
      <c r="H238" s="7">
        <f t="shared" si="15"/>
        <v>1.2631699827691856E-2</v>
      </c>
      <c r="I238" s="7">
        <f t="shared" si="16"/>
        <v>-3.2784384569571889E-3</v>
      </c>
      <c r="J238" s="7">
        <f t="shared" si="17"/>
        <v>2.4647187829324846E-2</v>
      </c>
      <c r="K238" s="7">
        <f t="shared" si="18"/>
        <v>1.8486459626302798E-2</v>
      </c>
      <c r="L238" s="7"/>
    </row>
    <row r="239" spans="1:12" x14ac:dyDescent="0.25">
      <c r="A239" s="2" t="s">
        <v>430</v>
      </c>
      <c r="B239" s="7">
        <v>-3.8904899135446591E-2</v>
      </c>
      <c r="C239" s="7">
        <v>-3.5464196973119533E-2</v>
      </c>
      <c r="D239" s="7">
        <v>1.7621145374449254E-2</v>
      </c>
      <c r="E239" s="7">
        <v>-4.9180327868852403E-2</v>
      </c>
      <c r="F239" s="7">
        <v>-2.2408428964001637E-2</v>
      </c>
      <c r="G239" s="7"/>
      <c r="H239" s="7">
        <f t="shared" si="15"/>
        <v>-1.6496470171444955E-2</v>
      </c>
      <c r="I239" s="7">
        <f t="shared" si="16"/>
        <v>-1.3055768009117896E-2</v>
      </c>
      <c r="J239" s="7">
        <f t="shared" si="17"/>
        <v>4.0029574338450891E-2</v>
      </c>
      <c r="K239" s="7">
        <f t="shared" si="18"/>
        <v>-2.6771898904850766E-2</v>
      </c>
      <c r="L239" s="7"/>
    </row>
    <row r="240" spans="1:12" x14ac:dyDescent="0.25">
      <c r="A240" s="2" t="s">
        <v>431</v>
      </c>
      <c r="B240" s="7">
        <v>-1.884546716921176E-3</v>
      </c>
      <c r="C240" s="7">
        <v>-5.5409958816923233E-3</v>
      </c>
      <c r="D240" s="7">
        <v>-2.9914529914529808E-2</v>
      </c>
      <c r="E240" s="7">
        <v>-1.4900071377587421E-2</v>
      </c>
      <c r="F240" s="7">
        <v>-1.7277195396940837E-3</v>
      </c>
      <c r="G240" s="7"/>
      <c r="H240" s="7">
        <f t="shared" si="15"/>
        <v>-1.5682717722709238E-4</v>
      </c>
      <c r="I240" s="7">
        <f t="shared" si="16"/>
        <v>-3.8132763419982396E-3</v>
      </c>
      <c r="J240" s="7">
        <f t="shared" si="17"/>
        <v>-2.8186810374835725E-2</v>
      </c>
      <c r="K240" s="7">
        <f t="shared" si="18"/>
        <v>-1.3172351837893337E-2</v>
      </c>
      <c r="L240" s="7"/>
    </row>
    <row r="241" spans="1:12" x14ac:dyDescent="0.25">
      <c r="A241" s="2" t="s">
        <v>50</v>
      </c>
      <c r="B241" s="7">
        <v>2.2048760707587878E-2</v>
      </c>
      <c r="C241" s="7">
        <v>4.4947187055210946E-4</v>
      </c>
      <c r="D241" s="7">
        <v>-2.0920502092050319E-2</v>
      </c>
      <c r="E241" s="7">
        <v>5.7957334340192679E-2</v>
      </c>
      <c r="F241" s="7">
        <v>7.9446466394201831E-3</v>
      </c>
      <c r="G241" s="7"/>
      <c r="H241" s="7">
        <f t="shared" si="15"/>
        <v>1.4104114068167695E-2</v>
      </c>
      <c r="I241" s="7">
        <f t="shared" si="16"/>
        <v>-7.4951747688680737E-3</v>
      </c>
      <c r="J241" s="7">
        <f t="shared" si="17"/>
        <v>-2.8865148731470502E-2</v>
      </c>
      <c r="K241" s="7">
        <f t="shared" si="18"/>
        <v>5.0012687700772496E-2</v>
      </c>
      <c r="L241" s="7"/>
    </row>
    <row r="242" spans="1:12" x14ac:dyDescent="0.25">
      <c r="A242" s="2" t="s">
        <v>432</v>
      </c>
      <c r="B242" s="7">
        <v>4.0613956432301146E-2</v>
      </c>
      <c r="C242" s="7">
        <v>2.2441789215686292E-2</v>
      </c>
      <c r="D242" s="7">
        <v>8.1447963800905132E-2</v>
      </c>
      <c r="E242" s="7">
        <v>3.406539775500228E-2</v>
      </c>
      <c r="F242" s="7">
        <v>1.8092083408471682E-2</v>
      </c>
      <c r="G242" s="7"/>
      <c r="H242" s="7">
        <f t="shared" si="15"/>
        <v>2.2521873023829464E-2</v>
      </c>
      <c r="I242" s="7">
        <f t="shared" si="16"/>
        <v>4.34970580721461E-3</v>
      </c>
      <c r="J242" s="7">
        <f t="shared" si="17"/>
        <v>6.335588039243345E-2</v>
      </c>
      <c r="K242" s="7">
        <f t="shared" si="18"/>
        <v>1.5973314346530598E-2</v>
      </c>
      <c r="L242" s="7"/>
    </row>
    <row r="243" spans="1:12" x14ac:dyDescent="0.25">
      <c r="A243" s="2" t="s">
        <v>433</v>
      </c>
      <c r="B243" s="7">
        <v>-4.2426385170968306E-2</v>
      </c>
      <c r="C243" s="7">
        <v>-3.8727727875128792E-2</v>
      </c>
      <c r="D243" s="7">
        <v>-8.9686098654708779E-3</v>
      </c>
      <c r="E243" s="7">
        <v>-5.7259316770186253E-3</v>
      </c>
      <c r="F243" s="7">
        <v>-3.4607561069471604E-2</v>
      </c>
      <c r="G243" s="7"/>
      <c r="H243" s="7">
        <f t="shared" si="15"/>
        <v>-7.8188241014967019E-3</v>
      </c>
      <c r="I243" s="7">
        <f t="shared" si="16"/>
        <v>-4.1201668056571883E-3</v>
      </c>
      <c r="J243" s="7">
        <f t="shared" si="17"/>
        <v>2.5638951204000726E-2</v>
      </c>
      <c r="K243" s="7">
        <f t="shared" si="18"/>
        <v>2.8881629392452979E-2</v>
      </c>
      <c r="L243" s="7"/>
    </row>
    <row r="244" spans="1:12" x14ac:dyDescent="0.25">
      <c r="A244" s="2" t="s">
        <v>434</v>
      </c>
      <c r="B244" s="7">
        <v>0.15331741131240184</v>
      </c>
      <c r="C244" s="7">
        <v>8.777831170911421E-2</v>
      </c>
      <c r="D244" s="7">
        <v>3.240740740740744E-2</v>
      </c>
      <c r="E244" s="7">
        <v>5.4441260744985787E-2</v>
      </c>
      <c r="F244" s="7">
        <v>9.5153900340573472E-2</v>
      </c>
      <c r="G244" s="7"/>
      <c r="H244" s="7">
        <f t="shared" si="15"/>
        <v>5.8163510971828369E-2</v>
      </c>
      <c r="I244" s="7">
        <f t="shared" si="16"/>
        <v>-7.3755886314592622E-3</v>
      </c>
      <c r="J244" s="7">
        <f t="shared" si="17"/>
        <v>-6.2746492933166031E-2</v>
      </c>
      <c r="K244" s="7">
        <f t="shared" si="18"/>
        <v>-4.0712639595587685E-2</v>
      </c>
      <c r="L244" s="7"/>
    </row>
    <row r="245" spans="1:12" x14ac:dyDescent="0.25">
      <c r="A245" s="2" t="s">
        <v>435</v>
      </c>
      <c r="B245" s="7">
        <v>-4.9814579066806863E-2</v>
      </c>
      <c r="C245" s="7">
        <v>-1.0774837585168728E-2</v>
      </c>
      <c r="D245" s="7">
        <v>-2.7027027027027084E-2</v>
      </c>
      <c r="E245" s="7">
        <v>-6.2368067549414707E-2</v>
      </c>
      <c r="F245" s="7">
        <v>-1.5700528421156545E-2</v>
      </c>
      <c r="G245" s="7"/>
      <c r="H245" s="7">
        <f t="shared" si="15"/>
        <v>-3.4114050645650318E-2</v>
      </c>
      <c r="I245" s="7">
        <f t="shared" si="16"/>
        <v>4.9256908359878171E-3</v>
      </c>
      <c r="J245" s="7">
        <f t="shared" si="17"/>
        <v>-1.1326498605870539E-2</v>
      </c>
      <c r="K245" s="7">
        <f t="shared" si="18"/>
        <v>-4.6667539128258162E-2</v>
      </c>
      <c r="L245" s="7"/>
    </row>
    <row r="246" spans="1:12" x14ac:dyDescent="0.25">
      <c r="A246" s="2" t="s">
        <v>51</v>
      </c>
      <c r="B246" s="7">
        <v>-3.6734911494988309E-2</v>
      </c>
      <c r="C246" s="7">
        <v>1.2920311371479087E-2</v>
      </c>
      <c r="D246" s="7">
        <v>6.2200956937799257E-2</v>
      </c>
      <c r="E246" s="7">
        <v>-9.0575916230366427E-2</v>
      </c>
      <c r="F246" s="7">
        <v>-2.3314571311449095E-3</v>
      </c>
      <c r="G246" s="7"/>
      <c r="H246" s="7">
        <f t="shared" si="15"/>
        <v>-3.44034543638434E-2</v>
      </c>
      <c r="I246" s="7">
        <f t="shared" si="16"/>
        <v>1.5251768502623997E-2</v>
      </c>
      <c r="J246" s="7">
        <f t="shared" si="17"/>
        <v>6.4532414068944166E-2</v>
      </c>
      <c r="K246" s="7">
        <f t="shared" si="18"/>
        <v>-8.8244459099221517E-2</v>
      </c>
      <c r="L246" s="7"/>
    </row>
    <row r="247" spans="1:12" x14ac:dyDescent="0.25">
      <c r="A247" s="2" t="s">
        <v>436</v>
      </c>
      <c r="B247" s="7">
        <v>-7.2907913597943796E-2</v>
      </c>
      <c r="C247" s="7">
        <v>-9.1830041542161678E-2</v>
      </c>
      <c r="D247" s="7">
        <v>-5.8558558558558738E-2</v>
      </c>
      <c r="E247" s="7">
        <v>-9.891492373014632E-2</v>
      </c>
      <c r="F247" s="7">
        <v>-5.9749616419470408E-2</v>
      </c>
      <c r="G247" s="7"/>
      <c r="H247" s="7">
        <f t="shared" si="15"/>
        <v>-1.3158297178473388E-2</v>
      </c>
      <c r="I247" s="7">
        <f t="shared" si="16"/>
        <v>-3.208042512269127E-2</v>
      </c>
      <c r="J247" s="7">
        <f t="shared" si="17"/>
        <v>1.1910578609116707E-3</v>
      </c>
      <c r="K247" s="7">
        <f t="shared" si="18"/>
        <v>-3.9165307310675912E-2</v>
      </c>
      <c r="L247" s="7"/>
    </row>
    <row r="248" spans="1:12" x14ac:dyDescent="0.25">
      <c r="A248" s="2" t="s">
        <v>437</v>
      </c>
      <c r="B248" s="7">
        <v>-9.2454692266283778E-2</v>
      </c>
      <c r="C248" s="7">
        <v>-5.4311117237576645E-2</v>
      </c>
      <c r="D248" s="7">
        <v>-3.8961038961038863E-2</v>
      </c>
      <c r="E248" s="7">
        <v>-3.5258168142285884E-3</v>
      </c>
      <c r="F248" s="7">
        <v>-4.839560075260485E-2</v>
      </c>
      <c r="G248" s="7"/>
      <c r="H248" s="7">
        <f t="shared" si="15"/>
        <v>-4.4059091513678927E-2</v>
      </c>
      <c r="I248" s="7">
        <f t="shared" si="16"/>
        <v>-5.9155164849717945E-3</v>
      </c>
      <c r="J248" s="7">
        <f t="shared" si="17"/>
        <v>9.4345617915659874E-3</v>
      </c>
      <c r="K248" s="7">
        <f t="shared" si="18"/>
        <v>4.4869783938376262E-2</v>
      </c>
      <c r="L248" s="7"/>
    </row>
    <row r="249" spans="1:12" x14ac:dyDescent="0.25">
      <c r="A249" s="2" t="s">
        <v>438</v>
      </c>
      <c r="B249" s="7">
        <v>3.1500315003150092E-3</v>
      </c>
      <c r="C249" s="7">
        <v>6.206896551723684E-4</v>
      </c>
      <c r="D249" s="7">
        <v>-1.2820512820512775E-2</v>
      </c>
      <c r="E249" s="7">
        <v>-2.1917388305617402E-2</v>
      </c>
      <c r="F249" s="7">
        <v>6.7281251608803938E-3</v>
      </c>
      <c r="G249" s="7"/>
      <c r="H249" s="7">
        <f t="shared" si="15"/>
        <v>-3.5780936605653846E-3</v>
      </c>
      <c r="I249" s="7">
        <f t="shared" si="16"/>
        <v>-6.1074355057080254E-3</v>
      </c>
      <c r="J249" s="7">
        <f t="shared" si="17"/>
        <v>-1.9548637981393169E-2</v>
      </c>
      <c r="K249" s="7">
        <f t="shared" si="18"/>
        <v>-2.8645513466497796E-2</v>
      </c>
      <c r="L249" s="7"/>
    </row>
    <row r="250" spans="1:12" x14ac:dyDescent="0.25">
      <c r="A250" s="2" t="s">
        <v>439</v>
      </c>
      <c r="B250" s="7">
        <v>4.747479314554548E-3</v>
      </c>
      <c r="C250" s="7">
        <v>5.5478502080443803E-3</v>
      </c>
      <c r="D250" s="7">
        <v>8.6206896551723755E-3</v>
      </c>
      <c r="E250" s="7">
        <v>3.5376451588096103E-3</v>
      </c>
      <c r="F250" s="7">
        <v>3.7812842467277452E-3</v>
      </c>
      <c r="G250" s="7"/>
      <c r="H250" s="7">
        <f t="shared" si="15"/>
        <v>9.6619506782680276E-4</v>
      </c>
      <c r="I250" s="7">
        <f t="shared" si="16"/>
        <v>1.7665659613166351E-3</v>
      </c>
      <c r="J250" s="7">
        <f t="shared" si="17"/>
        <v>4.8394054084446303E-3</v>
      </c>
      <c r="K250" s="7">
        <f t="shared" si="18"/>
        <v>-2.4363908791813493E-4</v>
      </c>
      <c r="L250" s="7"/>
    </row>
    <row r="251" spans="1:12" x14ac:dyDescent="0.25">
      <c r="A251" s="2" t="s">
        <v>52</v>
      </c>
      <c r="B251" s="7">
        <v>1.9451486517630734E-2</v>
      </c>
      <c r="C251" s="7">
        <v>1.3922092532695718E-2</v>
      </c>
      <c r="D251" s="7">
        <v>-2.5210084033613467E-2</v>
      </c>
      <c r="E251" s="7">
        <v>-1.5357444521231223E-3</v>
      </c>
      <c r="F251" s="7">
        <v>5.5384935154294546E-3</v>
      </c>
      <c r="G251" s="7"/>
      <c r="H251" s="7">
        <f t="shared" si="15"/>
        <v>1.3912993002201279E-2</v>
      </c>
      <c r="I251" s="7">
        <f t="shared" si="16"/>
        <v>8.3835990172662633E-3</v>
      </c>
      <c r="J251" s="7">
        <f t="shared" si="17"/>
        <v>-3.0748577549042921E-2</v>
      </c>
      <c r="K251" s="7">
        <f t="shared" si="18"/>
        <v>-7.0742379675525768E-3</v>
      </c>
      <c r="L251" s="7"/>
    </row>
    <row r="252" spans="1:12" x14ac:dyDescent="0.25">
      <c r="A252" s="2" t="s">
        <v>440</v>
      </c>
      <c r="B252" s="7">
        <v>-2.6606245513280724E-2</v>
      </c>
      <c r="C252" s="7">
        <v>-2.4219554030874835E-2</v>
      </c>
      <c r="D252" s="7">
        <v>-4.1841004184101083E-3</v>
      </c>
      <c r="E252" s="7">
        <v>-2.3616734143049989E-2</v>
      </c>
      <c r="F252" s="7">
        <v>-1.9737200328104554E-2</v>
      </c>
      <c r="G252" s="7"/>
      <c r="H252" s="7">
        <f t="shared" si="15"/>
        <v>-6.8690451851761702E-3</v>
      </c>
      <c r="I252" s="7">
        <f t="shared" si="16"/>
        <v>-4.4823537027702809E-3</v>
      </c>
      <c r="J252" s="7">
        <f t="shared" si="17"/>
        <v>1.5553099909694446E-2</v>
      </c>
      <c r="K252" s="7">
        <f t="shared" si="18"/>
        <v>-3.879533814945435E-3</v>
      </c>
      <c r="L252" s="7"/>
    </row>
    <row r="253" spans="1:12" x14ac:dyDescent="0.25">
      <c r="A253" s="2" t="s">
        <v>441</v>
      </c>
      <c r="B253" s="7">
        <v>1.047286575690265E-2</v>
      </c>
      <c r="C253" s="7">
        <v>-2.7814834578441805E-2</v>
      </c>
      <c r="D253" s="7">
        <v>-1.2396694214875992E-2</v>
      </c>
      <c r="E253" s="7">
        <v>2.568440479852363E-2</v>
      </c>
      <c r="F253" s="7">
        <v>-3.3069570393192693E-3</v>
      </c>
      <c r="G253" s="7"/>
      <c r="H253" s="7">
        <f t="shared" si="15"/>
        <v>1.3779822796221919E-2</v>
      </c>
      <c r="I253" s="7">
        <f t="shared" si="16"/>
        <v>-2.4507877539122536E-2</v>
      </c>
      <c r="J253" s="7">
        <f t="shared" si="17"/>
        <v>-9.0897371755567224E-3</v>
      </c>
      <c r="K253" s="7">
        <f t="shared" si="18"/>
        <v>2.8991361837842899E-2</v>
      </c>
      <c r="L253" s="7"/>
    </row>
    <row r="254" spans="1:12" x14ac:dyDescent="0.25">
      <c r="A254" s="2" t="s">
        <v>442</v>
      </c>
      <c r="B254" s="7">
        <v>-9.9201005476254878E-3</v>
      </c>
      <c r="C254" s="7">
        <v>-5.3078556263270738E-3</v>
      </c>
      <c r="D254" s="7">
        <v>8.3333333333333037E-3</v>
      </c>
      <c r="E254" s="7">
        <v>-3.8302436034931553E-3</v>
      </c>
      <c r="F254" s="7">
        <v>-1.115698545004451E-2</v>
      </c>
      <c r="G254" s="7"/>
      <c r="H254" s="7">
        <f t="shared" si="15"/>
        <v>1.236884902419022E-3</v>
      </c>
      <c r="I254" s="7">
        <f t="shared" si="16"/>
        <v>5.8491298237174361E-3</v>
      </c>
      <c r="J254" s="7">
        <f t="shared" si="17"/>
        <v>1.9490318783377814E-2</v>
      </c>
      <c r="K254" s="7">
        <f t="shared" si="18"/>
        <v>7.3267418465513545E-3</v>
      </c>
      <c r="L254" s="7"/>
    </row>
    <row r="255" spans="1:12" x14ac:dyDescent="0.25">
      <c r="A255" s="2" t="s">
        <v>443</v>
      </c>
      <c r="B255" s="7">
        <v>1.3696136870364528E-2</v>
      </c>
      <c r="C255" s="7">
        <v>2.260938954648184E-3</v>
      </c>
      <c r="D255" s="7">
        <v>-1.6393442622950838E-2</v>
      </c>
      <c r="E255" s="7">
        <v>-1.2855414398064258E-2</v>
      </c>
      <c r="F255" s="7">
        <v>1.5743198608773046E-3</v>
      </c>
      <c r="G255" s="7"/>
      <c r="H255" s="7">
        <f t="shared" si="15"/>
        <v>1.2121817009487224E-2</v>
      </c>
      <c r="I255" s="7">
        <f t="shared" si="16"/>
        <v>6.8661909377087937E-4</v>
      </c>
      <c r="J255" s="7">
        <f t="shared" si="17"/>
        <v>-1.7967762483828142E-2</v>
      </c>
      <c r="K255" s="7">
        <f t="shared" si="18"/>
        <v>-1.4429734258941562E-2</v>
      </c>
      <c r="L255" s="7"/>
    </row>
    <row r="256" spans="1:12" x14ac:dyDescent="0.25">
      <c r="A256" s="2" t="s">
        <v>53</v>
      </c>
      <c r="B256" s="7">
        <v>1.1273697772869573E-2</v>
      </c>
      <c r="C256" s="7">
        <v>1.8558656190734268E-2</v>
      </c>
      <c r="D256" s="7">
        <v>8.2644628099173278E-3</v>
      </c>
      <c r="E256" s="7">
        <v>-4.891263450974348E-3</v>
      </c>
      <c r="F256" s="7">
        <v>1.7646041682840563E-2</v>
      </c>
      <c r="G256" s="7"/>
      <c r="H256" s="7">
        <f t="shared" si="15"/>
        <v>-6.37234390997099E-3</v>
      </c>
      <c r="I256" s="7">
        <f t="shared" si="16"/>
        <v>9.1261450789370535E-4</v>
      </c>
      <c r="J256" s="7">
        <f t="shared" si="17"/>
        <v>-9.3815788729232352E-3</v>
      </c>
      <c r="K256" s="7">
        <f t="shared" si="18"/>
        <v>-2.2537305133814911E-2</v>
      </c>
      <c r="L256" s="7"/>
    </row>
    <row r="257" spans="1:12" x14ac:dyDescent="0.25">
      <c r="A257" s="2" t="s">
        <v>444</v>
      </c>
      <c r="B257" s="7">
        <v>1.9468030210630038E-2</v>
      </c>
      <c r="C257" s="7">
        <v>-5.9920554770080958E-3</v>
      </c>
      <c r="D257" s="7">
        <v>-3.2000000000000028E-2</v>
      </c>
      <c r="E257" s="7">
        <v>-1.2924311074797634E-2</v>
      </c>
      <c r="F257" s="7">
        <v>8.2466726353502828E-4</v>
      </c>
      <c r="G257" s="7"/>
      <c r="H257" s="7">
        <f t="shared" si="15"/>
        <v>1.864336294709501E-2</v>
      </c>
      <c r="I257" s="7">
        <f t="shared" si="16"/>
        <v>-6.8167227405431241E-3</v>
      </c>
      <c r="J257" s="7">
        <f t="shared" si="17"/>
        <v>-3.2824667263535057E-2</v>
      </c>
      <c r="K257" s="7">
        <f t="shared" si="18"/>
        <v>-1.3748978338332662E-2</v>
      </c>
      <c r="L257" s="7"/>
    </row>
    <row r="258" spans="1:12" x14ac:dyDescent="0.25">
      <c r="A258" s="2" t="s">
        <v>445</v>
      </c>
      <c r="B258" s="7">
        <v>-5.3193971349914104E-3</v>
      </c>
      <c r="C258" s="7">
        <v>-1.2696091465035919E-2</v>
      </c>
      <c r="D258" s="7">
        <v>-7.9365079365079083E-3</v>
      </c>
      <c r="E258" s="7">
        <v>-4.3956824314728027E-2</v>
      </c>
      <c r="F258" s="7">
        <v>-2.1849103746239829E-3</v>
      </c>
      <c r="G258" s="7"/>
      <c r="H258" s="7">
        <f t="shared" si="15"/>
        <v>-3.1344867603674276E-3</v>
      </c>
      <c r="I258" s="7">
        <f t="shared" si="16"/>
        <v>-1.0511181090411936E-2</v>
      </c>
      <c r="J258" s="7">
        <f t="shared" si="17"/>
        <v>-5.7515975618839255E-3</v>
      </c>
      <c r="K258" s="7">
        <f t="shared" si="18"/>
        <v>-4.1771913940104044E-2</v>
      </c>
      <c r="L258" s="7"/>
    </row>
    <row r="259" spans="1:12" x14ac:dyDescent="0.25">
      <c r="A259" s="2" t="s">
        <v>446</v>
      </c>
      <c r="B259" s="7">
        <v>1.1994144590829592E-2</v>
      </c>
      <c r="C259" s="7">
        <v>1.5183210742965025E-2</v>
      </c>
      <c r="D259" s="7">
        <v>2.857142857142847E-2</v>
      </c>
      <c r="E259" s="7">
        <v>3.2058132079504364E-3</v>
      </c>
      <c r="F259" s="7">
        <v>1.0798516740105457E-2</v>
      </c>
      <c r="G259" s="7"/>
      <c r="H259" s="7">
        <f t="shared" ref="H259:H322" si="19">B259-$F259</f>
        <v>1.1956278507241347E-3</v>
      </c>
      <c r="I259" s="7">
        <f t="shared" ref="I259:I322" si="20">C259-$F259</f>
        <v>4.3846940028595682E-3</v>
      </c>
      <c r="J259" s="7">
        <f t="shared" ref="J259:J322" si="21">D259-$F259</f>
        <v>1.7772911831323013E-2</v>
      </c>
      <c r="K259" s="7">
        <f t="shared" ref="K259:K322" si="22">E259-$F259</f>
        <v>-7.5927035321550207E-3</v>
      </c>
      <c r="L259" s="7"/>
    </row>
    <row r="260" spans="1:12" x14ac:dyDescent="0.25">
      <c r="A260" s="2" t="s">
        <v>447</v>
      </c>
      <c r="B260" s="7">
        <v>-6.1012812690663942E-3</v>
      </c>
      <c r="C260" s="7">
        <v>-1.4956128689178394E-2</v>
      </c>
      <c r="D260" s="7">
        <v>-1.6064257028112428E-2</v>
      </c>
      <c r="E260" s="7">
        <v>-3.2731532524807094E-2</v>
      </c>
      <c r="F260" s="7">
        <v>-1.0653519220738983E-2</v>
      </c>
      <c r="G260" s="7"/>
      <c r="H260" s="7">
        <f t="shared" si="19"/>
        <v>4.5522379516725886E-3</v>
      </c>
      <c r="I260" s="7">
        <f t="shared" si="20"/>
        <v>-4.3026094684394112E-3</v>
      </c>
      <c r="J260" s="7">
        <f t="shared" si="21"/>
        <v>-5.4107378073734447E-3</v>
      </c>
      <c r="K260" s="7">
        <f t="shared" si="22"/>
        <v>-2.2078013304068111E-2</v>
      </c>
      <c r="L260" s="7"/>
    </row>
    <row r="261" spans="1:12" x14ac:dyDescent="0.25">
      <c r="A261" s="2" t="s">
        <v>54</v>
      </c>
      <c r="B261" s="7">
        <v>2.399322544222704E-3</v>
      </c>
      <c r="C261" s="7">
        <v>1.8620082605457444E-2</v>
      </c>
      <c r="D261" s="7">
        <v>3.7500000000000089E-2</v>
      </c>
      <c r="E261" s="7">
        <v>4.5909909909909841E-2</v>
      </c>
      <c r="F261" s="7">
        <v>6.4160994796895743E-3</v>
      </c>
      <c r="G261" s="7"/>
      <c r="H261" s="7">
        <f t="shared" si="19"/>
        <v>-4.0167769354668703E-3</v>
      </c>
      <c r="I261" s="7">
        <f t="shared" si="20"/>
        <v>1.220398312576787E-2</v>
      </c>
      <c r="J261" s="7">
        <f t="shared" si="21"/>
        <v>3.1083900520310515E-2</v>
      </c>
      <c r="K261" s="7">
        <f t="shared" si="22"/>
        <v>3.9493810430220266E-2</v>
      </c>
      <c r="L261" s="7"/>
    </row>
    <row r="262" spans="1:12" x14ac:dyDescent="0.25">
      <c r="A262" s="2" t="s">
        <v>448</v>
      </c>
      <c r="B262" s="7">
        <v>1.8153949322220697E-2</v>
      </c>
      <c r="C262" s="7">
        <v>2.9485570890840584E-2</v>
      </c>
      <c r="D262" s="7">
        <v>3.4482758620689724E-2</v>
      </c>
      <c r="E262" s="7">
        <v>1.9845644983461863E-2</v>
      </c>
      <c r="F262" s="7">
        <v>2.1265883307494793E-2</v>
      </c>
      <c r="G262" s="7"/>
      <c r="H262" s="7">
        <f t="shared" si="19"/>
        <v>-3.1119339852740957E-3</v>
      </c>
      <c r="I262" s="7">
        <f t="shared" si="20"/>
        <v>8.2196875833457916E-3</v>
      </c>
      <c r="J262" s="7">
        <f t="shared" si="21"/>
        <v>1.3216875313194931E-2</v>
      </c>
      <c r="K262" s="7">
        <f t="shared" si="22"/>
        <v>-1.4202383240329297E-3</v>
      </c>
      <c r="L262" s="7"/>
    </row>
    <row r="263" spans="1:12" x14ac:dyDescent="0.25">
      <c r="A263" s="2" t="s">
        <v>449</v>
      </c>
      <c r="B263" s="7">
        <v>-3.3651175708202086E-2</v>
      </c>
      <c r="C263" s="7">
        <v>-2.7521691973969697E-2</v>
      </c>
      <c r="D263" s="7">
        <v>-4.2918454935623185E-3</v>
      </c>
      <c r="E263" s="7">
        <v>8.8239655939492678E-3</v>
      </c>
      <c r="F263" s="7">
        <v>-1.3891022092047178E-2</v>
      </c>
      <c r="G263" s="7"/>
      <c r="H263" s="7">
        <f t="shared" si="19"/>
        <v>-1.9760153616154907E-2</v>
      </c>
      <c r="I263" s="7">
        <f t="shared" si="20"/>
        <v>-1.3630669881922519E-2</v>
      </c>
      <c r="J263" s="7">
        <f t="shared" si="21"/>
        <v>9.5991765984848598E-3</v>
      </c>
      <c r="K263" s="7">
        <f t="shared" si="22"/>
        <v>2.2714987685996446E-2</v>
      </c>
      <c r="L263" s="7"/>
    </row>
    <row r="264" spans="1:12" x14ac:dyDescent="0.25">
      <c r="A264" s="2" t="s">
        <v>450</v>
      </c>
      <c r="B264" s="7">
        <v>-1.7464071311624529E-2</v>
      </c>
      <c r="C264" s="7">
        <v>1.8292262028025252E-2</v>
      </c>
      <c r="D264" s="7">
        <v>1.3043478260869712E-2</v>
      </c>
      <c r="E264" s="7">
        <v>-1.3532294638285425E-2</v>
      </c>
      <c r="F264" s="7">
        <v>4.8868732804865367E-3</v>
      </c>
      <c r="G264" s="7"/>
      <c r="H264" s="7">
        <f t="shared" si="19"/>
        <v>-2.2350944592111066E-2</v>
      </c>
      <c r="I264" s="7">
        <f t="shared" si="20"/>
        <v>1.3405388747538716E-2</v>
      </c>
      <c r="J264" s="7">
        <f t="shared" si="21"/>
        <v>8.1566049803831753E-3</v>
      </c>
      <c r="K264" s="7">
        <f t="shared" si="22"/>
        <v>-1.8419167918771961E-2</v>
      </c>
      <c r="L264" s="7"/>
    </row>
    <row r="265" spans="1:12" x14ac:dyDescent="0.25">
      <c r="A265" s="2" t="s">
        <v>451</v>
      </c>
      <c r="B265" s="7">
        <v>-2.9184511457459594E-2</v>
      </c>
      <c r="C265" s="7">
        <v>-5.5191445325963873E-4</v>
      </c>
      <c r="D265" s="7">
        <v>0</v>
      </c>
      <c r="E265" s="7">
        <v>4.8872180451127845E-2</v>
      </c>
      <c r="F265" s="7">
        <v>-7.5678236584880709E-3</v>
      </c>
      <c r="G265" s="7"/>
      <c r="H265" s="7">
        <f t="shared" si="19"/>
        <v>-2.1616687798971523E-2</v>
      </c>
      <c r="I265" s="7">
        <f t="shared" si="20"/>
        <v>7.0159092052284322E-3</v>
      </c>
      <c r="J265" s="7">
        <f t="shared" si="21"/>
        <v>7.5678236584880709E-3</v>
      </c>
      <c r="K265" s="7">
        <f t="shared" si="22"/>
        <v>5.6440004109615916E-2</v>
      </c>
      <c r="L265" s="7"/>
    </row>
    <row r="266" spans="1:12" x14ac:dyDescent="0.25">
      <c r="A266" s="2" t="s">
        <v>55</v>
      </c>
      <c r="B266" s="7">
        <v>-4.8481283871780856E-2</v>
      </c>
      <c r="C266" s="7">
        <v>9.0497737556560764E-3</v>
      </c>
      <c r="D266" s="7">
        <v>-8.6206896551723755E-3</v>
      </c>
      <c r="E266" s="7">
        <v>-5.7419728087937494E-2</v>
      </c>
      <c r="F266" s="7">
        <v>-2.6973068524487775E-2</v>
      </c>
      <c r="G266" s="7"/>
      <c r="H266" s="7">
        <f t="shared" si="19"/>
        <v>-2.150821534729308E-2</v>
      </c>
      <c r="I266" s="7">
        <f t="shared" si="20"/>
        <v>3.6022842280143852E-2</v>
      </c>
      <c r="J266" s="7">
        <f t="shared" si="21"/>
        <v>1.83523788693154E-2</v>
      </c>
      <c r="K266" s="7">
        <f t="shared" si="22"/>
        <v>-3.0446659563449718E-2</v>
      </c>
      <c r="L266" s="7"/>
    </row>
    <row r="267" spans="1:12" x14ac:dyDescent="0.25">
      <c r="A267" s="2" t="s">
        <v>452</v>
      </c>
      <c r="B267" s="7">
        <v>1.5876403055780752E-2</v>
      </c>
      <c r="C267" s="7">
        <v>-4.3665095647351659E-3</v>
      </c>
      <c r="D267" s="7">
        <v>-8.5470085470085166E-3</v>
      </c>
      <c r="E267" s="7">
        <v>4.7958145618369752E-3</v>
      </c>
      <c r="F267" s="7">
        <v>5.5205871897281433E-3</v>
      </c>
      <c r="G267" s="7"/>
      <c r="H267" s="7">
        <f t="shared" si="19"/>
        <v>1.0355815866052609E-2</v>
      </c>
      <c r="I267" s="7">
        <f t="shared" si="20"/>
        <v>-9.8870967544633093E-3</v>
      </c>
      <c r="J267" s="7">
        <f t="shared" si="21"/>
        <v>-1.406759573673666E-2</v>
      </c>
      <c r="K267" s="7">
        <f t="shared" si="22"/>
        <v>-7.2477262789116814E-4</v>
      </c>
      <c r="L267" s="7"/>
    </row>
    <row r="268" spans="1:12" x14ac:dyDescent="0.25">
      <c r="A268" s="2" t="s">
        <v>453</v>
      </c>
      <c r="B268" s="7">
        <v>-1.7467620995228472E-3</v>
      </c>
      <c r="C268" s="7">
        <v>-4.5536083896784429E-3</v>
      </c>
      <c r="D268" s="7">
        <v>2.6315789473684292E-2</v>
      </c>
      <c r="E268" s="7">
        <v>-7.7150479486624013E-3</v>
      </c>
      <c r="F268" s="7">
        <v>-1.7819030128555013E-2</v>
      </c>
      <c r="G268" s="7"/>
      <c r="H268" s="7">
        <f t="shared" si="19"/>
        <v>1.6072268029032166E-2</v>
      </c>
      <c r="I268" s="7">
        <f t="shared" si="20"/>
        <v>1.3265421738876571E-2</v>
      </c>
      <c r="J268" s="7">
        <f t="shared" si="21"/>
        <v>4.4134819602239306E-2</v>
      </c>
      <c r="K268" s="7">
        <f t="shared" si="22"/>
        <v>1.0103982179892612E-2</v>
      </c>
      <c r="L268" s="7"/>
    </row>
    <row r="269" spans="1:12" x14ac:dyDescent="0.25">
      <c r="A269" s="2" t="s">
        <v>454</v>
      </c>
      <c r="B269" s="7">
        <v>-8.0882039930185723E-4</v>
      </c>
      <c r="C269" s="7">
        <v>1.2009495880463517E-2</v>
      </c>
      <c r="D269" s="7">
        <v>-2.1459227467811259E-2</v>
      </c>
      <c r="E269" s="7">
        <v>8.6146135171117466E-2</v>
      </c>
      <c r="F269" s="7">
        <v>1.1159281084776262E-2</v>
      </c>
      <c r="G269" s="7"/>
      <c r="H269" s="7">
        <f t="shared" si="19"/>
        <v>-1.196810148407812E-2</v>
      </c>
      <c r="I269" s="7">
        <f t="shared" si="20"/>
        <v>8.5021479568725411E-4</v>
      </c>
      <c r="J269" s="7">
        <f t="shared" si="21"/>
        <v>-3.2618508552587522E-2</v>
      </c>
      <c r="K269" s="7">
        <f t="shared" si="22"/>
        <v>7.4986854086341204E-2</v>
      </c>
      <c r="L269" s="7"/>
    </row>
    <row r="270" spans="1:12" x14ac:dyDescent="0.25">
      <c r="A270" s="2" t="s">
        <v>455</v>
      </c>
      <c r="B270" s="7">
        <v>-8.818565400843914E-3</v>
      </c>
      <c r="C270" s="7">
        <v>-4.9256505576208087E-2</v>
      </c>
      <c r="D270" s="7">
        <v>2.6431718061673992E-2</v>
      </c>
      <c r="E270" s="7">
        <v>-7.3849502487561836E-3</v>
      </c>
      <c r="F270" s="7">
        <v>-1.2234773630190987E-2</v>
      </c>
      <c r="G270" s="7"/>
      <c r="H270" s="7">
        <f t="shared" si="19"/>
        <v>3.416208229347073E-3</v>
      </c>
      <c r="I270" s="7">
        <f t="shared" si="20"/>
        <v>-3.70217319460171E-2</v>
      </c>
      <c r="J270" s="7">
        <f t="shared" si="21"/>
        <v>3.8666491691864979E-2</v>
      </c>
      <c r="K270" s="7">
        <f t="shared" si="22"/>
        <v>4.8498233814348035E-3</v>
      </c>
      <c r="L270" s="7"/>
    </row>
    <row r="271" spans="1:12" x14ac:dyDescent="0.25">
      <c r="A271" s="2" t="s">
        <v>56</v>
      </c>
      <c r="B271" s="7">
        <v>-1.5739856306325017E-2</v>
      </c>
      <c r="C271" s="7">
        <v>-1.0964480336156601E-2</v>
      </c>
      <c r="D271" s="7">
        <v>4.4247787610620648E-3</v>
      </c>
      <c r="E271" s="7">
        <v>-1.2815593584529328E-2</v>
      </c>
      <c r="F271" s="7">
        <v>-1.7596775547904953E-2</v>
      </c>
      <c r="G271" s="7"/>
      <c r="H271" s="7">
        <f t="shared" si="19"/>
        <v>1.8569192415799352E-3</v>
      </c>
      <c r="I271" s="7">
        <f t="shared" si="20"/>
        <v>6.6322952117483513E-3</v>
      </c>
      <c r="J271" s="7">
        <f t="shared" si="21"/>
        <v>2.2021554308967017E-2</v>
      </c>
      <c r="K271" s="7">
        <f t="shared" si="22"/>
        <v>4.7811819633756247E-3</v>
      </c>
      <c r="L271" s="7"/>
    </row>
    <row r="272" spans="1:12" x14ac:dyDescent="0.25">
      <c r="A272" s="2" t="s">
        <v>456</v>
      </c>
      <c r="B272" s="7">
        <v>1.9130655605874569E-2</v>
      </c>
      <c r="C272" s="7">
        <v>3.0514208389715858E-2</v>
      </c>
      <c r="D272" s="7">
        <v>-4.4052863436124801E-3</v>
      </c>
      <c r="E272" s="7">
        <v>-2.956508787607981E-2</v>
      </c>
      <c r="F272" s="7">
        <v>1.5854114170776867E-2</v>
      </c>
      <c r="G272" s="7"/>
      <c r="H272" s="7">
        <f t="shared" si="19"/>
        <v>3.2765414350977018E-3</v>
      </c>
      <c r="I272" s="7">
        <f t="shared" si="20"/>
        <v>1.466009421893899E-2</v>
      </c>
      <c r="J272" s="7">
        <f t="shared" si="21"/>
        <v>-2.0259400514389347E-2</v>
      </c>
      <c r="K272" s="7">
        <f t="shared" si="22"/>
        <v>-4.5419202046856677E-2</v>
      </c>
      <c r="L272" s="7"/>
    </row>
    <row r="273" spans="1:12" x14ac:dyDescent="0.25">
      <c r="A273" s="2" t="s">
        <v>457</v>
      </c>
      <c r="B273" s="7">
        <v>-1.2744442587330651E-2</v>
      </c>
      <c r="C273" s="7">
        <v>2.100027631942547E-2</v>
      </c>
      <c r="D273" s="7">
        <v>-3.8135593220338881E-2</v>
      </c>
      <c r="E273" s="7">
        <v>-1.8205746874314643E-2</v>
      </c>
      <c r="F273" s="7">
        <v>-1.586451446090209E-2</v>
      </c>
      <c r="G273" s="7"/>
      <c r="H273" s="7">
        <f t="shared" si="19"/>
        <v>3.1200718735714394E-3</v>
      </c>
      <c r="I273" s="7">
        <f t="shared" si="20"/>
        <v>3.6864790780327561E-2</v>
      </c>
      <c r="J273" s="7">
        <f t="shared" si="21"/>
        <v>-2.2271078759436791E-2</v>
      </c>
      <c r="K273" s="7">
        <f t="shared" si="22"/>
        <v>-2.3412324134125528E-3</v>
      </c>
      <c r="L273" s="7"/>
    </row>
    <row r="274" spans="1:12" x14ac:dyDescent="0.25">
      <c r="A274" s="2" t="s">
        <v>458</v>
      </c>
      <c r="B274" s="7">
        <v>-2.7035817376102833E-2</v>
      </c>
      <c r="C274" s="7">
        <v>6.0462853568699071E-3</v>
      </c>
      <c r="D274" s="7">
        <v>-4.2194092827004814E-3</v>
      </c>
      <c r="E274" s="7">
        <v>3.7866140537259119E-2</v>
      </c>
      <c r="F274" s="7">
        <v>1.3601444103938931E-4</v>
      </c>
      <c r="G274" s="7"/>
      <c r="H274" s="7">
        <f t="shared" si="19"/>
        <v>-2.7171831817142222E-2</v>
      </c>
      <c r="I274" s="7">
        <f t="shared" si="20"/>
        <v>5.9102709158305178E-3</v>
      </c>
      <c r="J274" s="7">
        <f t="shared" si="21"/>
        <v>-4.3554237237398707E-3</v>
      </c>
      <c r="K274" s="7">
        <f t="shared" si="22"/>
        <v>3.7730126096219729E-2</v>
      </c>
      <c r="L274" s="7"/>
    </row>
    <row r="275" spans="1:12" x14ac:dyDescent="0.25">
      <c r="A275" s="2" t="s">
        <v>459</v>
      </c>
      <c r="B275" s="7">
        <v>-2.4387269845138615E-4</v>
      </c>
      <c r="C275" s="7">
        <v>7.2803640182008689E-3</v>
      </c>
      <c r="D275" s="7">
        <v>-1.6597510373444035E-2</v>
      </c>
      <c r="E275" s="7">
        <v>3.8455476753349149E-2</v>
      </c>
      <c r="F275" s="7">
        <v>-4.6797309154723576E-3</v>
      </c>
      <c r="G275" s="7"/>
      <c r="H275" s="7">
        <f t="shared" si="19"/>
        <v>4.4358582170209715E-3</v>
      </c>
      <c r="I275" s="7">
        <f t="shared" si="20"/>
        <v>1.1960094933673227E-2</v>
      </c>
      <c r="J275" s="7">
        <f t="shared" si="21"/>
        <v>-1.1917779457971678E-2</v>
      </c>
      <c r="K275" s="7">
        <f t="shared" si="22"/>
        <v>4.3135207668821507E-2</v>
      </c>
      <c r="L275" s="7"/>
    </row>
    <row r="276" spans="1:12" x14ac:dyDescent="0.25">
      <c r="A276" s="2" t="s">
        <v>57</v>
      </c>
      <c r="B276" s="7">
        <v>6.3399869109947993E-3</v>
      </c>
      <c r="C276" s="7">
        <v>3.4419780837311453E-3</v>
      </c>
      <c r="D276" s="7">
        <v>-8.2304526748970819E-3</v>
      </c>
      <c r="E276" s="7">
        <v>-0.10229202037351448</v>
      </c>
      <c r="F276" s="7">
        <v>-4.9691258961639395E-3</v>
      </c>
      <c r="G276" s="7"/>
      <c r="H276" s="7">
        <f t="shared" si="19"/>
        <v>1.1309112807158739E-2</v>
      </c>
      <c r="I276" s="7">
        <f t="shared" si="20"/>
        <v>8.4111039798950848E-3</v>
      </c>
      <c r="J276" s="7">
        <f t="shared" si="21"/>
        <v>-3.2613267787331424E-3</v>
      </c>
      <c r="K276" s="7">
        <f t="shared" si="22"/>
        <v>-9.7322894477350541E-2</v>
      </c>
      <c r="L276" s="7"/>
    </row>
    <row r="277" spans="1:12" x14ac:dyDescent="0.25">
      <c r="A277" s="2" t="s">
        <v>460</v>
      </c>
      <c r="B277" s="7">
        <v>-1.1439777741460988E-3</v>
      </c>
      <c r="C277" s="7">
        <v>-2.7462768137723637E-2</v>
      </c>
      <c r="D277" s="7">
        <v>4.1322314049587749E-3</v>
      </c>
      <c r="E277" s="7">
        <v>5.7213372223468673E-2</v>
      </c>
      <c r="F277" s="7">
        <v>-1.70641044083224E-2</v>
      </c>
      <c r="G277" s="7"/>
      <c r="H277" s="7">
        <f t="shared" si="19"/>
        <v>1.5920126634176301E-2</v>
      </c>
      <c r="I277" s="7">
        <f t="shared" si="20"/>
        <v>-1.0398663729401236E-2</v>
      </c>
      <c r="J277" s="7">
        <f t="shared" si="21"/>
        <v>2.1196335813281175E-2</v>
      </c>
      <c r="K277" s="7">
        <f t="shared" si="22"/>
        <v>7.4277476631791073E-2</v>
      </c>
      <c r="L277" s="7"/>
    </row>
    <row r="278" spans="1:12" x14ac:dyDescent="0.25">
      <c r="A278" s="2" t="s">
        <v>461</v>
      </c>
      <c r="B278" s="7">
        <v>3.8964767646938459E-3</v>
      </c>
      <c r="C278" s="7">
        <v>-7.4586384594520494E-3</v>
      </c>
      <c r="D278" s="7">
        <v>-8.1967213114754189E-3</v>
      </c>
      <c r="E278" s="7">
        <v>8.0921584478577335E-2</v>
      </c>
      <c r="F278" s="7">
        <v>-4.3342040803039383E-3</v>
      </c>
      <c r="G278" s="7"/>
      <c r="H278" s="7">
        <f t="shared" si="19"/>
        <v>8.2306808449977842E-3</v>
      </c>
      <c r="I278" s="7">
        <f t="shared" si="20"/>
        <v>-3.1244343791481111E-3</v>
      </c>
      <c r="J278" s="7">
        <f t="shared" si="21"/>
        <v>-3.8625172311714806E-3</v>
      </c>
      <c r="K278" s="7">
        <f t="shared" si="22"/>
        <v>8.5255788558881274E-2</v>
      </c>
      <c r="L278" s="7"/>
    </row>
    <row r="279" spans="1:12" x14ac:dyDescent="0.25">
      <c r="A279" s="2" t="s">
        <v>462</v>
      </c>
      <c r="B279" s="7">
        <v>1.6433178587569319E-3</v>
      </c>
      <c r="C279" s="7">
        <v>8.1345273087702896E-3</v>
      </c>
      <c r="D279" s="7">
        <v>-4.0816326530612734E-3</v>
      </c>
      <c r="E279" s="7">
        <v>-8.7346742527446564E-3</v>
      </c>
      <c r="F279" s="7">
        <v>2.3769980977488281E-3</v>
      </c>
      <c r="G279" s="7"/>
      <c r="H279" s="7">
        <f t="shared" si="19"/>
        <v>-7.3368023899189616E-4</v>
      </c>
      <c r="I279" s="7">
        <f t="shared" si="20"/>
        <v>5.7575292110214615E-3</v>
      </c>
      <c r="J279" s="7">
        <f t="shared" si="21"/>
        <v>-6.4586307508101015E-3</v>
      </c>
      <c r="K279" s="7">
        <f t="shared" si="22"/>
        <v>-1.1111672350493484E-2</v>
      </c>
      <c r="L279" s="7"/>
    </row>
    <row r="280" spans="1:12" x14ac:dyDescent="0.25">
      <c r="A280" s="2" t="s">
        <v>463</v>
      </c>
      <c r="B280" s="7">
        <v>-5.3379321671997992E-4</v>
      </c>
      <c r="C280" s="7">
        <v>2.466936202288661E-3</v>
      </c>
      <c r="D280" s="7">
        <v>4.098360655737876E-3</v>
      </c>
      <c r="E280" s="7">
        <v>1.7365074188814722E-2</v>
      </c>
      <c r="F280" s="7">
        <v>2.4449557863681637E-3</v>
      </c>
      <c r="G280" s="7"/>
      <c r="H280" s="7">
        <f t="shared" si="19"/>
        <v>-2.9787490030881436E-3</v>
      </c>
      <c r="I280" s="7">
        <f t="shared" si="20"/>
        <v>2.1980415920497265E-5</v>
      </c>
      <c r="J280" s="7">
        <f t="shared" si="21"/>
        <v>1.6534048693697123E-3</v>
      </c>
      <c r="K280" s="7">
        <f t="shared" si="22"/>
        <v>1.4920118402446558E-2</v>
      </c>
      <c r="L280" s="7"/>
    </row>
    <row r="281" spans="1:12" x14ac:dyDescent="0.25">
      <c r="A281" s="2" t="s">
        <v>464</v>
      </c>
      <c r="B281" s="7">
        <v>1.2724550898203679E-2</v>
      </c>
      <c r="C281" s="7">
        <v>4.2667400729474725E-3</v>
      </c>
      <c r="D281" s="7">
        <v>-8.1300813008130524E-3</v>
      </c>
      <c r="E281" s="7">
        <v>4.3470863462356402E-2</v>
      </c>
      <c r="F281" s="7">
        <v>-7.195338728738232E-5</v>
      </c>
      <c r="G281" s="7"/>
      <c r="H281" s="7">
        <f t="shared" si="19"/>
        <v>1.2796504285491062E-2</v>
      </c>
      <c r="I281" s="7">
        <f t="shared" si="20"/>
        <v>4.3386934602348548E-3</v>
      </c>
      <c r="J281" s="7">
        <f t="shared" si="21"/>
        <v>-8.05812791352567E-3</v>
      </c>
      <c r="K281" s="7">
        <f t="shared" si="22"/>
        <v>4.3542816849643784E-2</v>
      </c>
      <c r="L281" s="7"/>
    </row>
    <row r="282" spans="1:12" x14ac:dyDescent="0.25">
      <c r="A282" s="2" t="s">
        <v>465</v>
      </c>
      <c r="B282" s="7">
        <v>1.9674355495250984E-2</v>
      </c>
      <c r="C282" s="7">
        <v>-1.0312113295751768E-3</v>
      </c>
      <c r="D282" s="7">
        <v>-1.9920318725099584E-2</v>
      </c>
      <c r="E282" s="7">
        <v>1.0226882090065281E-2</v>
      </c>
      <c r="F282" s="7">
        <v>1.0426357037460532E-2</v>
      </c>
      <c r="G282" s="7"/>
      <c r="H282" s="7">
        <f t="shared" si="19"/>
        <v>9.2479984577904517E-3</v>
      </c>
      <c r="I282" s="7">
        <f t="shared" si="20"/>
        <v>-1.1457568367035709E-2</v>
      </c>
      <c r="J282" s="7">
        <f t="shared" si="21"/>
        <v>-3.0346675762560116E-2</v>
      </c>
      <c r="K282" s="7">
        <f t="shared" si="22"/>
        <v>-1.9947494739525062E-4</v>
      </c>
      <c r="L282" s="7"/>
    </row>
    <row r="283" spans="1:12" x14ac:dyDescent="0.25">
      <c r="A283" s="2" t="s">
        <v>466</v>
      </c>
      <c r="B283" s="7">
        <v>1.8263460126937581E-2</v>
      </c>
      <c r="C283" s="7">
        <v>-7.9792675441586747E-3</v>
      </c>
      <c r="D283" s="7">
        <v>8.0321285140561027E-3</v>
      </c>
      <c r="E283" s="7">
        <v>4.9138941484086152E-2</v>
      </c>
      <c r="F283" s="7">
        <v>-2.7239021174919609E-3</v>
      </c>
      <c r="G283" s="7"/>
      <c r="H283" s="7">
        <f t="shared" si="19"/>
        <v>2.0987362244429542E-2</v>
      </c>
      <c r="I283" s="7">
        <f t="shared" si="20"/>
        <v>-5.2553654266667138E-3</v>
      </c>
      <c r="J283" s="7">
        <f t="shared" si="21"/>
        <v>1.0756030631548064E-2</v>
      </c>
      <c r="K283" s="7">
        <f t="shared" si="22"/>
        <v>5.1862843601578112E-2</v>
      </c>
      <c r="L283" s="7"/>
    </row>
    <row r="284" spans="1:12" x14ac:dyDescent="0.25">
      <c r="A284" s="2" t="s">
        <v>467</v>
      </c>
      <c r="B284" s="7">
        <v>2.1838877614047458E-2</v>
      </c>
      <c r="C284" s="7">
        <v>2.5297415561329473E-3</v>
      </c>
      <c r="D284" s="7">
        <v>-1.1904761904761862E-2</v>
      </c>
      <c r="E284" s="7">
        <v>1.3154288846259243E-2</v>
      </c>
      <c r="F284" s="7">
        <v>3.3957312690802155E-4</v>
      </c>
      <c r="G284" s="7"/>
      <c r="H284" s="7">
        <f t="shared" si="19"/>
        <v>2.1499304487139437E-2</v>
      </c>
      <c r="I284" s="7">
        <f t="shared" si="20"/>
        <v>2.1901684292249257E-3</v>
      </c>
      <c r="J284" s="7">
        <f t="shared" si="21"/>
        <v>-1.2244335031669884E-2</v>
      </c>
      <c r="K284" s="7">
        <f t="shared" si="22"/>
        <v>1.2814715719351222E-2</v>
      </c>
      <c r="L284" s="7"/>
    </row>
    <row r="285" spans="1:12" x14ac:dyDescent="0.25">
      <c r="A285" s="2" t="s">
        <v>58</v>
      </c>
      <c r="B285" s="7">
        <v>1.1926321834003772E-3</v>
      </c>
      <c r="C285" s="7">
        <v>-1.2291723572794844E-3</v>
      </c>
      <c r="D285" s="7">
        <v>8.0000000000000071E-3</v>
      </c>
      <c r="E285" s="7">
        <v>7.5449454759799472E-2</v>
      </c>
      <c r="F285" s="7">
        <v>6.712589964470439E-3</v>
      </c>
      <c r="G285" s="7"/>
      <c r="H285" s="7">
        <f t="shared" si="19"/>
        <v>-5.5199577810700617E-3</v>
      </c>
      <c r="I285" s="7">
        <f t="shared" si="20"/>
        <v>-7.9417623217499234E-3</v>
      </c>
      <c r="J285" s="7">
        <f t="shared" si="21"/>
        <v>1.2874100355295681E-3</v>
      </c>
      <c r="K285" s="7">
        <f t="shared" si="22"/>
        <v>6.8736864795329033E-2</v>
      </c>
      <c r="L285" s="7"/>
    </row>
    <row r="286" spans="1:12" x14ac:dyDescent="0.25">
      <c r="A286" s="2" t="s">
        <v>468</v>
      </c>
      <c r="B286" s="7">
        <v>-2.3970683336926091E-2</v>
      </c>
      <c r="C286" s="7">
        <v>-1.6058590337969636E-2</v>
      </c>
      <c r="D286" s="7">
        <v>-1.1857707509881354E-2</v>
      </c>
      <c r="E286" s="7">
        <v>3.1202512410090311E-2</v>
      </c>
      <c r="F286" s="7">
        <v>-9.464837258386094E-3</v>
      </c>
      <c r="G286" s="7"/>
      <c r="H286" s="7">
        <f t="shared" si="19"/>
        <v>-1.4505846078539997E-2</v>
      </c>
      <c r="I286" s="7">
        <f t="shared" si="20"/>
        <v>-6.593753079583542E-3</v>
      </c>
      <c r="J286" s="7">
        <f t="shared" si="21"/>
        <v>-2.3928702514952604E-3</v>
      </c>
      <c r="K286" s="7">
        <f t="shared" si="22"/>
        <v>4.0667349668476405E-2</v>
      </c>
      <c r="L286" s="7"/>
    </row>
    <row r="287" spans="1:12" x14ac:dyDescent="0.25">
      <c r="A287" s="2" t="s">
        <v>469</v>
      </c>
      <c r="B287" s="7">
        <v>3.2005536092729603E-3</v>
      </c>
      <c r="C287" s="7">
        <v>-8.7271750805584247E-4</v>
      </c>
      <c r="D287" s="7">
        <v>-2.6923076923077049E-2</v>
      </c>
      <c r="E287" s="7">
        <v>1.1062173512240037E-2</v>
      </c>
      <c r="F287" s="7">
        <v>3.64432448840879E-3</v>
      </c>
      <c r="G287" s="7"/>
      <c r="H287" s="7">
        <f t="shared" si="19"/>
        <v>-4.4377087913582969E-4</v>
      </c>
      <c r="I287" s="7">
        <f t="shared" si="20"/>
        <v>-4.5170419964646324E-3</v>
      </c>
      <c r="J287" s="7">
        <f t="shared" si="21"/>
        <v>-3.0567401411485839E-2</v>
      </c>
      <c r="K287" s="7">
        <f t="shared" si="22"/>
        <v>7.4178490238312467E-3</v>
      </c>
      <c r="L287" s="7"/>
    </row>
    <row r="288" spans="1:12" x14ac:dyDescent="0.25">
      <c r="A288" s="2" t="s">
        <v>470</v>
      </c>
      <c r="B288" s="7">
        <v>-1.4252396994038907E-3</v>
      </c>
      <c r="C288" s="7">
        <v>5.128205128205332E-3</v>
      </c>
      <c r="D288" s="7">
        <v>0</v>
      </c>
      <c r="E288" s="7">
        <v>-3.000496770988581E-2</v>
      </c>
      <c r="F288" s="7">
        <v>3.9086566808217427E-3</v>
      </c>
      <c r="G288" s="7"/>
      <c r="H288" s="7">
        <f t="shared" si="19"/>
        <v>-5.3338963802256334E-3</v>
      </c>
      <c r="I288" s="7">
        <f t="shared" si="20"/>
        <v>1.2195484473835894E-3</v>
      </c>
      <c r="J288" s="7">
        <f t="shared" si="21"/>
        <v>-3.9086566808217427E-3</v>
      </c>
      <c r="K288" s="7">
        <f t="shared" si="22"/>
        <v>-3.3913624390707553E-2</v>
      </c>
      <c r="L288" s="7"/>
    </row>
    <row r="289" spans="1:12" x14ac:dyDescent="0.25">
      <c r="A289" s="2" t="s">
        <v>471</v>
      </c>
      <c r="B289" s="7">
        <v>2.1034528376769224E-2</v>
      </c>
      <c r="C289" s="7">
        <v>1.0914051841746319E-2</v>
      </c>
      <c r="D289" s="7">
        <v>4.0000000000000036E-2</v>
      </c>
      <c r="E289" s="7">
        <v>3.7949881406620589E-2</v>
      </c>
      <c r="F289" s="7">
        <v>7.2248718423506553E-3</v>
      </c>
      <c r="G289" s="7"/>
      <c r="H289" s="7">
        <f t="shared" si="19"/>
        <v>1.3809656534418568E-2</v>
      </c>
      <c r="I289" s="7">
        <f t="shared" si="20"/>
        <v>3.6891799993956642E-3</v>
      </c>
      <c r="J289" s="7">
        <f t="shared" si="21"/>
        <v>3.277512815764938E-2</v>
      </c>
      <c r="K289" s="7">
        <f t="shared" si="22"/>
        <v>3.0725009564269934E-2</v>
      </c>
      <c r="L289" s="7"/>
    </row>
    <row r="290" spans="1:12" x14ac:dyDescent="0.25">
      <c r="A290" s="2" t="s">
        <v>59</v>
      </c>
      <c r="B290" s="7">
        <v>-3.387014314928416E-2</v>
      </c>
      <c r="C290" s="7">
        <v>-1.4188689395467802E-2</v>
      </c>
      <c r="D290" s="7">
        <v>4.0160642570279403E-3</v>
      </c>
      <c r="E290" s="7">
        <v>-2.3662551440329915E-3</v>
      </c>
      <c r="F290" s="7">
        <v>-7.6086038807853251E-3</v>
      </c>
      <c r="G290" s="7"/>
      <c r="H290" s="7">
        <f t="shared" si="19"/>
        <v>-2.6261539268498835E-2</v>
      </c>
      <c r="I290" s="7">
        <f t="shared" si="20"/>
        <v>-6.5800855146824766E-3</v>
      </c>
      <c r="J290" s="7">
        <f t="shared" si="21"/>
        <v>1.1624668137813265E-2</v>
      </c>
      <c r="K290" s="7">
        <f t="shared" si="22"/>
        <v>5.2423487367523336E-3</v>
      </c>
      <c r="L290" s="7"/>
    </row>
    <row r="291" spans="1:12" x14ac:dyDescent="0.25">
      <c r="A291" s="2" t="s">
        <v>472</v>
      </c>
      <c r="B291" s="7">
        <v>-6.686415573423643E-3</v>
      </c>
      <c r="C291" s="7">
        <v>-1.4251624022272313E-2</v>
      </c>
      <c r="D291" s="7">
        <v>-1.9685039370078705E-2</v>
      </c>
      <c r="E291" s="7">
        <v>-3.7909531822231002E-2</v>
      </c>
      <c r="F291" s="7">
        <v>-5.0468031697350479E-3</v>
      </c>
      <c r="G291" s="7"/>
      <c r="H291" s="7">
        <f t="shared" si="19"/>
        <v>-1.6396124036885951E-3</v>
      </c>
      <c r="I291" s="7">
        <f t="shared" si="20"/>
        <v>-9.2048208525372655E-3</v>
      </c>
      <c r="J291" s="7">
        <f t="shared" si="21"/>
        <v>-1.4638236200343657E-2</v>
      </c>
      <c r="K291" s="7">
        <f t="shared" si="22"/>
        <v>-3.2862728652495954E-2</v>
      </c>
      <c r="L291" s="7"/>
    </row>
    <row r="292" spans="1:12" x14ac:dyDescent="0.25">
      <c r="A292" s="2" t="s">
        <v>473</v>
      </c>
      <c r="B292" s="7">
        <v>-7.3930941779383197E-3</v>
      </c>
      <c r="C292" s="7">
        <v>1.8842439386776766E-2</v>
      </c>
      <c r="D292" s="7">
        <v>1.6000000000000014E-2</v>
      </c>
      <c r="E292" s="7">
        <v>6.2243717800441578E-2</v>
      </c>
      <c r="F292" s="7">
        <v>5.2754370946348494E-3</v>
      </c>
      <c r="G292" s="7"/>
      <c r="H292" s="7">
        <f t="shared" si="19"/>
        <v>-1.2668531272573169E-2</v>
      </c>
      <c r="I292" s="7">
        <f t="shared" si="20"/>
        <v>1.3567002292141916E-2</v>
      </c>
      <c r="J292" s="7">
        <f t="shared" si="21"/>
        <v>1.0724562905365165E-2</v>
      </c>
      <c r="K292" s="7">
        <f t="shared" si="22"/>
        <v>5.6968280705806729E-2</v>
      </c>
      <c r="L292" s="7"/>
    </row>
    <row r="293" spans="1:12" x14ac:dyDescent="0.25">
      <c r="A293" s="2" t="s">
        <v>474</v>
      </c>
      <c r="B293" s="7">
        <v>4.5997383635059119E-3</v>
      </c>
      <c r="C293" s="7">
        <v>9.463935645237509E-4</v>
      </c>
      <c r="D293" s="7">
        <v>2.0408163265306145E-2</v>
      </c>
      <c r="E293" s="7">
        <v>7.2011013449115868E-3</v>
      </c>
      <c r="F293" s="7">
        <v>-4.6788733787100911E-3</v>
      </c>
      <c r="G293" s="7"/>
      <c r="H293" s="7">
        <f t="shared" si="19"/>
        <v>9.278611742216003E-3</v>
      </c>
      <c r="I293" s="7">
        <f t="shared" si="20"/>
        <v>5.625266943233842E-3</v>
      </c>
      <c r="J293" s="7">
        <f t="shared" si="21"/>
        <v>2.5087036644016236E-2</v>
      </c>
      <c r="K293" s="7">
        <f t="shared" si="22"/>
        <v>1.1879974723621678E-2</v>
      </c>
      <c r="L293" s="7"/>
    </row>
    <row r="294" spans="1:12" x14ac:dyDescent="0.25">
      <c r="A294" s="2" t="s">
        <v>475</v>
      </c>
      <c r="B294" s="7">
        <v>3.6568829010104498E-2</v>
      </c>
      <c r="C294" s="7">
        <v>-8.1053698074973202E-4</v>
      </c>
      <c r="D294" s="7">
        <v>1.2396694214876103E-2</v>
      </c>
      <c r="E294" s="7">
        <v>6.712622895242415E-2</v>
      </c>
      <c r="F294" s="7">
        <v>9.2178009008230255E-3</v>
      </c>
      <c r="G294" s="7"/>
      <c r="H294" s="7">
        <f t="shared" si="19"/>
        <v>2.7351028109281472E-2</v>
      </c>
      <c r="I294" s="7">
        <f t="shared" si="20"/>
        <v>-1.0028337881572758E-2</v>
      </c>
      <c r="J294" s="7">
        <f t="shared" si="21"/>
        <v>3.1788933140530773E-3</v>
      </c>
      <c r="K294" s="7">
        <f t="shared" si="22"/>
        <v>5.7908428051601124E-2</v>
      </c>
      <c r="L294" s="7"/>
    </row>
    <row r="295" spans="1:12" x14ac:dyDescent="0.25">
      <c r="A295" s="2" t="s">
        <v>60</v>
      </c>
      <c r="B295" s="7">
        <v>3.1773254501963333E-2</v>
      </c>
      <c r="C295" s="7">
        <v>1.3971645777686614E-2</v>
      </c>
      <c r="D295" s="7">
        <v>0</v>
      </c>
      <c r="E295" s="7">
        <v>9.4684006388319197E-3</v>
      </c>
      <c r="F295" s="7">
        <v>-1.45806426234667E-2</v>
      </c>
      <c r="G295" s="7"/>
      <c r="H295" s="7">
        <f t="shared" si="19"/>
        <v>4.6353897125430032E-2</v>
      </c>
      <c r="I295" s="7">
        <f t="shared" si="20"/>
        <v>2.8552288401153314E-2</v>
      </c>
      <c r="J295" s="7">
        <f t="shared" si="21"/>
        <v>1.45806426234667E-2</v>
      </c>
      <c r="K295" s="7">
        <f t="shared" si="22"/>
        <v>2.4049043262298619E-2</v>
      </c>
      <c r="L295" s="7"/>
    </row>
    <row r="296" spans="1:12" x14ac:dyDescent="0.25">
      <c r="A296" s="2" t="s">
        <v>476</v>
      </c>
      <c r="B296" s="7">
        <v>-3.9111670562849143E-3</v>
      </c>
      <c r="C296" s="7">
        <v>-1.2995896032831356E-3</v>
      </c>
      <c r="D296" s="7">
        <v>-2.0242914979757165E-2</v>
      </c>
      <c r="E296" s="7">
        <v>3.5313570331876543E-2</v>
      </c>
      <c r="F296" s="7">
        <v>-2.8551769899211044E-3</v>
      </c>
      <c r="G296" s="7"/>
      <c r="H296" s="7">
        <f t="shared" si="19"/>
        <v>-1.05599006636381E-3</v>
      </c>
      <c r="I296" s="7">
        <f t="shared" si="20"/>
        <v>1.5555873866379688E-3</v>
      </c>
      <c r="J296" s="7">
        <f t="shared" si="21"/>
        <v>-1.7387737989836061E-2</v>
      </c>
      <c r="K296" s="7">
        <f t="shared" si="22"/>
        <v>3.8168747321797647E-2</v>
      </c>
      <c r="L296" s="7"/>
    </row>
    <row r="297" spans="1:12" x14ac:dyDescent="0.25">
      <c r="A297" s="2" t="s">
        <v>477</v>
      </c>
      <c r="B297" s="7">
        <v>-7.6366740038635861E-4</v>
      </c>
      <c r="C297" s="7">
        <v>3.4317089910775866E-3</v>
      </c>
      <c r="D297" s="7">
        <v>1.2295081967213184E-2</v>
      </c>
      <c r="E297" s="7">
        <v>-3.4133709981166716E-3</v>
      </c>
      <c r="F297" s="7">
        <v>5.31351199483443E-3</v>
      </c>
      <c r="G297" s="7"/>
      <c r="H297" s="7">
        <f t="shared" si="19"/>
        <v>-6.0771793952207886E-3</v>
      </c>
      <c r="I297" s="7">
        <f t="shared" si="20"/>
        <v>-1.8818030037568434E-3</v>
      </c>
      <c r="J297" s="7">
        <f t="shared" si="21"/>
        <v>6.9815699723787539E-3</v>
      </c>
      <c r="K297" s="7">
        <f t="shared" si="22"/>
        <v>-8.7268829929511016E-3</v>
      </c>
      <c r="L297" s="7"/>
    </row>
    <row r="298" spans="1:12" x14ac:dyDescent="0.25">
      <c r="A298" s="2" t="s">
        <v>478</v>
      </c>
      <c r="B298" s="7">
        <v>5.3289978774331281E-3</v>
      </c>
      <c r="C298" s="7">
        <v>1.5189520624303121E-2</v>
      </c>
      <c r="D298" s="7">
        <v>-4.0816326530612734E-3</v>
      </c>
      <c r="E298" s="7">
        <v>1.1910433539780829E-2</v>
      </c>
      <c r="F298" s="7">
        <v>6.1379611323075789E-3</v>
      </c>
      <c r="G298" s="7"/>
      <c r="H298" s="7">
        <f t="shared" si="19"/>
        <v>-8.0896325487445075E-4</v>
      </c>
      <c r="I298" s="7">
        <f t="shared" si="20"/>
        <v>9.0515594919955422E-3</v>
      </c>
      <c r="J298" s="7">
        <f t="shared" si="21"/>
        <v>-1.0219593785368852E-2</v>
      </c>
      <c r="K298" s="7">
        <f t="shared" si="22"/>
        <v>5.7724724074732503E-3</v>
      </c>
      <c r="L298" s="7"/>
    </row>
    <row r="299" spans="1:12" x14ac:dyDescent="0.25">
      <c r="A299" s="2" t="s">
        <v>479</v>
      </c>
      <c r="B299" s="7">
        <v>-3.1915358719888043E-2</v>
      </c>
      <c r="C299" s="7">
        <v>4.1509433962264142E-2</v>
      </c>
      <c r="D299" s="7">
        <v>-3.1620553359683612E-2</v>
      </c>
      <c r="E299" s="7">
        <v>2.9865010154104255E-3</v>
      </c>
      <c r="F299" s="7">
        <v>8.7682143059637507E-3</v>
      </c>
      <c r="G299" s="7"/>
      <c r="H299" s="7">
        <f t="shared" si="19"/>
        <v>-4.0683573025851794E-2</v>
      </c>
      <c r="I299" s="7">
        <f t="shared" si="20"/>
        <v>3.2741219656300391E-2</v>
      </c>
      <c r="J299" s="7">
        <f t="shared" si="21"/>
        <v>-4.0388767665647363E-2</v>
      </c>
      <c r="K299" s="7">
        <f t="shared" si="22"/>
        <v>-5.7817132905533253E-3</v>
      </c>
      <c r="L299" s="7"/>
    </row>
    <row r="300" spans="1:12" x14ac:dyDescent="0.25">
      <c r="A300" s="2" t="s">
        <v>480</v>
      </c>
      <c r="B300" s="7">
        <v>7.532376002114205E-3</v>
      </c>
      <c r="C300" s="7">
        <v>1.3309802191337594E-2</v>
      </c>
      <c r="D300" s="7">
        <v>-1.9379844961240456E-2</v>
      </c>
      <c r="E300" s="7">
        <v>3.2691833209967713E-2</v>
      </c>
      <c r="F300" s="7">
        <v>9.9910060734267336E-3</v>
      </c>
      <c r="G300" s="7"/>
      <c r="H300" s="7">
        <f t="shared" si="19"/>
        <v>-2.4586300713125286E-3</v>
      </c>
      <c r="I300" s="7">
        <f t="shared" si="20"/>
        <v>3.3187961179108605E-3</v>
      </c>
      <c r="J300" s="7">
        <f t="shared" si="21"/>
        <v>-2.9370851034667189E-2</v>
      </c>
      <c r="K300" s="7">
        <f t="shared" si="22"/>
        <v>2.270082713654098E-2</v>
      </c>
      <c r="L300" s="7"/>
    </row>
    <row r="301" spans="1:12" x14ac:dyDescent="0.25">
      <c r="A301" s="2" t="s">
        <v>481</v>
      </c>
      <c r="B301" s="7">
        <v>-4.0409163919181701E-2</v>
      </c>
      <c r="C301" s="7">
        <v>1.0176793938493578E-2</v>
      </c>
      <c r="D301" s="7">
        <v>-5.1470588235294157E-2</v>
      </c>
      <c r="E301" s="7">
        <v>-1.2335019119269486E-4</v>
      </c>
      <c r="F301" s="7">
        <v>-2.112636997870454E-3</v>
      </c>
      <c r="G301" s="7"/>
      <c r="H301" s="7">
        <f t="shared" si="19"/>
        <v>-3.8296526921311247E-2</v>
      </c>
      <c r="I301" s="7">
        <f t="shared" si="20"/>
        <v>1.2289430936364032E-2</v>
      </c>
      <c r="J301" s="7">
        <f t="shared" si="21"/>
        <v>-4.9357951237423703E-2</v>
      </c>
      <c r="K301" s="7">
        <f t="shared" si="22"/>
        <v>1.9892868066777591E-3</v>
      </c>
      <c r="L301" s="7"/>
    </row>
    <row r="302" spans="1:12" x14ac:dyDescent="0.25">
      <c r="A302" s="2" t="s">
        <v>482</v>
      </c>
      <c r="B302" s="7">
        <v>1.9697426835050269E-2</v>
      </c>
      <c r="C302" s="7">
        <v>4.1023346013278061E-3</v>
      </c>
      <c r="D302" s="7">
        <v>-3.663003663003539E-3</v>
      </c>
      <c r="E302" s="7">
        <v>9.3376494023904577E-3</v>
      </c>
      <c r="F302" s="7">
        <v>1.8312792769356268E-2</v>
      </c>
      <c r="G302" s="7"/>
      <c r="H302" s="7">
        <f t="shared" si="19"/>
        <v>1.3846340656940015E-3</v>
      </c>
      <c r="I302" s="7">
        <f t="shared" si="20"/>
        <v>-1.4210458168028461E-2</v>
      </c>
      <c r="J302" s="7">
        <f t="shared" si="21"/>
        <v>-2.1975796432359807E-2</v>
      </c>
      <c r="K302" s="7">
        <f t="shared" si="22"/>
        <v>-8.9751433669658098E-3</v>
      </c>
      <c r="L302" s="7"/>
    </row>
    <row r="303" spans="1:12" x14ac:dyDescent="0.25">
      <c r="A303" s="2" t="s">
        <v>483</v>
      </c>
      <c r="B303" s="7">
        <v>-4.8041865053832788E-3</v>
      </c>
      <c r="C303" s="7">
        <v>1.9388686131386779E-2</v>
      </c>
      <c r="D303" s="7">
        <v>-1.4440433212996373E-2</v>
      </c>
      <c r="E303" s="7">
        <v>1.414141414141401E-2</v>
      </c>
      <c r="F303" s="7">
        <v>1.146289893115604E-3</v>
      </c>
      <c r="G303" s="7"/>
      <c r="H303" s="7">
        <f t="shared" si="19"/>
        <v>-5.9504763984988829E-3</v>
      </c>
      <c r="I303" s="7">
        <f t="shared" si="20"/>
        <v>1.8242396238271175E-2</v>
      </c>
      <c r="J303" s="7">
        <f t="shared" si="21"/>
        <v>-1.5586723106111977E-2</v>
      </c>
      <c r="K303" s="7">
        <f t="shared" si="22"/>
        <v>1.2995124248298406E-2</v>
      </c>
      <c r="L303" s="7"/>
    </row>
    <row r="304" spans="1:12" x14ac:dyDescent="0.25">
      <c r="A304" s="2" t="s">
        <v>61</v>
      </c>
      <c r="B304" s="7">
        <v>-1.0315843097300048E-2</v>
      </c>
      <c r="C304" s="7">
        <v>2.5897035881435437E-2</v>
      </c>
      <c r="D304" s="7">
        <v>3.7453183520599342E-2</v>
      </c>
      <c r="E304" s="7">
        <v>1.2627857052671665E-4</v>
      </c>
      <c r="F304" s="7">
        <v>1.5754139322881056E-3</v>
      </c>
      <c r="G304" s="7"/>
      <c r="H304" s="7">
        <f t="shared" si="19"/>
        <v>-1.1891257029588154E-2</v>
      </c>
      <c r="I304" s="7">
        <f t="shared" si="20"/>
        <v>2.4321621949147332E-2</v>
      </c>
      <c r="J304" s="7">
        <f t="shared" si="21"/>
        <v>3.5877769588311237E-2</v>
      </c>
      <c r="K304" s="7">
        <f t="shared" si="22"/>
        <v>-1.4491353617613889E-3</v>
      </c>
      <c r="L304" s="7"/>
    </row>
    <row r="305" spans="1:12" x14ac:dyDescent="0.25">
      <c r="A305" s="2" t="s">
        <v>484</v>
      </c>
      <c r="B305" s="7">
        <v>-2.4111359681829425E-2</v>
      </c>
      <c r="C305" s="7">
        <v>-2.4724229745150206E-2</v>
      </c>
      <c r="D305" s="7">
        <v>5.9523809523809534E-2</v>
      </c>
      <c r="E305" s="7">
        <v>-3.7788578371810488E-2</v>
      </c>
      <c r="F305" s="7">
        <v>-1.5411650403413191E-2</v>
      </c>
      <c r="G305" s="7"/>
      <c r="H305" s="7">
        <f t="shared" si="19"/>
        <v>-8.6997092784162344E-3</v>
      </c>
      <c r="I305" s="7">
        <f t="shared" si="20"/>
        <v>-9.3125793417370151E-3</v>
      </c>
      <c r="J305" s="7">
        <f t="shared" si="21"/>
        <v>7.4935459927222725E-2</v>
      </c>
      <c r="K305" s="7">
        <f t="shared" si="22"/>
        <v>-2.2376927968397298E-2</v>
      </c>
      <c r="L305" s="7"/>
    </row>
    <row r="306" spans="1:12" x14ac:dyDescent="0.25">
      <c r="A306" s="2" t="s">
        <v>485</v>
      </c>
      <c r="B306" s="7">
        <v>2.0341234588401313E-3</v>
      </c>
      <c r="C306" s="7">
        <v>1.325830571186315E-2</v>
      </c>
      <c r="D306" s="7">
        <v>3.9840637450199168E-3</v>
      </c>
      <c r="E306" s="7">
        <v>-9.3885411651420947E-3</v>
      </c>
      <c r="F306" s="7">
        <v>1.5603237756451893E-3</v>
      </c>
      <c r="G306" s="7"/>
      <c r="H306" s="7">
        <f t="shared" si="19"/>
        <v>4.7379968319494203E-4</v>
      </c>
      <c r="I306" s="7">
        <f t="shared" si="20"/>
        <v>1.169798193621796E-2</v>
      </c>
      <c r="J306" s="7">
        <f t="shared" si="21"/>
        <v>2.4237399693747275E-3</v>
      </c>
      <c r="K306" s="7">
        <f t="shared" si="22"/>
        <v>-1.0948864940787284E-2</v>
      </c>
      <c r="L306" s="7"/>
    </row>
    <row r="307" spans="1:12" x14ac:dyDescent="0.25">
      <c r="A307" s="2" t="s">
        <v>486</v>
      </c>
      <c r="B307" s="7">
        <v>-1.1408872655640834E-2</v>
      </c>
      <c r="C307" s="7">
        <v>1.9088766692851422E-2</v>
      </c>
      <c r="D307" s="7">
        <v>7.2649572649572614E-2</v>
      </c>
      <c r="E307" s="7">
        <v>-1.2128418549345987E-2</v>
      </c>
      <c r="F307" s="7">
        <v>-1.1103896321238205E-2</v>
      </c>
      <c r="G307" s="7"/>
      <c r="H307" s="7">
        <f t="shared" si="19"/>
        <v>-3.0497633440262906E-4</v>
      </c>
      <c r="I307" s="7">
        <f t="shared" si="20"/>
        <v>3.0192663014089627E-2</v>
      </c>
      <c r="J307" s="7">
        <f t="shared" si="21"/>
        <v>8.3753468970810818E-2</v>
      </c>
      <c r="K307" s="7">
        <f t="shared" si="22"/>
        <v>-1.0245222281077826E-3</v>
      </c>
      <c r="L307" s="7"/>
    </row>
    <row r="308" spans="1:12" x14ac:dyDescent="0.25">
      <c r="A308" s="2" t="s">
        <v>62</v>
      </c>
      <c r="B308" s="7">
        <v>6.7344240621385332E-3</v>
      </c>
      <c r="C308" s="7">
        <v>3.231145086295184E-3</v>
      </c>
      <c r="D308" s="7">
        <v>8.6206896551723755E-3</v>
      </c>
      <c r="E308" s="7">
        <v>-2.3775558725647183E-4</v>
      </c>
      <c r="F308" s="7">
        <v>5.5381011599553442E-3</v>
      </c>
      <c r="G308" s="7"/>
      <c r="H308" s="7">
        <f t="shared" si="19"/>
        <v>1.1963229021831889E-3</v>
      </c>
      <c r="I308" s="7">
        <f t="shared" si="20"/>
        <v>-2.3069560736601602E-3</v>
      </c>
      <c r="J308" s="7">
        <f t="shared" si="21"/>
        <v>3.0825884952170313E-3</v>
      </c>
      <c r="K308" s="7">
        <f t="shared" si="22"/>
        <v>-5.7758567472118161E-3</v>
      </c>
      <c r="L308" s="7"/>
    </row>
    <row r="309" spans="1:12" x14ac:dyDescent="0.25">
      <c r="A309" s="2" t="s">
        <v>487</v>
      </c>
      <c r="B309" s="7">
        <v>-2.0203686141920807E-3</v>
      </c>
      <c r="C309" s="7">
        <v>1.2625266314210126E-3</v>
      </c>
      <c r="D309" s="7">
        <v>-1.276595744680864E-2</v>
      </c>
      <c r="E309" s="7">
        <v>6.9427819008858194E-3</v>
      </c>
      <c r="F309" s="7">
        <v>1.2595956411720177E-2</v>
      </c>
      <c r="G309" s="7"/>
      <c r="H309" s="7">
        <f t="shared" si="19"/>
        <v>-1.4616325025912258E-2</v>
      </c>
      <c r="I309" s="7">
        <f t="shared" si="20"/>
        <v>-1.1333429780299165E-2</v>
      </c>
      <c r="J309" s="7">
        <f t="shared" si="21"/>
        <v>-2.5361913858528817E-2</v>
      </c>
      <c r="K309" s="7">
        <f t="shared" si="22"/>
        <v>-5.6531745108343578E-3</v>
      </c>
      <c r="L309" s="7"/>
    </row>
    <row r="310" spans="1:12" x14ac:dyDescent="0.25">
      <c r="A310" s="2" t="s">
        <v>488</v>
      </c>
      <c r="B310" s="7">
        <v>-2.6218581867822999E-2</v>
      </c>
      <c r="C310" s="7">
        <v>4.756996749385678E-3</v>
      </c>
      <c r="D310" s="7">
        <v>1.7316017316017396E-2</v>
      </c>
      <c r="E310" s="7">
        <v>1.9189254017750734E-3</v>
      </c>
      <c r="F310" s="7">
        <v>-2.2238733140302891E-3</v>
      </c>
      <c r="G310" s="7"/>
      <c r="H310" s="7">
        <f t="shared" si="19"/>
        <v>-2.399470855379271E-2</v>
      </c>
      <c r="I310" s="7">
        <f t="shared" si="20"/>
        <v>6.9808700634159671E-3</v>
      </c>
      <c r="J310" s="7">
        <f t="shared" si="21"/>
        <v>1.9539890630047685E-2</v>
      </c>
      <c r="K310" s="7">
        <f t="shared" si="22"/>
        <v>4.1427987158053625E-3</v>
      </c>
      <c r="L310" s="7"/>
    </row>
    <row r="311" spans="1:12" x14ac:dyDescent="0.25">
      <c r="A311" s="2" t="s">
        <v>489</v>
      </c>
      <c r="B311" s="7">
        <v>-7.0565721803612647E-3</v>
      </c>
      <c r="C311" s="7">
        <v>-3.1703257509718696E-4</v>
      </c>
      <c r="D311" s="7">
        <v>2.212389380530988E-2</v>
      </c>
      <c r="E311" s="7">
        <v>7.8568838389942997E-3</v>
      </c>
      <c r="F311" s="7">
        <v>-4.2847904329482711E-3</v>
      </c>
      <c r="G311" s="7"/>
      <c r="H311" s="7">
        <f t="shared" si="19"/>
        <v>-2.7717817474129935E-3</v>
      </c>
      <c r="I311" s="7">
        <f t="shared" si="20"/>
        <v>3.9677578578510841E-3</v>
      </c>
      <c r="J311" s="7">
        <f t="shared" si="21"/>
        <v>2.6408684238258151E-2</v>
      </c>
      <c r="K311" s="7">
        <f t="shared" si="22"/>
        <v>1.2141674271942571E-2</v>
      </c>
      <c r="L311" s="7"/>
    </row>
    <row r="312" spans="1:12" x14ac:dyDescent="0.25">
      <c r="A312" s="2" t="s">
        <v>63</v>
      </c>
      <c r="B312" s="7">
        <v>-1.3257277734067596E-2</v>
      </c>
      <c r="C312" s="7">
        <v>-8.0974842767295163E-3</v>
      </c>
      <c r="D312" s="7">
        <v>-8.7719298245614308E-3</v>
      </c>
      <c r="E312" s="7">
        <v>-1.0998206814106459E-2</v>
      </c>
      <c r="F312" s="7">
        <v>-1.0702011777237508E-2</v>
      </c>
      <c r="G312" s="7"/>
      <c r="H312" s="7">
        <f t="shared" si="19"/>
        <v>-2.5552659568300884E-3</v>
      </c>
      <c r="I312" s="7">
        <f t="shared" si="20"/>
        <v>2.6045275005079915E-3</v>
      </c>
      <c r="J312" s="7">
        <f t="shared" si="21"/>
        <v>1.9300819526760771E-3</v>
      </c>
      <c r="K312" s="7">
        <f t="shared" si="22"/>
        <v>-2.9619503686895143E-4</v>
      </c>
      <c r="L312" s="7"/>
    </row>
    <row r="313" spans="1:12" x14ac:dyDescent="0.25">
      <c r="A313" s="2" t="s">
        <v>490</v>
      </c>
      <c r="B313" s="7">
        <v>-1.3237063778580138E-2</v>
      </c>
      <c r="C313" s="7">
        <v>-7.5680736521805958E-3</v>
      </c>
      <c r="D313" s="7">
        <v>-1.7241379310344862E-2</v>
      </c>
      <c r="E313" s="7">
        <v>-1.1813349084465408E-2</v>
      </c>
      <c r="F313" s="7">
        <v>-1.1055735815118317E-2</v>
      </c>
      <c r="G313" s="7"/>
      <c r="H313" s="7">
        <f t="shared" si="19"/>
        <v>-2.181327963461821E-3</v>
      </c>
      <c r="I313" s="7">
        <f t="shared" si="20"/>
        <v>3.4876621629377214E-3</v>
      </c>
      <c r="J313" s="7">
        <f t="shared" si="21"/>
        <v>-6.1856434952265449E-3</v>
      </c>
      <c r="K313" s="7">
        <f t="shared" si="22"/>
        <v>-7.576132693470905E-4</v>
      </c>
      <c r="L313" s="7"/>
    </row>
    <row r="314" spans="1:12" x14ac:dyDescent="0.25">
      <c r="A314" s="2" t="s">
        <v>491</v>
      </c>
      <c r="B314" s="7">
        <v>3.1542056074767011E-3</v>
      </c>
      <c r="C314" s="7">
        <v>6.2809138729684744E-3</v>
      </c>
      <c r="D314" s="7">
        <v>0</v>
      </c>
      <c r="E314" s="7">
        <v>6.5398335315103306E-3</v>
      </c>
      <c r="F314" s="7">
        <v>-4.0562645280495246E-4</v>
      </c>
      <c r="G314" s="7"/>
      <c r="H314" s="7">
        <f t="shared" si="19"/>
        <v>3.5598320602816536E-3</v>
      </c>
      <c r="I314" s="7">
        <f t="shared" si="20"/>
        <v>6.6865403257734268E-3</v>
      </c>
      <c r="J314" s="7">
        <f t="shared" si="21"/>
        <v>4.0562645280495246E-4</v>
      </c>
      <c r="K314" s="7">
        <f t="shared" si="22"/>
        <v>6.9454599843152831E-3</v>
      </c>
      <c r="L314" s="7"/>
    </row>
    <row r="315" spans="1:12" x14ac:dyDescent="0.25">
      <c r="A315" s="2" t="s">
        <v>492</v>
      </c>
      <c r="B315" s="7">
        <v>1.1501496770127684E-2</v>
      </c>
      <c r="C315" s="7">
        <v>1.0712585303920052E-2</v>
      </c>
      <c r="D315" s="7">
        <v>1.3100436681222627E-2</v>
      </c>
      <c r="E315" s="7">
        <v>4.53893932154803E-3</v>
      </c>
      <c r="F315" s="7">
        <v>1.1042722967758989E-2</v>
      </c>
      <c r="G315" s="7"/>
      <c r="H315" s="7">
        <f t="shared" si="19"/>
        <v>4.5877380236869492E-4</v>
      </c>
      <c r="I315" s="7">
        <f t="shared" si="20"/>
        <v>-3.3013766383893639E-4</v>
      </c>
      <c r="J315" s="7">
        <f t="shared" si="21"/>
        <v>2.0577137134636381E-3</v>
      </c>
      <c r="K315" s="7">
        <f t="shared" si="22"/>
        <v>-6.5037836462109588E-3</v>
      </c>
      <c r="L315" s="7"/>
    </row>
    <row r="316" spans="1:12" x14ac:dyDescent="0.25">
      <c r="A316" s="2" t="s">
        <v>64</v>
      </c>
      <c r="B316" s="7">
        <v>3.042155584528361E-3</v>
      </c>
      <c r="C316" s="7">
        <v>-2.3749208359721274E-3</v>
      </c>
      <c r="D316" s="7">
        <v>1.7777777777777892E-2</v>
      </c>
      <c r="E316" s="7">
        <v>3.4729946854529681E-2</v>
      </c>
      <c r="F316" s="7">
        <v>7.2873196927927264E-3</v>
      </c>
      <c r="G316" s="7"/>
      <c r="H316" s="7">
        <f t="shared" si="19"/>
        <v>-4.2451641082643654E-3</v>
      </c>
      <c r="I316" s="7">
        <f t="shared" si="20"/>
        <v>-9.6622405287648538E-3</v>
      </c>
      <c r="J316" s="7">
        <f t="shared" si="21"/>
        <v>1.0490458084985166E-2</v>
      </c>
      <c r="K316" s="7">
        <f t="shared" si="22"/>
        <v>2.7442627161736954E-2</v>
      </c>
      <c r="L316" s="7"/>
    </row>
    <row r="317" spans="1:12" x14ac:dyDescent="0.25">
      <c r="A317" s="2" t="s">
        <v>493</v>
      </c>
      <c r="B317" s="7">
        <v>1.883830455259039E-2</v>
      </c>
      <c r="C317" s="7">
        <v>1.6905490259217393E-2</v>
      </c>
      <c r="D317" s="7">
        <v>-1.3157894736842035E-2</v>
      </c>
      <c r="E317" s="7">
        <v>-2.4122542515981227E-2</v>
      </c>
      <c r="F317" s="7">
        <v>1.0869120584686254E-2</v>
      </c>
      <c r="G317" s="7"/>
      <c r="H317" s="7">
        <f t="shared" si="19"/>
        <v>7.9691839679041365E-3</v>
      </c>
      <c r="I317" s="7">
        <f t="shared" si="20"/>
        <v>6.036369674531139E-3</v>
      </c>
      <c r="J317" s="7">
        <f t="shared" si="21"/>
        <v>-2.4027015321528289E-2</v>
      </c>
      <c r="K317" s="7">
        <f t="shared" si="22"/>
        <v>-3.4991663100667481E-2</v>
      </c>
      <c r="L317" s="7"/>
    </row>
    <row r="318" spans="1:12" x14ac:dyDescent="0.25">
      <c r="A318" s="2" t="s">
        <v>494</v>
      </c>
      <c r="B318" s="7">
        <v>7.0125658694770721E-3</v>
      </c>
      <c r="C318" s="7">
        <v>1.2800652262535683E-2</v>
      </c>
      <c r="D318" s="7">
        <v>-1.7241379310344862E-2</v>
      </c>
      <c r="E318" s="7">
        <v>-8.1349443713363279E-3</v>
      </c>
      <c r="F318" s="7">
        <v>-8.6509904362275236E-4</v>
      </c>
      <c r="G318" s="7"/>
      <c r="H318" s="7">
        <f t="shared" si="19"/>
        <v>7.8776649130998244E-3</v>
      </c>
      <c r="I318" s="7">
        <f t="shared" si="20"/>
        <v>1.3665751306158436E-2</v>
      </c>
      <c r="J318" s="7">
        <f t="shared" si="21"/>
        <v>-1.637628026672211E-2</v>
      </c>
      <c r="K318" s="7">
        <f t="shared" si="22"/>
        <v>-7.2698453277135755E-3</v>
      </c>
      <c r="L318" s="7"/>
    </row>
    <row r="319" spans="1:12" x14ac:dyDescent="0.25">
      <c r="A319" s="2" t="s">
        <v>495</v>
      </c>
      <c r="B319" s="7">
        <v>-2.142007140023805E-2</v>
      </c>
      <c r="C319" s="7">
        <v>-1.9741048593350352E-2</v>
      </c>
      <c r="D319" s="7">
        <v>-4.2918454935623185E-3</v>
      </c>
      <c r="E319" s="7">
        <v>-2.462077012835473E-2</v>
      </c>
      <c r="F319" s="7">
        <v>-2.9492894104891865E-2</v>
      </c>
      <c r="G319" s="7"/>
      <c r="H319" s="7">
        <f t="shared" si="19"/>
        <v>8.0728227046538148E-3</v>
      </c>
      <c r="I319" s="7">
        <f t="shared" si="20"/>
        <v>9.7518455115415126E-3</v>
      </c>
      <c r="J319" s="7">
        <f t="shared" si="21"/>
        <v>2.5201048611329546E-2</v>
      </c>
      <c r="K319" s="7">
        <f t="shared" si="22"/>
        <v>4.8721239765371349E-3</v>
      </c>
      <c r="L319" s="7"/>
    </row>
    <row r="320" spans="1:12" x14ac:dyDescent="0.25">
      <c r="A320" s="2" t="s">
        <v>496</v>
      </c>
      <c r="B320" s="7">
        <v>9.6924062800383126E-3</v>
      </c>
      <c r="C320" s="7">
        <v>-1.0909090909090868E-2</v>
      </c>
      <c r="D320" s="7">
        <v>4.3103448275862988E-3</v>
      </c>
      <c r="E320" s="7">
        <v>1.2643270707787035E-2</v>
      </c>
      <c r="F320" s="7">
        <v>-3.8639596449174807E-3</v>
      </c>
      <c r="G320" s="7"/>
      <c r="H320" s="7">
        <f t="shared" si="19"/>
        <v>1.3556365924955793E-2</v>
      </c>
      <c r="I320" s="7">
        <f t="shared" si="20"/>
        <v>-7.0451312641733876E-3</v>
      </c>
      <c r="J320" s="7">
        <f t="shared" si="21"/>
        <v>8.1743044725037795E-3</v>
      </c>
      <c r="K320" s="7">
        <f t="shared" si="22"/>
        <v>1.6507230352704516E-2</v>
      </c>
      <c r="L320" s="7"/>
    </row>
    <row r="321" spans="1:12" x14ac:dyDescent="0.25">
      <c r="A321" s="2" t="s">
        <v>65</v>
      </c>
      <c r="B321" s="7">
        <v>1.1751357484399039E-2</v>
      </c>
      <c r="C321" s="7">
        <v>-3.4662045060658286E-3</v>
      </c>
      <c r="D321" s="7">
        <v>-3.3333333333333326E-2</v>
      </c>
      <c r="E321" s="7">
        <v>-2.0032422417786022E-2</v>
      </c>
      <c r="F321" s="7">
        <v>3.7993154952247199E-3</v>
      </c>
      <c r="G321" s="7"/>
      <c r="H321" s="7">
        <f t="shared" si="19"/>
        <v>7.9520419891743188E-3</v>
      </c>
      <c r="I321" s="7">
        <f t="shared" si="20"/>
        <v>-7.2655200012905485E-3</v>
      </c>
      <c r="J321" s="7">
        <f t="shared" si="21"/>
        <v>-3.7132648828558046E-2</v>
      </c>
      <c r="K321" s="7">
        <f t="shared" si="22"/>
        <v>-2.3831737913010742E-2</v>
      </c>
      <c r="L321" s="7"/>
    </row>
    <row r="322" spans="1:12" x14ac:dyDescent="0.25">
      <c r="A322" s="2" t="s">
        <v>497</v>
      </c>
      <c r="B322" s="7">
        <v>6.8934755281624405E-4</v>
      </c>
      <c r="C322" s="7">
        <v>1.262028711153107E-3</v>
      </c>
      <c r="D322" s="7">
        <v>1.2658227848101111E-2</v>
      </c>
      <c r="E322" s="7">
        <v>-1.5840455840455792E-2</v>
      </c>
      <c r="F322" s="7">
        <v>-2.6440818012729572E-5</v>
      </c>
      <c r="G322" s="7"/>
      <c r="H322" s="7">
        <f t="shared" si="19"/>
        <v>7.1578837082897362E-4</v>
      </c>
      <c r="I322" s="7">
        <f t="shared" si="20"/>
        <v>1.2884695291658366E-3</v>
      </c>
      <c r="J322" s="7">
        <f t="shared" si="21"/>
        <v>1.2684668666113841E-2</v>
      </c>
      <c r="K322" s="7">
        <f t="shared" si="22"/>
        <v>-1.5814015022443062E-2</v>
      </c>
      <c r="L322" s="7"/>
    </row>
    <row r="323" spans="1:12" x14ac:dyDescent="0.25">
      <c r="A323" s="2" t="s">
        <v>498</v>
      </c>
      <c r="B323" s="7">
        <v>5.9555374260658045E-3</v>
      </c>
      <c r="C323" s="7">
        <v>-1.5772870662456029E-4</v>
      </c>
      <c r="D323" s="7">
        <v>-1.2499999999999956E-2</v>
      </c>
      <c r="E323" s="7">
        <v>2.8571428571428914E-3</v>
      </c>
      <c r="F323" s="7">
        <v>-5.4140321061636465E-3</v>
      </c>
      <c r="G323" s="7"/>
      <c r="H323" s="7">
        <f t="shared" ref="H323:H386" si="23">B323-$F323</f>
        <v>1.1369569532229451E-2</v>
      </c>
      <c r="I323" s="7">
        <f t="shared" ref="I323:I386" si="24">C323-$F323</f>
        <v>5.2563033995390862E-3</v>
      </c>
      <c r="J323" s="7">
        <f t="shared" ref="J323:J386" si="25">D323-$F323</f>
        <v>-7.0859678938363091E-3</v>
      </c>
      <c r="K323" s="7">
        <f t="shared" ref="K323:K386" si="26">E323-$F323</f>
        <v>8.2711749633065379E-3</v>
      </c>
      <c r="L323" s="7"/>
    </row>
    <row r="324" spans="1:12" x14ac:dyDescent="0.25">
      <c r="A324" s="2" t="s">
        <v>499</v>
      </c>
      <c r="B324" s="7">
        <v>-5.1538024510996427E-3</v>
      </c>
      <c r="C324" s="7">
        <v>0</v>
      </c>
      <c r="D324" s="7">
        <v>-1.2345679012345734E-2</v>
      </c>
      <c r="E324" s="7">
        <v>-9.5087163232964178E-3</v>
      </c>
      <c r="F324" s="7">
        <v>8.1658218598121834E-3</v>
      </c>
      <c r="G324" s="7"/>
      <c r="H324" s="7">
        <f t="shared" si="23"/>
        <v>-1.3319624310911826E-2</v>
      </c>
      <c r="I324" s="7">
        <f t="shared" si="24"/>
        <v>-8.1658218598121834E-3</v>
      </c>
      <c r="J324" s="7">
        <f t="shared" si="25"/>
        <v>-2.0511500872157917E-2</v>
      </c>
      <c r="K324" s="7">
        <f t="shared" si="26"/>
        <v>-1.7674538183108601E-2</v>
      </c>
      <c r="L324" s="7"/>
    </row>
    <row r="325" spans="1:12" x14ac:dyDescent="0.25">
      <c r="A325" s="2" t="s">
        <v>500</v>
      </c>
      <c r="B325" s="7">
        <v>4.1155617130514965E-3</v>
      </c>
      <c r="C325" s="7">
        <v>-1.3075965130759593E-2</v>
      </c>
      <c r="D325" s="7">
        <v>4.1322314049587749E-3</v>
      </c>
      <c r="E325" s="7">
        <v>-2.6985350809560549E-2</v>
      </c>
      <c r="F325" s="7">
        <v>-2.9638930421207466E-3</v>
      </c>
      <c r="G325" s="7"/>
      <c r="H325" s="7">
        <f t="shared" si="23"/>
        <v>7.0794547551722431E-3</v>
      </c>
      <c r="I325" s="7">
        <f t="shared" si="24"/>
        <v>-1.0112072088638846E-2</v>
      </c>
      <c r="J325" s="7">
        <f t="shared" si="25"/>
        <v>7.0961244470795215E-3</v>
      </c>
      <c r="K325" s="7">
        <f t="shared" si="26"/>
        <v>-2.4021457767439802E-2</v>
      </c>
      <c r="L325" s="7"/>
    </row>
    <row r="326" spans="1:12" x14ac:dyDescent="0.25">
      <c r="A326" s="2" t="s">
        <v>66</v>
      </c>
      <c r="B326" s="7">
        <v>1.6106326598211318E-2</v>
      </c>
      <c r="C326" s="7">
        <v>-1.2148239274181294E-2</v>
      </c>
      <c r="D326" s="7">
        <v>-4.115226337448652E-3</v>
      </c>
      <c r="E326" s="7">
        <v>7.4437869822485236E-2</v>
      </c>
      <c r="F326" s="7">
        <v>-6.1442267748391677E-3</v>
      </c>
      <c r="G326" s="7"/>
      <c r="H326" s="7">
        <f t="shared" si="23"/>
        <v>2.2250553373050486E-2</v>
      </c>
      <c r="I326" s="7">
        <f t="shared" si="24"/>
        <v>-6.0040124993421262E-3</v>
      </c>
      <c r="J326" s="7">
        <f t="shared" si="25"/>
        <v>2.0290004373905157E-3</v>
      </c>
      <c r="K326" s="7">
        <f t="shared" si="26"/>
        <v>8.0582096597324404E-2</v>
      </c>
      <c r="L326" s="7"/>
    </row>
    <row r="327" spans="1:12" x14ac:dyDescent="0.25">
      <c r="A327" s="2" t="s">
        <v>501</v>
      </c>
      <c r="B327" s="7">
        <v>-8.27403607479682E-4</v>
      </c>
      <c r="C327" s="7">
        <v>-1.6120365394949321E-3</v>
      </c>
      <c r="D327" s="7">
        <v>-1.2195121951219412E-2</v>
      </c>
      <c r="E327" s="7">
        <v>2.114803625377637E-2</v>
      </c>
      <c r="F327" s="7">
        <v>2.4954280663231909E-3</v>
      </c>
      <c r="G327" s="7"/>
      <c r="H327" s="7">
        <f t="shared" si="23"/>
        <v>-3.3228316738028729E-3</v>
      </c>
      <c r="I327" s="7">
        <f t="shared" si="24"/>
        <v>-4.107464605818123E-3</v>
      </c>
      <c r="J327" s="7">
        <f t="shared" si="25"/>
        <v>-1.4690550017542603E-2</v>
      </c>
      <c r="K327" s="7">
        <f t="shared" si="26"/>
        <v>1.8652608187453179E-2</v>
      </c>
      <c r="L327" s="7"/>
    </row>
    <row r="328" spans="1:12" x14ac:dyDescent="0.25">
      <c r="A328" s="2" t="s">
        <v>502</v>
      </c>
      <c r="B328" s="7">
        <v>1.2412594646038499E-4</v>
      </c>
      <c r="C328" s="7">
        <v>2.2046132119880824E-2</v>
      </c>
      <c r="D328" s="7">
        <v>-1.9920318725099584E-2</v>
      </c>
      <c r="E328" s="7">
        <v>-9.2193486590037566E-3</v>
      </c>
      <c r="F328" s="7">
        <v>-1.8697147288503357E-3</v>
      </c>
      <c r="G328" s="7"/>
      <c r="H328" s="7">
        <f t="shared" si="23"/>
        <v>1.9938406753107207E-3</v>
      </c>
      <c r="I328" s="7">
        <f t="shared" si="24"/>
        <v>2.3915846848731159E-2</v>
      </c>
      <c r="J328" s="7">
        <f t="shared" si="25"/>
        <v>-1.8050603996249248E-2</v>
      </c>
      <c r="K328" s="7">
        <f t="shared" si="26"/>
        <v>-7.3496339301534208E-3</v>
      </c>
      <c r="L328" s="7"/>
    </row>
    <row r="329" spans="1:12" x14ac:dyDescent="0.25">
      <c r="A329" s="2" t="s">
        <v>503</v>
      </c>
      <c r="B329" s="7">
        <v>1.491733311233423E-3</v>
      </c>
      <c r="C329" s="7">
        <v>-5.3066958014671428E-3</v>
      </c>
      <c r="D329" s="7">
        <v>-3.9682539682540652E-3</v>
      </c>
      <c r="E329" s="7">
        <v>-8.7823403750297846E-3</v>
      </c>
      <c r="F329" s="7">
        <v>6.0513596963907013E-3</v>
      </c>
      <c r="G329" s="7"/>
      <c r="H329" s="7">
        <f t="shared" si="23"/>
        <v>-4.5596263851572782E-3</v>
      </c>
      <c r="I329" s="7">
        <f t="shared" si="24"/>
        <v>-1.1358055497857844E-2</v>
      </c>
      <c r="J329" s="7">
        <f t="shared" si="25"/>
        <v>-1.0019613664644766E-2</v>
      </c>
      <c r="K329" s="7">
        <f t="shared" si="26"/>
        <v>-1.4833700071420486E-2</v>
      </c>
      <c r="L329" s="7"/>
    </row>
    <row r="330" spans="1:12" x14ac:dyDescent="0.25">
      <c r="A330" s="2" t="s">
        <v>504</v>
      </c>
      <c r="B330" s="7">
        <v>1.27575643123925E-2</v>
      </c>
      <c r="C330" s="7">
        <v>-1.3093037584719802E-2</v>
      </c>
      <c r="D330" s="7">
        <v>5.0000000000000044E-2</v>
      </c>
      <c r="E330" s="7">
        <v>-3.0761949834358093E-3</v>
      </c>
      <c r="F330" s="7">
        <v>4.5145233705135013E-4</v>
      </c>
      <c r="G330" s="7"/>
      <c r="H330" s="7">
        <f t="shared" si="23"/>
        <v>1.230611197534115E-2</v>
      </c>
      <c r="I330" s="7">
        <f t="shared" si="24"/>
        <v>-1.3544489921771152E-2</v>
      </c>
      <c r="J330" s="7">
        <f t="shared" si="25"/>
        <v>4.9548547662948694E-2</v>
      </c>
      <c r="K330" s="7">
        <f t="shared" si="26"/>
        <v>-3.5276473204871595E-3</v>
      </c>
      <c r="L330" s="7"/>
    </row>
    <row r="331" spans="1:12" x14ac:dyDescent="0.25">
      <c r="A331" s="2" t="s">
        <v>67</v>
      </c>
      <c r="B331" s="7">
        <v>9.5322826639552272E-3</v>
      </c>
      <c r="C331" s="7">
        <v>-4.828696252011877E-3</v>
      </c>
      <c r="D331" s="7">
        <v>-1.2345679012345734E-2</v>
      </c>
      <c r="E331" s="7">
        <v>-1.6294227188082044E-2</v>
      </c>
      <c r="F331" s="7">
        <v>2.4484531809998433E-3</v>
      </c>
      <c r="G331" s="7"/>
      <c r="H331" s="7">
        <f t="shared" si="23"/>
        <v>7.0838294829553838E-3</v>
      </c>
      <c r="I331" s="7">
        <f t="shared" si="24"/>
        <v>-7.2771494330117203E-3</v>
      </c>
      <c r="J331" s="7">
        <f t="shared" si="25"/>
        <v>-1.4794132193345577E-2</v>
      </c>
      <c r="K331" s="7">
        <f t="shared" si="26"/>
        <v>-1.8742680369081888E-2</v>
      </c>
      <c r="L331" s="7"/>
    </row>
    <row r="332" spans="1:12" x14ac:dyDescent="0.25">
      <c r="A332" s="2" t="s">
        <v>505</v>
      </c>
      <c r="B332" s="7">
        <v>1.0228974962550819E-2</v>
      </c>
      <c r="C332" s="7">
        <v>7.9573547589617544E-3</v>
      </c>
      <c r="D332" s="7">
        <v>-7.2519083969465603E-2</v>
      </c>
      <c r="E332" s="7">
        <v>9.0428655314152007E-3</v>
      </c>
      <c r="F332" s="7">
        <v>5.6078443139726541E-3</v>
      </c>
      <c r="G332" s="7"/>
      <c r="H332" s="7">
        <f t="shared" si="23"/>
        <v>4.6211306485781645E-3</v>
      </c>
      <c r="I332" s="7">
        <f t="shared" si="24"/>
        <v>2.3495104449891002E-3</v>
      </c>
      <c r="J332" s="7">
        <f t="shared" si="25"/>
        <v>-7.8126928283438257E-2</v>
      </c>
      <c r="K332" s="7">
        <f t="shared" si="26"/>
        <v>3.4350212174425465E-3</v>
      </c>
      <c r="L332" s="7"/>
    </row>
    <row r="333" spans="1:12" x14ac:dyDescent="0.25">
      <c r="A333" s="2" t="s">
        <v>506</v>
      </c>
      <c r="B333" s="7">
        <v>-5.5607836427407076E-4</v>
      </c>
      <c r="C333" s="7">
        <v>-3.5411855273287385E-3</v>
      </c>
      <c r="D333" s="7">
        <v>0</v>
      </c>
      <c r="E333" s="7">
        <v>1.6595033428844275E-2</v>
      </c>
      <c r="F333" s="7">
        <v>-3.8012963267421984E-3</v>
      </c>
      <c r="G333" s="7"/>
      <c r="H333" s="7">
        <f t="shared" si="23"/>
        <v>3.2452179624681277E-3</v>
      </c>
      <c r="I333" s="7">
        <f t="shared" si="24"/>
        <v>2.6011079941345994E-4</v>
      </c>
      <c r="J333" s="7">
        <f t="shared" si="25"/>
        <v>3.8012963267421984E-3</v>
      </c>
      <c r="K333" s="7">
        <f t="shared" si="26"/>
        <v>2.0396329755586473E-2</v>
      </c>
      <c r="L333" s="7"/>
    </row>
    <row r="334" spans="1:12" x14ac:dyDescent="0.25">
      <c r="A334" s="2" t="s">
        <v>507</v>
      </c>
      <c r="B334" s="7">
        <v>9.4127806563040206E-3</v>
      </c>
      <c r="C334" s="7">
        <v>2.018377444435715E-2</v>
      </c>
      <c r="D334" s="7">
        <v>-2.2388059701492602E-2</v>
      </c>
      <c r="E334" s="7">
        <v>-4.7528517110264623E-3</v>
      </c>
      <c r="F334" s="7">
        <v>5.722044904524104E-3</v>
      </c>
      <c r="G334" s="7"/>
      <c r="H334" s="7">
        <f t="shared" si="23"/>
        <v>3.6907357517799166E-3</v>
      </c>
      <c r="I334" s="7">
        <f t="shared" si="24"/>
        <v>1.4461729539833046E-2</v>
      </c>
      <c r="J334" s="7">
        <f t="shared" si="25"/>
        <v>-2.8110104606016706E-2</v>
      </c>
      <c r="K334" s="7">
        <f t="shared" si="26"/>
        <v>-1.0474896615550566E-2</v>
      </c>
      <c r="L334" s="7"/>
    </row>
    <row r="335" spans="1:12" x14ac:dyDescent="0.25">
      <c r="A335" s="2" t="s">
        <v>68</v>
      </c>
      <c r="B335" s="7">
        <v>1.3034730119849458E-2</v>
      </c>
      <c r="C335" s="7">
        <v>1.4743385400063813E-2</v>
      </c>
      <c r="D335" s="7">
        <v>-7.4074074074074181E-3</v>
      </c>
      <c r="E335" s="7">
        <v>2.9480122324158975E-2</v>
      </c>
      <c r="F335" s="7">
        <v>3.0204344198856425E-3</v>
      </c>
      <c r="G335" s="7"/>
      <c r="H335" s="7">
        <f t="shared" si="23"/>
        <v>1.0014295699963816E-2</v>
      </c>
      <c r="I335" s="7">
        <f t="shared" si="24"/>
        <v>1.1722950980178171E-2</v>
      </c>
      <c r="J335" s="7">
        <f t="shared" si="25"/>
        <v>-1.0427841827293061E-2</v>
      </c>
      <c r="K335" s="7">
        <f t="shared" si="26"/>
        <v>2.6459687904273332E-2</v>
      </c>
      <c r="L335" s="7"/>
    </row>
    <row r="336" spans="1:12" x14ac:dyDescent="0.25">
      <c r="A336" s="2" t="s">
        <v>508</v>
      </c>
      <c r="B336" s="7">
        <v>5.8958113340372709E-3</v>
      </c>
      <c r="C336" s="7">
        <v>8.6816720257234525E-3</v>
      </c>
      <c r="D336" s="7">
        <v>-7.3529411764705621E-3</v>
      </c>
      <c r="E336" s="7">
        <v>-2.863593155893529E-2</v>
      </c>
      <c r="F336" s="7">
        <v>3.4679787718681077E-3</v>
      </c>
      <c r="G336" s="7"/>
      <c r="H336" s="7">
        <f t="shared" si="23"/>
        <v>2.4278325621691632E-3</v>
      </c>
      <c r="I336" s="7">
        <f t="shared" si="24"/>
        <v>5.2136932538553449E-3</v>
      </c>
      <c r="J336" s="7">
        <f t="shared" si="25"/>
        <v>-1.082091994833867E-2</v>
      </c>
      <c r="K336" s="7">
        <f t="shared" si="26"/>
        <v>-3.2103910330803398E-2</v>
      </c>
      <c r="L336" s="7"/>
    </row>
    <row r="337" spans="1:12" x14ac:dyDescent="0.25">
      <c r="A337" s="2" t="s">
        <v>509</v>
      </c>
      <c r="B337" s="7">
        <v>-2.1074815595363283E-3</v>
      </c>
      <c r="C337" s="7">
        <v>-4.0829397165959014E-3</v>
      </c>
      <c r="D337" s="7">
        <v>0</v>
      </c>
      <c r="E337" s="7">
        <v>-1.3711473104418115E-2</v>
      </c>
      <c r="F337" s="7">
        <v>5.3404449131417842E-3</v>
      </c>
      <c r="G337" s="7"/>
      <c r="H337" s="7">
        <f t="shared" si="23"/>
        <v>-7.4479264726781125E-3</v>
      </c>
      <c r="I337" s="7">
        <f t="shared" si="24"/>
        <v>-9.4233846297376855E-3</v>
      </c>
      <c r="J337" s="7">
        <f t="shared" si="25"/>
        <v>-5.3404449131417842E-3</v>
      </c>
      <c r="K337" s="7">
        <f t="shared" si="26"/>
        <v>-1.9051918017559899E-2</v>
      </c>
      <c r="L337" s="7"/>
    </row>
    <row r="338" spans="1:12" x14ac:dyDescent="0.25">
      <c r="A338" s="2" t="s">
        <v>510</v>
      </c>
      <c r="B338" s="7">
        <v>3.1712473572937938E-3</v>
      </c>
      <c r="C338" s="7">
        <v>-2.714570858283416E-3</v>
      </c>
      <c r="D338" s="7">
        <v>-1.8050541516245411E-2</v>
      </c>
      <c r="E338" s="7">
        <v>-3.8524398785897418E-3</v>
      </c>
      <c r="F338" s="7">
        <v>2.1970667468895755E-5</v>
      </c>
      <c r="G338" s="7"/>
      <c r="H338" s="7">
        <f t="shared" si="23"/>
        <v>3.1492766898248981E-3</v>
      </c>
      <c r="I338" s="7">
        <f t="shared" si="24"/>
        <v>-2.7365415257523118E-3</v>
      </c>
      <c r="J338" s="7">
        <f t="shared" si="25"/>
        <v>-1.8072512183714307E-2</v>
      </c>
      <c r="K338" s="7">
        <f t="shared" si="26"/>
        <v>-3.8744105460586376E-3</v>
      </c>
      <c r="L338" s="7"/>
    </row>
    <row r="339" spans="1:12" x14ac:dyDescent="0.25">
      <c r="A339" s="2" t="s">
        <v>511</v>
      </c>
      <c r="B339" s="7">
        <v>1.1464855807390428E-3</v>
      </c>
      <c r="C339" s="7">
        <v>-1.5252771444295932E-2</v>
      </c>
      <c r="D339" s="7">
        <v>0</v>
      </c>
      <c r="E339" s="7">
        <v>-2.5039836102890956E-2</v>
      </c>
      <c r="F339" s="7">
        <v>3.9636081050355987E-3</v>
      </c>
      <c r="G339" s="7"/>
      <c r="H339" s="7">
        <f t="shared" si="23"/>
        <v>-2.8171225242965559E-3</v>
      </c>
      <c r="I339" s="7">
        <f t="shared" si="24"/>
        <v>-1.921637954933153E-2</v>
      </c>
      <c r="J339" s="7">
        <f t="shared" si="25"/>
        <v>-3.9636081050355987E-3</v>
      </c>
      <c r="K339" s="7">
        <f t="shared" si="26"/>
        <v>-2.9003444207926554E-2</v>
      </c>
      <c r="L339" s="7"/>
    </row>
    <row r="340" spans="1:12" x14ac:dyDescent="0.25">
      <c r="A340" s="2" t="s">
        <v>69</v>
      </c>
      <c r="B340" s="7">
        <v>1.3406023773348874E-2</v>
      </c>
      <c r="C340" s="7">
        <v>2.917520895757697E-3</v>
      </c>
      <c r="D340" s="7">
        <v>2.2140221402213944E-2</v>
      </c>
      <c r="E340" s="7">
        <v>8.4940312213039881E-3</v>
      </c>
      <c r="F340" s="7">
        <v>3.9178144727474162E-3</v>
      </c>
      <c r="G340" s="7"/>
      <c r="H340" s="7">
        <f t="shared" si="23"/>
        <v>9.4882093006014578E-3</v>
      </c>
      <c r="I340" s="7">
        <f t="shared" si="24"/>
        <v>-1.0002935769897192E-3</v>
      </c>
      <c r="J340" s="7">
        <f t="shared" si="25"/>
        <v>1.8222406929466528E-2</v>
      </c>
      <c r="K340" s="7">
        <f t="shared" si="26"/>
        <v>4.5762167485565719E-3</v>
      </c>
      <c r="L340" s="7"/>
    </row>
    <row r="341" spans="1:12" x14ac:dyDescent="0.25">
      <c r="A341" s="2" t="s">
        <v>512</v>
      </c>
      <c r="B341" s="7">
        <v>-1.4098158428055285E-2</v>
      </c>
      <c r="C341" s="7">
        <v>-1.3841368584758929E-2</v>
      </c>
      <c r="D341" s="7">
        <v>-2.5179856115107868E-2</v>
      </c>
      <c r="E341" s="7">
        <v>-2.189289323004362E-2</v>
      </c>
      <c r="F341" s="7">
        <v>-1.3203522508181798E-2</v>
      </c>
      <c r="G341" s="7"/>
      <c r="H341" s="7">
        <f t="shared" si="23"/>
        <v>-8.9463591987348767E-4</v>
      </c>
      <c r="I341" s="7">
        <f t="shared" si="24"/>
        <v>-6.3784607657713099E-4</v>
      </c>
      <c r="J341" s="7">
        <f t="shared" si="25"/>
        <v>-1.1976333606926071E-2</v>
      </c>
      <c r="K341" s="7">
        <f t="shared" si="26"/>
        <v>-8.6893707218618221E-3</v>
      </c>
      <c r="L341" s="7"/>
    </row>
    <row r="342" spans="1:12" x14ac:dyDescent="0.25">
      <c r="A342" s="2" t="s">
        <v>513</v>
      </c>
      <c r="B342" s="7">
        <v>1.3756141134434907E-2</v>
      </c>
      <c r="C342" s="7">
        <v>6.5748278021289241E-3</v>
      </c>
      <c r="D342" s="7">
        <v>-7.1428571428571175E-3</v>
      </c>
      <c r="E342" s="7">
        <v>-1.5474743008732195E-2</v>
      </c>
      <c r="F342" s="7">
        <v>-6.0497412027306074E-3</v>
      </c>
      <c r="G342" s="7"/>
      <c r="H342" s="7">
        <f t="shared" si="23"/>
        <v>1.9805882337165515E-2</v>
      </c>
      <c r="I342" s="7">
        <f t="shared" si="24"/>
        <v>1.2624569004859532E-2</v>
      </c>
      <c r="J342" s="7">
        <f t="shared" si="25"/>
        <v>-1.09311594012651E-3</v>
      </c>
      <c r="K342" s="7">
        <f t="shared" si="26"/>
        <v>-9.4250018060015872E-3</v>
      </c>
      <c r="L342" s="7"/>
    </row>
    <row r="343" spans="1:12" x14ac:dyDescent="0.25">
      <c r="A343" s="2" t="s">
        <v>514</v>
      </c>
      <c r="B343" s="7">
        <v>3.9908524281422331E-3</v>
      </c>
      <c r="C343" s="7">
        <v>8.4458126134661082E-3</v>
      </c>
      <c r="D343" s="7">
        <v>2.9411764705882248E-2</v>
      </c>
      <c r="E343" s="7">
        <v>2.4376731301938293E-3</v>
      </c>
      <c r="F343" s="7">
        <v>2.3228648443596178E-4</v>
      </c>
      <c r="G343" s="7"/>
      <c r="H343" s="7">
        <f t="shared" si="23"/>
        <v>3.7585659437062713E-3</v>
      </c>
      <c r="I343" s="7">
        <f t="shared" si="24"/>
        <v>8.2135261290301464E-3</v>
      </c>
      <c r="J343" s="7">
        <f t="shared" si="25"/>
        <v>2.9179478221446287E-2</v>
      </c>
      <c r="K343" s="7">
        <f t="shared" si="26"/>
        <v>2.2053866457578675E-3</v>
      </c>
      <c r="L343" s="7"/>
    </row>
    <row r="344" spans="1:12" x14ac:dyDescent="0.25">
      <c r="A344" s="2" t="s">
        <v>515</v>
      </c>
      <c r="B344" s="7">
        <v>0</v>
      </c>
      <c r="C344" s="7">
        <v>-1.9882407550673054E-2</v>
      </c>
      <c r="D344" s="7">
        <v>-3.5460992907801248E-2</v>
      </c>
      <c r="E344" s="7">
        <v>-3.8154108494085071E-2</v>
      </c>
      <c r="F344" s="7">
        <v>-2.8926824797754769E-3</v>
      </c>
      <c r="G344" s="7"/>
      <c r="H344" s="7">
        <f t="shared" si="23"/>
        <v>2.8926824797754769E-3</v>
      </c>
      <c r="I344" s="7">
        <f t="shared" si="24"/>
        <v>-1.6989725070897577E-2</v>
      </c>
      <c r="J344" s="7">
        <f t="shared" si="25"/>
        <v>-3.2568310428025771E-2</v>
      </c>
      <c r="K344" s="7">
        <f t="shared" si="26"/>
        <v>-3.5261426014309594E-2</v>
      </c>
      <c r="L344" s="7"/>
    </row>
    <row r="345" spans="1:12" x14ac:dyDescent="0.25">
      <c r="A345" s="2" t="s">
        <v>70</v>
      </c>
      <c r="B345" s="7">
        <v>-1.2049794001683378E-2</v>
      </c>
      <c r="C345" s="7">
        <v>-1.003293252661408E-2</v>
      </c>
      <c r="D345" s="7">
        <v>-1.7421602787456525E-2</v>
      </c>
      <c r="E345" s="7">
        <v>1.3064133016627011E-2</v>
      </c>
      <c r="F345" s="7">
        <v>9.6905366322297404E-4</v>
      </c>
      <c r="G345" s="7"/>
      <c r="H345" s="7">
        <f t="shared" si="23"/>
        <v>-1.3018847664906352E-2</v>
      </c>
      <c r="I345" s="7">
        <f t="shared" si="24"/>
        <v>-1.1001986189837054E-2</v>
      </c>
      <c r="J345" s="7">
        <f t="shared" si="25"/>
        <v>-1.8390656450679499E-2</v>
      </c>
      <c r="K345" s="7">
        <f t="shared" si="26"/>
        <v>1.2095079353404037E-2</v>
      </c>
      <c r="L345" s="7"/>
    </row>
    <row r="346" spans="1:12" x14ac:dyDescent="0.25">
      <c r="A346" s="2" t="s">
        <v>516</v>
      </c>
      <c r="B346" s="7">
        <v>-1.1946902654867975E-3</v>
      </c>
      <c r="C346" s="7">
        <v>9.5878759761847121E-3</v>
      </c>
      <c r="D346" s="7">
        <v>-3.3670033670033739E-2</v>
      </c>
      <c r="E346" s="7">
        <v>-5.950446791226649E-2</v>
      </c>
      <c r="F346" s="7">
        <v>3.7568431802581514E-3</v>
      </c>
      <c r="G346" s="7"/>
      <c r="H346" s="7">
        <f t="shared" si="23"/>
        <v>-4.9515334457449489E-3</v>
      </c>
      <c r="I346" s="7">
        <f t="shared" si="24"/>
        <v>5.8310327959265607E-3</v>
      </c>
      <c r="J346" s="7">
        <f t="shared" si="25"/>
        <v>-3.742687685029189E-2</v>
      </c>
      <c r="K346" s="7">
        <f t="shared" si="26"/>
        <v>-6.3261311092524641E-2</v>
      </c>
      <c r="L346" s="7"/>
    </row>
    <row r="347" spans="1:12" x14ac:dyDescent="0.25">
      <c r="A347" s="2" t="s">
        <v>517</v>
      </c>
      <c r="B347" s="7">
        <v>2.1376598725538987E-2</v>
      </c>
      <c r="C347" s="7">
        <v>-6.376767055931043E-3</v>
      </c>
      <c r="D347" s="7">
        <v>2.0618556701030855E-2</v>
      </c>
      <c r="E347" s="7">
        <v>3.5323801513877262E-2</v>
      </c>
      <c r="F347" s="7">
        <v>7.4312198939459062E-3</v>
      </c>
      <c r="G347" s="7"/>
      <c r="H347" s="7">
        <f t="shared" si="23"/>
        <v>1.394537883159308E-2</v>
      </c>
      <c r="I347" s="7">
        <f t="shared" si="24"/>
        <v>-1.3807986949876949E-2</v>
      </c>
      <c r="J347" s="7">
        <f t="shared" si="25"/>
        <v>1.3187336807084948E-2</v>
      </c>
      <c r="K347" s="7">
        <f t="shared" si="26"/>
        <v>2.7892581619931356E-2</v>
      </c>
      <c r="L347" s="7"/>
    </row>
    <row r="348" spans="1:12" x14ac:dyDescent="0.25">
      <c r="A348" s="2" t="s">
        <v>518</v>
      </c>
      <c r="B348" s="7">
        <v>-3.2433893418621906E-3</v>
      </c>
      <c r="C348" s="7">
        <v>5.8469545417581426E-2</v>
      </c>
      <c r="D348" s="7">
        <v>4.3010752688172005E-2</v>
      </c>
      <c r="E348" s="7">
        <v>-2.5010250102501019E-2</v>
      </c>
      <c r="F348" s="7">
        <v>2.5295879476236127E-2</v>
      </c>
      <c r="G348" s="7"/>
      <c r="H348" s="7">
        <f t="shared" si="23"/>
        <v>-2.8539268818098318E-2</v>
      </c>
      <c r="I348" s="7">
        <f t="shared" si="24"/>
        <v>3.3173665941345298E-2</v>
      </c>
      <c r="J348" s="7">
        <f t="shared" si="25"/>
        <v>1.7714873211935878E-2</v>
      </c>
      <c r="K348" s="7">
        <f t="shared" si="26"/>
        <v>-5.0306129578737147E-2</v>
      </c>
      <c r="L348" s="7"/>
    </row>
    <row r="349" spans="1:12" x14ac:dyDescent="0.25">
      <c r="A349" s="2" t="s">
        <v>519</v>
      </c>
      <c r="B349" s="7">
        <v>6.4834965542255318E-3</v>
      </c>
      <c r="C349" s="7">
        <v>5.3139306736429415E-3</v>
      </c>
      <c r="D349" s="7">
        <v>-2.1052631578947434E-2</v>
      </c>
      <c r="E349" s="7">
        <v>8.267879288962332E-3</v>
      </c>
      <c r="F349" s="7">
        <v>1.2265675189796932E-2</v>
      </c>
      <c r="G349" s="7"/>
      <c r="H349" s="7">
        <f t="shared" si="23"/>
        <v>-5.7821786355714E-3</v>
      </c>
      <c r="I349" s="7">
        <f t="shared" si="24"/>
        <v>-6.9517445161539904E-3</v>
      </c>
      <c r="J349" s="7">
        <f t="shared" si="25"/>
        <v>-3.3318306768744366E-2</v>
      </c>
      <c r="K349" s="7">
        <f t="shared" si="26"/>
        <v>-3.9977959008345998E-3</v>
      </c>
      <c r="L349" s="7"/>
    </row>
    <row r="350" spans="1:12" x14ac:dyDescent="0.25">
      <c r="A350" s="2" t="s">
        <v>71</v>
      </c>
      <c r="B350" s="7">
        <v>-4.0639393118396816E-3</v>
      </c>
      <c r="C350" s="7">
        <v>-1.0756166599272254E-2</v>
      </c>
      <c r="D350" s="7">
        <v>-3.0612244897959107E-2</v>
      </c>
      <c r="E350" s="7">
        <v>8.3368070029179453E-3</v>
      </c>
      <c r="F350" s="7">
        <v>-2.8121072475911779E-3</v>
      </c>
      <c r="G350" s="7"/>
      <c r="H350" s="7">
        <f t="shared" si="23"/>
        <v>-1.2518320642485037E-3</v>
      </c>
      <c r="I350" s="7">
        <f t="shared" si="24"/>
        <v>-7.9440593516810765E-3</v>
      </c>
      <c r="J350" s="7">
        <f t="shared" si="25"/>
        <v>-2.7800137650367929E-2</v>
      </c>
      <c r="K350" s="7">
        <f t="shared" si="26"/>
        <v>1.1148914250509123E-2</v>
      </c>
      <c r="L350" s="7"/>
    </row>
    <row r="351" spans="1:12" x14ac:dyDescent="0.25">
      <c r="A351" s="2" t="s">
        <v>520</v>
      </c>
      <c r="B351" s="7">
        <v>-1.327749064337902E-2</v>
      </c>
      <c r="C351" s="7">
        <v>-9.6908537562069297E-3</v>
      </c>
      <c r="D351" s="7">
        <v>-1.0101010101010166E-2</v>
      </c>
      <c r="E351" s="7">
        <v>-4.0477426050856691E-3</v>
      </c>
      <c r="F351" s="7">
        <v>4.0925781489629109E-3</v>
      </c>
      <c r="G351" s="7"/>
      <c r="H351" s="7">
        <f t="shared" si="23"/>
        <v>-1.7370068792341931E-2</v>
      </c>
      <c r="I351" s="7">
        <f t="shared" si="24"/>
        <v>-1.3783431905169841E-2</v>
      </c>
      <c r="J351" s="7">
        <f t="shared" si="25"/>
        <v>-1.4193588249973077E-2</v>
      </c>
      <c r="K351" s="7">
        <f t="shared" si="26"/>
        <v>-8.14032075404858E-3</v>
      </c>
      <c r="L351" s="7"/>
    </row>
    <row r="352" spans="1:12" x14ac:dyDescent="0.25">
      <c r="A352" s="2" t="s">
        <v>521</v>
      </c>
      <c r="B352" s="7">
        <v>-1.8197725284339494E-2</v>
      </c>
      <c r="C352" s="7">
        <v>7.0979190191966524E-3</v>
      </c>
      <c r="D352" s="7">
        <v>6.7796610169492677E-3</v>
      </c>
      <c r="E352" s="7">
        <v>-7.3150628477230972E-3</v>
      </c>
      <c r="F352" s="7">
        <v>-1.8614747655095742E-2</v>
      </c>
      <c r="G352" s="7"/>
      <c r="H352" s="7">
        <f t="shared" si="23"/>
        <v>4.1702237075624815E-4</v>
      </c>
      <c r="I352" s="7">
        <f t="shared" si="24"/>
        <v>2.5712666674292395E-2</v>
      </c>
      <c r="J352" s="7">
        <f t="shared" si="25"/>
        <v>2.539440867204501E-2</v>
      </c>
      <c r="K352" s="7">
        <f t="shared" si="26"/>
        <v>1.1299684807372645E-2</v>
      </c>
      <c r="L352" s="7"/>
    </row>
    <row r="353" spans="1:12" x14ac:dyDescent="0.25">
      <c r="A353" s="2" t="s">
        <v>522</v>
      </c>
      <c r="B353" s="7">
        <v>-1.5291837174240874E-2</v>
      </c>
      <c r="C353" s="7">
        <v>-1.3212352753899981E-2</v>
      </c>
      <c r="D353" s="7">
        <v>-1.6666666666666607E-2</v>
      </c>
      <c r="E353" s="7">
        <v>-1.1306916573291192E-2</v>
      </c>
      <c r="F353" s="7">
        <v>-3.3002338451409985E-3</v>
      </c>
      <c r="G353" s="7"/>
      <c r="H353" s="7">
        <f t="shared" si="23"/>
        <v>-1.1991603329099876E-2</v>
      </c>
      <c r="I353" s="7">
        <f t="shared" si="24"/>
        <v>-9.9121189087589823E-3</v>
      </c>
      <c r="J353" s="7">
        <f t="shared" si="25"/>
        <v>-1.3366432821525609E-2</v>
      </c>
      <c r="K353" s="7">
        <f t="shared" si="26"/>
        <v>-8.006682728150194E-3</v>
      </c>
      <c r="L353" s="7"/>
    </row>
    <row r="354" spans="1:12" x14ac:dyDescent="0.25">
      <c r="A354" s="2" t="s">
        <v>523</v>
      </c>
      <c r="B354" s="7">
        <v>1.1643953769191473E-3</v>
      </c>
      <c r="C354" s="7">
        <v>-7.8180525941720092E-3</v>
      </c>
      <c r="D354" s="7">
        <v>-1.3157894736842146E-2</v>
      </c>
      <c r="E354" s="7">
        <v>-1.0176045588683458E-3</v>
      </c>
      <c r="F354" s="7">
        <v>1.6141440228589765E-3</v>
      </c>
      <c r="G354" s="7"/>
      <c r="H354" s="7">
        <f t="shared" si="23"/>
        <v>-4.4974864593982922E-4</v>
      </c>
      <c r="I354" s="7">
        <f t="shared" si="24"/>
        <v>-9.4321966170309857E-3</v>
      </c>
      <c r="J354" s="7">
        <f t="shared" si="25"/>
        <v>-1.4772038759701123E-2</v>
      </c>
      <c r="K354" s="7">
        <f t="shared" si="26"/>
        <v>-2.6317485817273223E-3</v>
      </c>
      <c r="L354" s="7"/>
    </row>
    <row r="355" spans="1:12" x14ac:dyDescent="0.25">
      <c r="A355" s="2" t="s">
        <v>72</v>
      </c>
      <c r="B355" s="7">
        <v>8.6124401913874049E-3</v>
      </c>
      <c r="C355" s="7">
        <v>4.4371134020618541E-2</v>
      </c>
      <c r="D355" s="7">
        <v>0</v>
      </c>
      <c r="E355" s="7">
        <v>2.5782881002087699E-2</v>
      </c>
      <c r="F355" s="7">
        <v>2.6514603692762151E-3</v>
      </c>
      <c r="G355" s="7"/>
      <c r="H355" s="7">
        <f t="shared" si="23"/>
        <v>5.9609798221111898E-3</v>
      </c>
      <c r="I355" s="7">
        <f t="shared" si="24"/>
        <v>4.1719673651342326E-2</v>
      </c>
      <c r="J355" s="7">
        <f t="shared" si="25"/>
        <v>-2.6514603692762151E-3</v>
      </c>
      <c r="K355" s="7">
        <f t="shared" si="26"/>
        <v>2.3131420632811484E-2</v>
      </c>
      <c r="L355" s="7"/>
    </row>
    <row r="356" spans="1:12" x14ac:dyDescent="0.25">
      <c r="A356" s="2" t="s">
        <v>524</v>
      </c>
      <c r="B356" s="7">
        <v>3.6233465752826266E-3</v>
      </c>
      <c r="C356" s="7">
        <v>-1.3586072242108727E-2</v>
      </c>
      <c r="D356" s="7">
        <v>-9.7719869706839324E-3</v>
      </c>
      <c r="E356" s="7">
        <v>1.0975094976783284E-2</v>
      </c>
      <c r="F356" s="7">
        <v>-2.994908655286066E-4</v>
      </c>
      <c r="G356" s="7"/>
      <c r="H356" s="7">
        <f t="shared" si="23"/>
        <v>3.9228374408112332E-3</v>
      </c>
      <c r="I356" s="7">
        <f t="shared" si="24"/>
        <v>-1.328658137658012E-2</v>
      </c>
      <c r="J356" s="7">
        <f t="shared" si="25"/>
        <v>-9.4724961051553258E-3</v>
      </c>
      <c r="K356" s="7">
        <f t="shared" si="26"/>
        <v>1.1274585842311891E-2</v>
      </c>
      <c r="L356" s="7"/>
    </row>
    <row r="357" spans="1:12" x14ac:dyDescent="0.25">
      <c r="A357" s="2" t="s">
        <v>525</v>
      </c>
      <c r="B357" s="7">
        <v>-7.8516902944392175E-4</v>
      </c>
      <c r="C357" s="7">
        <v>-1.1261261261261146E-2</v>
      </c>
      <c r="D357" s="7">
        <v>6.5573770491802463E-3</v>
      </c>
      <c r="E357" s="7">
        <v>-1.6706443914081159E-2</v>
      </c>
      <c r="F357" s="7">
        <v>2.1457820892740731E-3</v>
      </c>
      <c r="G357" s="7"/>
      <c r="H357" s="7">
        <f t="shared" si="23"/>
        <v>-2.9309511187179949E-3</v>
      </c>
      <c r="I357" s="7">
        <f t="shared" si="24"/>
        <v>-1.3407043350535219E-2</v>
      </c>
      <c r="J357" s="7">
        <f t="shared" si="25"/>
        <v>4.4115949599061732E-3</v>
      </c>
      <c r="K357" s="7">
        <f t="shared" si="26"/>
        <v>-1.8852226003355232E-2</v>
      </c>
      <c r="L357" s="7"/>
    </row>
    <row r="358" spans="1:12" x14ac:dyDescent="0.25">
      <c r="A358" s="2" t="s">
        <v>526</v>
      </c>
      <c r="B358" s="7">
        <v>-2.163707750085353E-2</v>
      </c>
      <c r="C358" s="7">
        <v>-2.8977583378895666E-2</v>
      </c>
      <c r="D358" s="7">
        <v>-3.1746031746031744E-2</v>
      </c>
      <c r="E358" s="7">
        <v>-2.4496406518878411E-2</v>
      </c>
      <c r="F358" s="7">
        <v>-9.1912770030079249E-3</v>
      </c>
      <c r="G358" s="7"/>
      <c r="H358" s="7">
        <f t="shared" si="23"/>
        <v>-1.2445800497845605E-2</v>
      </c>
      <c r="I358" s="7">
        <f t="shared" si="24"/>
        <v>-1.9786306375887741E-2</v>
      </c>
      <c r="J358" s="7">
        <f t="shared" si="25"/>
        <v>-2.2554754743023819E-2</v>
      </c>
      <c r="K358" s="7">
        <f t="shared" si="26"/>
        <v>-1.5305129515870486E-2</v>
      </c>
      <c r="L358" s="7"/>
    </row>
    <row r="359" spans="1:12" x14ac:dyDescent="0.25">
      <c r="A359" s="2" t="s">
        <v>527</v>
      </c>
      <c r="B359" s="7">
        <v>-2.6389716523368412E-3</v>
      </c>
      <c r="C359" s="7">
        <v>-2.3044639450591431E-2</v>
      </c>
      <c r="D359" s="7">
        <v>-1.5625000000000111E-2</v>
      </c>
      <c r="E359" s="7">
        <v>-4.434142900332505E-3</v>
      </c>
      <c r="F359" s="7">
        <v>-4.7489058725858069E-4</v>
      </c>
      <c r="G359" s="7"/>
      <c r="H359" s="7">
        <f t="shared" si="23"/>
        <v>-2.1640810650782605E-3</v>
      </c>
      <c r="I359" s="7">
        <f t="shared" si="24"/>
        <v>-2.256974886333285E-2</v>
      </c>
      <c r="J359" s="7">
        <f t="shared" si="25"/>
        <v>-1.515010941274153E-2</v>
      </c>
      <c r="K359" s="7">
        <f t="shared" si="26"/>
        <v>-3.9592523130739243E-3</v>
      </c>
      <c r="L359" s="7"/>
    </row>
    <row r="360" spans="1:12" x14ac:dyDescent="0.25">
      <c r="A360" s="2" t="s">
        <v>73</v>
      </c>
      <c r="B360" s="7">
        <v>6.2963121600205785E-3</v>
      </c>
      <c r="C360" s="7">
        <v>-2.2080097456981251E-3</v>
      </c>
      <c r="D360" s="7">
        <v>-1.2345679012345734E-2</v>
      </c>
      <c r="E360" s="7">
        <v>-1.4891293557033669E-2</v>
      </c>
      <c r="F360" s="7">
        <v>-1.8227794573267841E-3</v>
      </c>
      <c r="G360" s="7"/>
      <c r="H360" s="7">
        <f t="shared" si="23"/>
        <v>8.1190916173473626E-3</v>
      </c>
      <c r="I360" s="7">
        <f t="shared" si="24"/>
        <v>-3.8523028837134099E-4</v>
      </c>
      <c r="J360" s="7">
        <f t="shared" si="25"/>
        <v>-1.052289955501895E-2</v>
      </c>
      <c r="K360" s="7">
        <f t="shared" si="26"/>
        <v>-1.3068514099706885E-2</v>
      </c>
      <c r="L360" s="7"/>
    </row>
    <row r="361" spans="1:12" x14ac:dyDescent="0.25">
      <c r="A361" s="2" t="s">
        <v>528</v>
      </c>
      <c r="B361" s="7">
        <v>1.2314096171356814E-2</v>
      </c>
      <c r="C361" s="7">
        <v>-4.0191097292788802E-3</v>
      </c>
      <c r="D361" s="7">
        <v>0</v>
      </c>
      <c r="E361" s="7">
        <v>2.3574839955289084E-2</v>
      </c>
      <c r="F361" s="7">
        <v>3.9716030382763723E-3</v>
      </c>
      <c r="G361" s="7"/>
      <c r="H361" s="7">
        <f t="shared" si="23"/>
        <v>8.3424931330804419E-3</v>
      </c>
      <c r="I361" s="7">
        <f t="shared" si="24"/>
        <v>-7.9907127675552525E-3</v>
      </c>
      <c r="J361" s="7">
        <f t="shared" si="25"/>
        <v>-3.9716030382763723E-3</v>
      </c>
      <c r="K361" s="7">
        <f t="shared" si="26"/>
        <v>1.9603236917012712E-2</v>
      </c>
      <c r="L361" s="7"/>
    </row>
    <row r="362" spans="1:12" x14ac:dyDescent="0.25">
      <c r="A362" s="2" t="s">
        <v>529</v>
      </c>
      <c r="B362" s="7">
        <v>1.5633821166456396E-3</v>
      </c>
      <c r="C362" s="7">
        <v>-4.9049200120736547E-3</v>
      </c>
      <c r="D362" s="7">
        <v>6.2111801242235032E-3</v>
      </c>
      <c r="E362" s="7">
        <v>-2.0503632925251369E-2</v>
      </c>
      <c r="F362" s="7">
        <v>-1.7116048520571248E-4</v>
      </c>
      <c r="G362" s="7"/>
      <c r="H362" s="7">
        <f t="shared" si="23"/>
        <v>1.7345426018513521E-3</v>
      </c>
      <c r="I362" s="7">
        <f t="shared" si="24"/>
        <v>-4.7337595268679422E-3</v>
      </c>
      <c r="J362" s="7">
        <f t="shared" si="25"/>
        <v>6.3823406094292157E-3</v>
      </c>
      <c r="K362" s="7">
        <f t="shared" si="26"/>
        <v>-2.0332472440045657E-2</v>
      </c>
      <c r="L362" s="7"/>
    </row>
    <row r="363" spans="1:12" x14ac:dyDescent="0.25">
      <c r="A363" s="2" t="s">
        <v>530</v>
      </c>
      <c r="B363" s="7">
        <v>-8.8240358126721041E-3</v>
      </c>
      <c r="C363" s="7">
        <v>4.5482110369923223E-3</v>
      </c>
      <c r="D363" s="7">
        <v>0</v>
      </c>
      <c r="E363" s="7">
        <v>3.1952071892160649E-3</v>
      </c>
      <c r="F363" s="7">
        <v>4.6790685197222182E-3</v>
      </c>
      <c r="G363" s="7"/>
      <c r="H363" s="7">
        <f t="shared" si="23"/>
        <v>-1.3503104332394322E-2</v>
      </c>
      <c r="I363" s="7">
        <f t="shared" si="24"/>
        <v>-1.3085748272989584E-4</v>
      </c>
      <c r="J363" s="7">
        <f t="shared" si="25"/>
        <v>-4.6790685197222182E-3</v>
      </c>
      <c r="K363" s="7">
        <f t="shared" si="26"/>
        <v>-1.4838613305061532E-3</v>
      </c>
      <c r="L363" s="7"/>
    </row>
    <row r="364" spans="1:12" x14ac:dyDescent="0.25">
      <c r="A364" s="2" t="s">
        <v>531</v>
      </c>
      <c r="B364" s="7">
        <v>1.1010052656773572E-2</v>
      </c>
      <c r="C364" s="7">
        <v>-2.2735884804847561E-4</v>
      </c>
      <c r="D364" s="7">
        <v>-2.1276595744680771E-2</v>
      </c>
      <c r="E364" s="7">
        <v>-5.5366911903414362E-2</v>
      </c>
      <c r="F364" s="7">
        <v>-7.6094097971791674E-3</v>
      </c>
      <c r="G364" s="7"/>
      <c r="H364" s="7">
        <f t="shared" si="23"/>
        <v>1.861946245395274E-2</v>
      </c>
      <c r="I364" s="7">
        <f t="shared" si="24"/>
        <v>7.3820509491306918E-3</v>
      </c>
      <c r="J364" s="7">
        <f t="shared" si="25"/>
        <v>-1.3667185947501603E-2</v>
      </c>
      <c r="K364" s="7">
        <f t="shared" si="26"/>
        <v>-4.7757502106235195E-2</v>
      </c>
      <c r="L364" s="7"/>
    </row>
    <row r="365" spans="1:12" x14ac:dyDescent="0.25">
      <c r="A365" s="2" t="s">
        <v>74</v>
      </c>
      <c r="B365" s="7">
        <v>1.6500044236043454E-2</v>
      </c>
      <c r="C365" s="7">
        <v>7.4826296098342571E-3</v>
      </c>
      <c r="D365" s="7">
        <v>-9.0361445783131433E-3</v>
      </c>
      <c r="E365" s="7">
        <v>-2.1143015418705668E-2</v>
      </c>
      <c r="F365" s="7">
        <v>7.7076128584032677E-3</v>
      </c>
      <c r="G365" s="7"/>
      <c r="H365" s="7">
        <f t="shared" si="23"/>
        <v>8.7924313776401863E-3</v>
      </c>
      <c r="I365" s="7">
        <f t="shared" si="24"/>
        <v>-2.2498324856901064E-4</v>
      </c>
      <c r="J365" s="7">
        <f t="shared" si="25"/>
        <v>-1.6743757436716411E-2</v>
      </c>
      <c r="K365" s="7">
        <f t="shared" si="26"/>
        <v>-2.8850628277108936E-2</v>
      </c>
      <c r="L365" s="7"/>
    </row>
    <row r="366" spans="1:12" x14ac:dyDescent="0.25">
      <c r="A366" s="2" t="s">
        <v>532</v>
      </c>
      <c r="B366" s="7">
        <v>-6.5480114260602074E-3</v>
      </c>
      <c r="C366" s="7">
        <v>9.7139773340528812E-3</v>
      </c>
      <c r="D366" s="7">
        <v>-3.0030030030030463E-3</v>
      </c>
      <c r="E366" s="7">
        <v>7.9099199702215017E-3</v>
      </c>
      <c r="F366" s="7">
        <v>6.0518507625366702E-3</v>
      </c>
      <c r="G366" s="7"/>
      <c r="H366" s="7">
        <f t="shared" si="23"/>
        <v>-1.2599862188596878E-2</v>
      </c>
      <c r="I366" s="7">
        <f t="shared" si="24"/>
        <v>3.662126571516211E-3</v>
      </c>
      <c r="J366" s="7">
        <f t="shared" si="25"/>
        <v>-9.0548537655397165E-3</v>
      </c>
      <c r="K366" s="7">
        <f t="shared" si="26"/>
        <v>1.8580692076848315E-3</v>
      </c>
      <c r="L366" s="7"/>
    </row>
    <row r="367" spans="1:12" x14ac:dyDescent="0.25">
      <c r="A367" s="2" t="s">
        <v>533</v>
      </c>
      <c r="B367" s="7">
        <v>-2.148745834064103E-3</v>
      </c>
      <c r="C367" s="7">
        <v>-1.1507392165828301E-2</v>
      </c>
      <c r="D367" s="7">
        <v>6.0422960725075026E-3</v>
      </c>
      <c r="E367" s="7">
        <v>1.2818096135720936E-2</v>
      </c>
      <c r="F367" s="7">
        <v>-2.0700823889336917E-3</v>
      </c>
      <c r="G367" s="7"/>
      <c r="H367" s="7">
        <f t="shared" si="23"/>
        <v>-7.8663445130411347E-5</v>
      </c>
      <c r="I367" s="7">
        <f t="shared" si="24"/>
        <v>-9.437309776894609E-3</v>
      </c>
      <c r="J367" s="7">
        <f t="shared" si="25"/>
        <v>8.1123784614411942E-3</v>
      </c>
      <c r="K367" s="7">
        <f t="shared" si="26"/>
        <v>1.4888178524654627E-2</v>
      </c>
      <c r="L367" s="7"/>
    </row>
    <row r="368" spans="1:12" x14ac:dyDescent="0.25">
      <c r="A368" s="2" t="s">
        <v>534</v>
      </c>
      <c r="B368" s="7">
        <v>1.6674097191261561E-2</v>
      </c>
      <c r="C368" s="7">
        <v>2.3680391108396037E-3</v>
      </c>
      <c r="D368" s="7">
        <v>-2.9325513196480912E-2</v>
      </c>
      <c r="E368" s="7">
        <v>-1.6317448544409419E-2</v>
      </c>
      <c r="F368" s="7">
        <v>7.1133846739683815E-3</v>
      </c>
      <c r="G368" s="7"/>
      <c r="H368" s="7">
        <f t="shared" si="23"/>
        <v>9.5607125172931795E-3</v>
      </c>
      <c r="I368" s="7">
        <f t="shared" si="24"/>
        <v>-4.7453455631287778E-3</v>
      </c>
      <c r="J368" s="7">
        <f t="shared" si="25"/>
        <v>-3.6438897870449294E-2</v>
      </c>
      <c r="K368" s="7">
        <f t="shared" si="26"/>
        <v>-2.34308332183778E-2</v>
      </c>
      <c r="L368" s="7"/>
    </row>
    <row r="369" spans="1:12" x14ac:dyDescent="0.25">
      <c r="A369" s="2" t="s">
        <v>535</v>
      </c>
      <c r="B369" s="7">
        <v>1.8434435161641893E-2</v>
      </c>
      <c r="C369" s="7">
        <v>-1.1445139630703594E-3</v>
      </c>
      <c r="D369" s="7">
        <v>-1.4450867052023031E-2</v>
      </c>
      <c r="E369" s="7">
        <v>-6.6712814744310789E-2</v>
      </c>
      <c r="F369" s="7">
        <v>9.68935768284096E-3</v>
      </c>
      <c r="G369" s="7"/>
      <c r="H369" s="7">
        <f t="shared" si="23"/>
        <v>8.7450774788009333E-3</v>
      </c>
      <c r="I369" s="7">
        <f t="shared" si="24"/>
        <v>-1.0833871645911319E-2</v>
      </c>
      <c r="J369" s="7">
        <f t="shared" si="25"/>
        <v>-2.4140224734863991E-2</v>
      </c>
      <c r="K369" s="7">
        <f t="shared" si="26"/>
        <v>-7.6402172427151749E-2</v>
      </c>
      <c r="L369" s="7"/>
    </row>
    <row r="370" spans="1:12" x14ac:dyDescent="0.25">
      <c r="A370" s="2" t="s">
        <v>75</v>
      </c>
      <c r="B370" s="7">
        <v>-2.2545712764068804E-2</v>
      </c>
      <c r="C370" s="7">
        <v>-3.1185821860499896E-3</v>
      </c>
      <c r="D370" s="7">
        <v>5.8139534883721034E-3</v>
      </c>
      <c r="E370" s="7">
        <v>2.6103169670602888E-2</v>
      </c>
      <c r="F370" s="7">
        <v>-9.5860422495291919E-3</v>
      </c>
      <c r="G370" s="7"/>
      <c r="H370" s="7">
        <f t="shared" si="23"/>
        <v>-1.2959670514539612E-2</v>
      </c>
      <c r="I370" s="7">
        <f t="shared" si="24"/>
        <v>6.4674600634792023E-3</v>
      </c>
      <c r="J370" s="7">
        <f t="shared" si="25"/>
        <v>1.5399995737901295E-2</v>
      </c>
      <c r="K370" s="7">
        <f t="shared" si="26"/>
        <v>3.568921192013208E-2</v>
      </c>
      <c r="L370" s="7"/>
    </row>
    <row r="371" spans="1:12" x14ac:dyDescent="0.25">
      <c r="A371" s="2" t="s">
        <v>536</v>
      </c>
      <c r="B371" s="7">
        <v>4.9955396966994137E-3</v>
      </c>
      <c r="C371" s="7">
        <v>3.6644018627376429E-3</v>
      </c>
      <c r="D371" s="7">
        <v>-2.8985507246377384E-3</v>
      </c>
      <c r="E371" s="7">
        <v>1.5050468637346714E-2</v>
      </c>
      <c r="F371" s="7">
        <v>8.9702698624898325E-3</v>
      </c>
      <c r="G371" s="7"/>
      <c r="H371" s="7">
        <f t="shared" si="23"/>
        <v>-3.9747301657904188E-3</v>
      </c>
      <c r="I371" s="7">
        <f t="shared" si="24"/>
        <v>-5.3058679997521896E-3</v>
      </c>
      <c r="J371" s="7">
        <f t="shared" si="25"/>
        <v>-1.1868820587127571E-2</v>
      </c>
      <c r="K371" s="7">
        <f t="shared" si="26"/>
        <v>6.080198774856882E-3</v>
      </c>
      <c r="L371" s="7"/>
    </row>
    <row r="372" spans="1:12" x14ac:dyDescent="0.25">
      <c r="A372" s="2" t="s">
        <v>537</v>
      </c>
      <c r="B372" s="7">
        <v>-4.8823790501554276E-3</v>
      </c>
      <c r="C372" s="7">
        <v>-4.8621134999619064E-3</v>
      </c>
      <c r="D372" s="7">
        <v>2.3738872403560762E-2</v>
      </c>
      <c r="E372" s="7">
        <v>-2.0912379775875789E-2</v>
      </c>
      <c r="F372" s="7">
        <v>-1.681396399709989E-3</v>
      </c>
      <c r="G372" s="7"/>
      <c r="H372" s="7">
        <f t="shared" si="23"/>
        <v>-3.2009826504454386E-3</v>
      </c>
      <c r="I372" s="7">
        <f t="shared" si="24"/>
        <v>-3.1807171002519175E-3</v>
      </c>
      <c r="J372" s="7">
        <f t="shared" si="25"/>
        <v>2.5420268803270751E-2</v>
      </c>
      <c r="K372" s="7">
        <f t="shared" si="26"/>
        <v>-1.92309833761658E-2</v>
      </c>
      <c r="L372" s="7"/>
    </row>
    <row r="373" spans="1:12" x14ac:dyDescent="0.25">
      <c r="A373" s="2" t="s">
        <v>538</v>
      </c>
      <c r="B373" s="7">
        <v>2.5363769857162932E-3</v>
      </c>
      <c r="C373" s="7">
        <v>-1.1860971398543696E-2</v>
      </c>
      <c r="D373" s="7">
        <v>1.2012012012011963E-2</v>
      </c>
      <c r="E373" s="7">
        <v>2.2188148281771403E-2</v>
      </c>
      <c r="F373" s="7">
        <v>1.3838405955768351E-4</v>
      </c>
      <c r="G373" s="7"/>
      <c r="H373" s="7">
        <f t="shared" si="23"/>
        <v>2.3979929261586097E-3</v>
      </c>
      <c r="I373" s="7">
        <f t="shared" si="24"/>
        <v>-1.1999355458101379E-2</v>
      </c>
      <c r="J373" s="7">
        <f t="shared" si="25"/>
        <v>1.187362795245428E-2</v>
      </c>
      <c r="K373" s="7">
        <f t="shared" si="26"/>
        <v>2.2049764222213719E-2</v>
      </c>
      <c r="L373" s="7"/>
    </row>
    <row r="374" spans="1:12" x14ac:dyDescent="0.25">
      <c r="A374" s="2" t="s">
        <v>539</v>
      </c>
      <c r="B374" s="7">
        <v>-2.9160186625194373E-2</v>
      </c>
      <c r="C374" s="7">
        <v>2.6343519494202994E-3</v>
      </c>
      <c r="D374" s="7">
        <v>0</v>
      </c>
      <c r="E374" s="7">
        <v>6.2380222307397482E-2</v>
      </c>
      <c r="F374" s="7">
        <v>-9.3241104524439677E-3</v>
      </c>
      <c r="G374" s="7"/>
      <c r="H374" s="7">
        <f t="shared" si="23"/>
        <v>-1.9836076172750405E-2</v>
      </c>
      <c r="I374" s="7">
        <f t="shared" si="24"/>
        <v>1.1958462401864267E-2</v>
      </c>
      <c r="J374" s="7">
        <f t="shared" si="25"/>
        <v>9.3241104524439677E-3</v>
      </c>
      <c r="K374" s="7">
        <f t="shared" si="26"/>
        <v>7.1704332759841449E-2</v>
      </c>
      <c r="L374" s="7"/>
    </row>
    <row r="375" spans="1:12" x14ac:dyDescent="0.25">
      <c r="A375" s="2" t="s">
        <v>76</v>
      </c>
      <c r="B375" s="7">
        <v>2.2889969067609206E-2</v>
      </c>
      <c r="C375" s="7">
        <v>-4.3465227817744978E-3</v>
      </c>
      <c r="D375" s="7">
        <v>6.0422960725075026E-3</v>
      </c>
      <c r="E375" s="7">
        <v>-1.127427759355748E-2</v>
      </c>
      <c r="F375" s="7">
        <v>4.2365423122701085E-3</v>
      </c>
      <c r="G375" s="7"/>
      <c r="H375" s="7">
        <f t="shared" si="23"/>
        <v>1.8653426755339098E-2</v>
      </c>
      <c r="I375" s="7">
        <f t="shared" si="24"/>
        <v>-8.5830650940446063E-3</v>
      </c>
      <c r="J375" s="7">
        <f t="shared" si="25"/>
        <v>1.8057537602373941E-3</v>
      </c>
      <c r="K375" s="7">
        <f t="shared" si="26"/>
        <v>-1.5510819905827589E-2</v>
      </c>
      <c r="L375" s="7"/>
    </row>
    <row r="376" spans="1:12" x14ac:dyDescent="0.25">
      <c r="A376" s="2" t="s">
        <v>540</v>
      </c>
      <c r="B376" s="7">
        <v>1.1502388957707055E-3</v>
      </c>
      <c r="C376" s="7">
        <v>-1.5348288075560879E-2</v>
      </c>
      <c r="D376" s="7">
        <v>6.0790273556230456E-3</v>
      </c>
      <c r="E376" s="7">
        <v>2.1583430120015512E-2</v>
      </c>
      <c r="F376" s="7">
        <v>-1.2531829977877607E-3</v>
      </c>
      <c r="G376" s="7"/>
      <c r="H376" s="7">
        <f t="shared" si="23"/>
        <v>2.4034218935584661E-3</v>
      </c>
      <c r="I376" s="7">
        <f t="shared" si="24"/>
        <v>-1.4095105077773118E-2</v>
      </c>
      <c r="J376" s="7">
        <f t="shared" si="25"/>
        <v>7.3322103534108063E-3</v>
      </c>
      <c r="K376" s="7">
        <f t="shared" si="26"/>
        <v>2.2836613117803273E-2</v>
      </c>
      <c r="L376" s="7"/>
    </row>
    <row r="377" spans="1:12" x14ac:dyDescent="0.25">
      <c r="A377" s="2" t="s">
        <v>541</v>
      </c>
      <c r="B377" s="7">
        <v>5.1136110987595185E-3</v>
      </c>
      <c r="C377" s="7">
        <v>2.078939439590255E-2</v>
      </c>
      <c r="D377" s="7">
        <v>2.4922118380062308E-2</v>
      </c>
      <c r="E377" s="7">
        <v>0.10067114093959728</v>
      </c>
      <c r="F377" s="7">
        <v>4.0386141140038578E-3</v>
      </c>
      <c r="G377" s="7"/>
      <c r="H377" s="7">
        <f t="shared" si="23"/>
        <v>1.0749969847556606E-3</v>
      </c>
      <c r="I377" s="7">
        <f t="shared" si="24"/>
        <v>1.6750780281898692E-2</v>
      </c>
      <c r="J377" s="7">
        <f t="shared" si="25"/>
        <v>2.088350426605845E-2</v>
      </c>
      <c r="K377" s="7">
        <f t="shared" si="26"/>
        <v>9.6632526825593423E-2</v>
      </c>
      <c r="L377" s="7"/>
    </row>
    <row r="378" spans="1:12" x14ac:dyDescent="0.25">
      <c r="A378" s="2" t="s">
        <v>542</v>
      </c>
      <c r="B378" s="7">
        <v>-4.4269334631900081E-3</v>
      </c>
      <c r="C378" s="7">
        <v>-4.5737422208893541E-3</v>
      </c>
      <c r="D378" s="7">
        <v>-2.1341463414634054E-2</v>
      </c>
      <c r="E378" s="7">
        <v>-1.7788008789368925E-2</v>
      </c>
      <c r="F378" s="7">
        <v>-1.8611774432969463E-3</v>
      </c>
      <c r="G378" s="7"/>
      <c r="H378" s="7">
        <f t="shared" si="23"/>
        <v>-2.5657560198930618E-3</v>
      </c>
      <c r="I378" s="7">
        <f t="shared" si="24"/>
        <v>-2.7125647775924078E-3</v>
      </c>
      <c r="J378" s="7">
        <f t="shared" si="25"/>
        <v>-1.9480285971337108E-2</v>
      </c>
      <c r="K378" s="7">
        <f t="shared" si="26"/>
        <v>-1.5926831346071979E-2</v>
      </c>
      <c r="L378" s="7"/>
    </row>
    <row r="379" spans="1:12" x14ac:dyDescent="0.25">
      <c r="A379" s="2" t="s">
        <v>543</v>
      </c>
      <c r="B379" s="7">
        <v>4.0001777856792931E-3</v>
      </c>
      <c r="C379" s="7">
        <v>1.1681711294849295E-2</v>
      </c>
      <c r="D379" s="7">
        <v>1.8633540372670732E-2</v>
      </c>
      <c r="E379" s="7">
        <v>7.8789931143469882E-2</v>
      </c>
      <c r="F379" s="7">
        <v>2.5111172898120149E-3</v>
      </c>
      <c r="G379" s="7"/>
      <c r="H379" s="7">
        <f t="shared" si="23"/>
        <v>1.4890604958672782E-3</v>
      </c>
      <c r="I379" s="7">
        <f t="shared" si="24"/>
        <v>9.1705940050372803E-3</v>
      </c>
      <c r="J379" s="7">
        <f t="shared" si="25"/>
        <v>1.6122423082858717E-2</v>
      </c>
      <c r="K379" s="7">
        <f t="shared" si="26"/>
        <v>7.6278813853657867E-2</v>
      </c>
      <c r="L379" s="7"/>
    </row>
    <row r="380" spans="1:12" x14ac:dyDescent="0.25">
      <c r="A380" s="2" t="s">
        <v>77</v>
      </c>
      <c r="B380" s="7">
        <v>-7.5867848793612636E-3</v>
      </c>
      <c r="C380" s="7">
        <v>6.4127032597909306E-3</v>
      </c>
      <c r="D380" s="7">
        <v>1.2578616352201255E-2</v>
      </c>
      <c r="E380" s="7">
        <v>2.0387007601935236E-2</v>
      </c>
      <c r="F380" s="7">
        <v>2.8092695373120868E-3</v>
      </c>
      <c r="G380" s="7"/>
      <c r="H380" s="7">
        <f t="shared" si="23"/>
        <v>-1.039605441667335E-2</v>
      </c>
      <c r="I380" s="7">
        <f t="shared" si="24"/>
        <v>3.6034337224788437E-3</v>
      </c>
      <c r="J380" s="7">
        <f t="shared" si="25"/>
        <v>9.7693468148891682E-3</v>
      </c>
      <c r="K380" s="7">
        <f t="shared" si="26"/>
        <v>1.757773806462315E-2</v>
      </c>
      <c r="L380" s="7"/>
    </row>
    <row r="381" spans="1:12" x14ac:dyDescent="0.25">
      <c r="A381" s="2" t="s">
        <v>544</v>
      </c>
      <c r="B381" s="7">
        <v>-2.9466092004573063E-3</v>
      </c>
      <c r="C381" s="7">
        <v>6.9956949569496274E-3</v>
      </c>
      <c r="D381" s="7">
        <v>-3.92749244712991E-2</v>
      </c>
      <c r="E381" s="7">
        <v>-2.2983222247759949E-3</v>
      </c>
      <c r="F381" s="7">
        <v>-1.9409693295342478E-3</v>
      </c>
      <c r="G381" s="7"/>
      <c r="H381" s="7">
        <f t="shared" si="23"/>
        <v>-1.0056398709230585E-3</v>
      </c>
      <c r="I381" s="7">
        <f t="shared" si="24"/>
        <v>8.9366642864838752E-3</v>
      </c>
      <c r="J381" s="7">
        <f t="shared" si="25"/>
        <v>-3.7333955141764852E-2</v>
      </c>
      <c r="K381" s="7">
        <f t="shared" si="26"/>
        <v>-3.5735289524174707E-4</v>
      </c>
      <c r="L381" s="7"/>
    </row>
    <row r="382" spans="1:12" x14ac:dyDescent="0.25">
      <c r="A382" s="2" t="s">
        <v>545</v>
      </c>
      <c r="B382" s="7">
        <v>3.7080957810718296E-2</v>
      </c>
      <c r="C382" s="7">
        <v>3.6262634056014598E-3</v>
      </c>
      <c r="D382" s="7">
        <v>1.8461538461538529E-2</v>
      </c>
      <c r="E382" s="7">
        <v>4.8181161165984143E-2</v>
      </c>
      <c r="F382" s="7">
        <v>1.6976786407179478E-2</v>
      </c>
      <c r="G382" s="7"/>
      <c r="H382" s="7">
        <f t="shared" si="23"/>
        <v>2.0104171403538817E-2</v>
      </c>
      <c r="I382" s="7">
        <f t="shared" si="24"/>
        <v>-1.3350523001578019E-2</v>
      </c>
      <c r="J382" s="7">
        <f t="shared" si="25"/>
        <v>1.4847520543590509E-3</v>
      </c>
      <c r="K382" s="7">
        <f t="shared" si="26"/>
        <v>3.1204374758804665E-2</v>
      </c>
      <c r="L382" s="7"/>
    </row>
    <row r="383" spans="1:12" x14ac:dyDescent="0.25">
      <c r="A383" s="2" t="s">
        <v>546</v>
      </c>
      <c r="B383" s="7">
        <v>1.7968242176618077E-2</v>
      </c>
      <c r="C383" s="7">
        <v>-1.6176244030193798E-3</v>
      </c>
      <c r="D383" s="7">
        <v>3.0864197530864335E-3</v>
      </c>
      <c r="E383" s="7">
        <v>-3.2416856765519197E-3</v>
      </c>
      <c r="F383" s="7">
        <v>-2.8964004415590328E-3</v>
      </c>
      <c r="G383" s="7"/>
      <c r="H383" s="7">
        <f t="shared" si="23"/>
        <v>2.0864642618177109E-2</v>
      </c>
      <c r="I383" s="7">
        <f t="shared" si="24"/>
        <v>1.2787760385396529E-3</v>
      </c>
      <c r="J383" s="7">
        <f t="shared" si="25"/>
        <v>5.9828201946454662E-3</v>
      </c>
      <c r="K383" s="7">
        <f t="shared" si="26"/>
        <v>-3.4528523499288699E-4</v>
      </c>
      <c r="L383" s="7"/>
    </row>
    <row r="384" spans="1:12" x14ac:dyDescent="0.25">
      <c r="A384" s="2" t="s">
        <v>547</v>
      </c>
      <c r="B384" s="7">
        <v>2.1869619840864107E-3</v>
      </c>
      <c r="C384" s="7">
        <v>-7.7199419093481048E-3</v>
      </c>
      <c r="D384" s="7">
        <v>6.2111801242235032E-3</v>
      </c>
      <c r="E384" s="7">
        <v>1.3137087945505499E-2</v>
      </c>
      <c r="F384" s="7">
        <v>2.6450846693371055E-4</v>
      </c>
      <c r="G384" s="7"/>
      <c r="H384" s="7">
        <f t="shared" si="23"/>
        <v>1.9224535171527002E-3</v>
      </c>
      <c r="I384" s="7">
        <f t="shared" si="24"/>
        <v>-7.9844503762818153E-3</v>
      </c>
      <c r="J384" s="7">
        <f t="shared" si="25"/>
        <v>5.9466716572897926E-3</v>
      </c>
      <c r="K384" s="7">
        <f t="shared" si="26"/>
        <v>1.2872579478571788E-2</v>
      </c>
      <c r="L384" s="7"/>
    </row>
    <row r="385" spans="1:12" x14ac:dyDescent="0.25">
      <c r="A385" s="2" t="s">
        <v>78</v>
      </c>
      <c r="B385" s="7">
        <v>-2.7776521149061373E-2</v>
      </c>
      <c r="C385" s="7">
        <v>1.0738566131025973E-2</v>
      </c>
      <c r="D385" s="7">
        <v>9.4043887147337024E-3</v>
      </c>
      <c r="E385" s="7">
        <v>-1.2848222862632208E-2</v>
      </c>
      <c r="F385" s="7">
        <v>1.2566610143582846E-3</v>
      </c>
      <c r="G385" s="7"/>
      <c r="H385" s="7">
        <f t="shared" si="23"/>
        <v>-2.9033182163419657E-2</v>
      </c>
      <c r="I385" s="7">
        <f t="shared" si="24"/>
        <v>9.4819051166676882E-3</v>
      </c>
      <c r="J385" s="7">
        <f t="shared" si="25"/>
        <v>8.1477277003754178E-3</v>
      </c>
      <c r="K385" s="7">
        <f t="shared" si="26"/>
        <v>-1.4104883876990493E-2</v>
      </c>
      <c r="L385" s="7"/>
    </row>
    <row r="386" spans="1:12" x14ac:dyDescent="0.25">
      <c r="A386" s="2" t="s">
        <v>548</v>
      </c>
      <c r="B386" s="7">
        <v>-1.2199530092172894E-3</v>
      </c>
      <c r="C386" s="7">
        <v>8.7281795511222615E-3</v>
      </c>
      <c r="D386" s="7">
        <v>6.3091482649841879E-3</v>
      </c>
      <c r="E386" s="7">
        <v>-9.3969311288211177E-3</v>
      </c>
      <c r="F386" s="7">
        <v>5.4076658041088965E-3</v>
      </c>
      <c r="G386" s="7"/>
      <c r="H386" s="7">
        <f t="shared" si="23"/>
        <v>-6.627618813326186E-3</v>
      </c>
      <c r="I386" s="7">
        <f t="shared" si="24"/>
        <v>3.320513747013365E-3</v>
      </c>
      <c r="J386" s="7">
        <f t="shared" si="25"/>
        <v>9.0148246087529138E-4</v>
      </c>
      <c r="K386" s="7">
        <f t="shared" si="26"/>
        <v>-1.4804596932930014E-2</v>
      </c>
      <c r="L386" s="7"/>
    </row>
    <row r="387" spans="1:12" x14ac:dyDescent="0.25">
      <c r="A387" s="2" t="s">
        <v>549</v>
      </c>
      <c r="B387" s="7">
        <v>4.9726504226743629E-4</v>
      </c>
      <c r="C387" s="7">
        <v>1.382634115509207E-2</v>
      </c>
      <c r="D387" s="7">
        <v>6.3492063492063266E-3</v>
      </c>
      <c r="E387" s="7">
        <v>8.0335731414866718E-3</v>
      </c>
      <c r="F387" s="7">
        <v>7.4953232999588337E-3</v>
      </c>
      <c r="G387" s="7"/>
      <c r="H387" s="7">
        <f t="shared" ref="H387:H450" si="27">B387-$F387</f>
        <v>-6.9980582576913974E-3</v>
      </c>
      <c r="I387" s="7">
        <f t="shared" ref="I387:I450" si="28">C387-$F387</f>
        <v>6.3310178551332363E-3</v>
      </c>
      <c r="J387" s="7">
        <f t="shared" ref="J387:J450" si="29">D387-$F387</f>
        <v>-1.1461169507525071E-3</v>
      </c>
      <c r="K387" s="7">
        <f t="shared" ref="K387:K450" si="30">E387-$F387</f>
        <v>5.3824984152783806E-4</v>
      </c>
      <c r="L387" s="7"/>
    </row>
    <row r="388" spans="1:12" x14ac:dyDescent="0.25">
      <c r="A388" s="2" t="s">
        <v>550</v>
      </c>
      <c r="B388" s="7">
        <v>1.1615676590295942E-2</v>
      </c>
      <c r="C388" s="7">
        <v>1.0281556469471376E-3</v>
      </c>
      <c r="D388" s="7">
        <v>1.6129032258064502E-2</v>
      </c>
      <c r="E388" s="7">
        <v>1.2013105205679109E-2</v>
      </c>
      <c r="F388" s="7">
        <v>1.0665050805019227E-2</v>
      </c>
      <c r="G388" s="7"/>
      <c r="H388" s="7">
        <f t="shared" si="27"/>
        <v>9.5062578527671526E-4</v>
      </c>
      <c r="I388" s="7">
        <f t="shared" si="28"/>
        <v>-9.6368951580720896E-3</v>
      </c>
      <c r="J388" s="7">
        <f t="shared" si="29"/>
        <v>5.4639814530452746E-3</v>
      </c>
      <c r="K388" s="7">
        <f t="shared" si="30"/>
        <v>1.3480544006598816E-3</v>
      </c>
      <c r="L388" s="7"/>
    </row>
    <row r="389" spans="1:12" x14ac:dyDescent="0.25">
      <c r="A389" s="2" t="s">
        <v>551</v>
      </c>
      <c r="B389" s="7">
        <v>-3.6451451223402653E-3</v>
      </c>
      <c r="C389" s="7">
        <v>1.2735282338806497E-2</v>
      </c>
      <c r="D389" s="7">
        <v>-9.5846645367411165E-3</v>
      </c>
      <c r="E389" s="7">
        <v>2.8967411661880327E-2</v>
      </c>
      <c r="F389" s="7">
        <v>4.4726332239699573E-3</v>
      </c>
      <c r="G389" s="7"/>
      <c r="H389" s="7">
        <f t="shared" si="27"/>
        <v>-8.1177783463102227E-3</v>
      </c>
      <c r="I389" s="7">
        <f t="shared" si="28"/>
        <v>8.26264911483654E-3</v>
      </c>
      <c r="J389" s="7">
        <f t="shared" si="29"/>
        <v>-1.4057297760711074E-2</v>
      </c>
      <c r="K389" s="7">
        <f t="shared" si="30"/>
        <v>2.4494778437910369E-2</v>
      </c>
      <c r="L389" s="7"/>
    </row>
    <row r="390" spans="1:12" x14ac:dyDescent="0.25">
      <c r="A390" s="2" t="s">
        <v>79</v>
      </c>
      <c r="B390" s="7">
        <v>4.1024705989611832E-4</v>
      </c>
      <c r="C390" s="7">
        <v>-1.120089607168584E-3</v>
      </c>
      <c r="D390" s="7">
        <v>-9.493670886076E-3</v>
      </c>
      <c r="E390" s="7">
        <v>3.256920957033671E-3</v>
      </c>
      <c r="F390" s="7">
        <v>1.1580091782812829E-2</v>
      </c>
      <c r="G390" s="7"/>
      <c r="H390" s="7">
        <f t="shared" si="27"/>
        <v>-1.1169844722916711E-2</v>
      </c>
      <c r="I390" s="7">
        <f t="shared" si="28"/>
        <v>-1.2700181389981413E-2</v>
      </c>
      <c r="J390" s="7">
        <f t="shared" si="29"/>
        <v>-2.1073762668888829E-2</v>
      </c>
      <c r="K390" s="7">
        <f t="shared" si="30"/>
        <v>-8.3231708257791581E-3</v>
      </c>
      <c r="L390" s="7"/>
    </row>
    <row r="391" spans="1:12" x14ac:dyDescent="0.25">
      <c r="A391" s="2" t="s">
        <v>552</v>
      </c>
      <c r="B391" s="7">
        <v>-7.0157968587335473E-3</v>
      </c>
      <c r="C391" s="7">
        <v>-2.129825385639339E-2</v>
      </c>
      <c r="D391" s="7">
        <v>-1.2499999999999956E-2</v>
      </c>
      <c r="E391" s="7">
        <v>-1.5173945225758767E-2</v>
      </c>
      <c r="F391" s="7">
        <v>-1.726020776209658E-2</v>
      </c>
      <c r="G391" s="7"/>
      <c r="H391" s="7">
        <f t="shared" si="27"/>
        <v>1.0244410903363033E-2</v>
      </c>
      <c r="I391" s="7">
        <f t="shared" si="28"/>
        <v>-4.0380460942968099E-3</v>
      </c>
      <c r="J391" s="7">
        <f t="shared" si="29"/>
        <v>4.7602077620966243E-3</v>
      </c>
      <c r="K391" s="7">
        <f t="shared" si="30"/>
        <v>2.0862625363378129E-3</v>
      </c>
      <c r="L391" s="7"/>
    </row>
    <row r="392" spans="1:12" x14ac:dyDescent="0.25">
      <c r="A392" s="2" t="s">
        <v>553</v>
      </c>
      <c r="B392" s="7">
        <v>6.9276696595415022E-3</v>
      </c>
      <c r="C392" s="7">
        <v>-5.6835876673934083E-3</v>
      </c>
      <c r="D392" s="7">
        <v>6.2893081761006275E-3</v>
      </c>
      <c r="E392" s="7">
        <v>-4.9321824907511136E-4</v>
      </c>
      <c r="F392" s="7">
        <v>-3.0180776693048417E-3</v>
      </c>
      <c r="G392" s="7"/>
      <c r="H392" s="7">
        <f t="shared" si="27"/>
        <v>9.9457473288463438E-3</v>
      </c>
      <c r="I392" s="7">
        <f t="shared" si="28"/>
        <v>-2.6655099980885666E-3</v>
      </c>
      <c r="J392" s="7">
        <f t="shared" si="29"/>
        <v>9.3073858454054692E-3</v>
      </c>
      <c r="K392" s="7">
        <f t="shared" si="30"/>
        <v>2.5248594202297303E-3</v>
      </c>
      <c r="L392" s="7"/>
    </row>
    <row r="393" spans="1:12" x14ac:dyDescent="0.25">
      <c r="A393" s="2" t="s">
        <v>554</v>
      </c>
      <c r="B393" s="7">
        <v>-8.6300379540935612E-3</v>
      </c>
      <c r="C393" s="7">
        <v>9.9072181160559936E-3</v>
      </c>
      <c r="D393" s="7">
        <v>-1.2422360248447228E-2</v>
      </c>
      <c r="E393" s="7">
        <v>2.4721878862792313E-3</v>
      </c>
      <c r="F393" s="7">
        <v>-1.6024800458679378E-3</v>
      </c>
      <c r="G393" s="7"/>
      <c r="H393" s="7">
        <f t="shared" si="27"/>
        <v>-7.0275579082256234E-3</v>
      </c>
      <c r="I393" s="7">
        <f t="shared" si="28"/>
        <v>1.1509698161923931E-2</v>
      </c>
      <c r="J393" s="7">
        <f t="shared" si="29"/>
        <v>-1.0819880202579291E-2</v>
      </c>
      <c r="K393" s="7">
        <f t="shared" si="30"/>
        <v>4.074667932147169E-3</v>
      </c>
      <c r="L393" s="7"/>
    </row>
    <row r="394" spans="1:12" x14ac:dyDescent="0.25">
      <c r="A394" s="2" t="s">
        <v>555</v>
      </c>
      <c r="B394" s="7">
        <v>-2.720759527053751E-2</v>
      </c>
      <c r="C394" s="7">
        <v>-2.8492857688488193E-2</v>
      </c>
      <c r="D394" s="7">
        <v>-1.5290519877675823E-2</v>
      </c>
      <c r="E394" s="7">
        <v>-1.281269066503965E-2</v>
      </c>
      <c r="F394" s="7">
        <v>-2.1151122441753323E-2</v>
      </c>
      <c r="G394" s="7"/>
      <c r="H394" s="7">
        <f t="shared" si="27"/>
        <v>-6.0564728287841874E-3</v>
      </c>
      <c r="I394" s="7">
        <f t="shared" si="28"/>
        <v>-7.3417352467348707E-3</v>
      </c>
      <c r="J394" s="7">
        <f t="shared" si="29"/>
        <v>5.8606025640774995E-3</v>
      </c>
      <c r="K394" s="7">
        <f t="shared" si="30"/>
        <v>8.3384317767136729E-3</v>
      </c>
      <c r="L394" s="7"/>
    </row>
    <row r="395" spans="1:12" x14ac:dyDescent="0.25">
      <c r="A395" s="2" t="s">
        <v>556</v>
      </c>
      <c r="B395" s="7">
        <v>-3.4167068202725082E-3</v>
      </c>
      <c r="C395" s="7">
        <v>1.3392165969964287E-2</v>
      </c>
      <c r="D395" s="7">
        <v>1.8691588785046731E-2</v>
      </c>
      <c r="E395" s="7">
        <v>2.8618049453997818E-2</v>
      </c>
      <c r="F395" s="7">
        <v>1.0093062182132906E-2</v>
      </c>
      <c r="G395" s="7"/>
      <c r="H395" s="7">
        <f t="shared" si="27"/>
        <v>-1.3509769002405414E-2</v>
      </c>
      <c r="I395" s="7">
        <f t="shared" si="28"/>
        <v>3.2991037878313811E-3</v>
      </c>
      <c r="J395" s="7">
        <f t="shared" si="29"/>
        <v>8.5985266029138252E-3</v>
      </c>
      <c r="K395" s="7">
        <f t="shared" si="30"/>
        <v>1.8524987271864912E-2</v>
      </c>
      <c r="L395" s="7"/>
    </row>
    <row r="396" spans="1:12" x14ac:dyDescent="0.25">
      <c r="A396" s="2" t="s">
        <v>557</v>
      </c>
      <c r="B396" s="7">
        <v>1.4577129905337438E-2</v>
      </c>
      <c r="C396" s="7">
        <v>9.9288562270347658E-3</v>
      </c>
      <c r="D396" s="7">
        <v>1.5822784810126445E-2</v>
      </c>
      <c r="E396" s="7">
        <v>1.7496807151979654E-2</v>
      </c>
      <c r="F396" s="7">
        <v>-3.9340650694441592E-5</v>
      </c>
      <c r="G396" s="7"/>
      <c r="H396" s="7">
        <f t="shared" si="27"/>
        <v>1.461647055603188E-2</v>
      </c>
      <c r="I396" s="7">
        <f t="shared" si="28"/>
        <v>9.9681968777292074E-3</v>
      </c>
      <c r="J396" s="7">
        <f t="shared" si="29"/>
        <v>1.5862125460820886E-2</v>
      </c>
      <c r="K396" s="7">
        <f t="shared" si="30"/>
        <v>1.7536147802674096E-2</v>
      </c>
      <c r="L396" s="7"/>
    </row>
    <row r="397" spans="1:12" x14ac:dyDescent="0.25">
      <c r="A397" s="2" t="s">
        <v>558</v>
      </c>
      <c r="B397" s="7">
        <v>-6.7537741679173369E-3</v>
      </c>
      <c r="C397" s="7">
        <v>1.5660480776760188E-3</v>
      </c>
      <c r="D397" s="7">
        <v>-1.5576323987538832E-2</v>
      </c>
      <c r="E397" s="7">
        <v>-2.2471910112359494E-2</v>
      </c>
      <c r="F397" s="7">
        <v>-5.9760389633474187E-3</v>
      </c>
      <c r="G397" s="7"/>
      <c r="H397" s="7">
        <f t="shared" si="27"/>
        <v>-7.7773520456991818E-4</v>
      </c>
      <c r="I397" s="7">
        <f t="shared" si="28"/>
        <v>7.5420870410234375E-3</v>
      </c>
      <c r="J397" s="7">
        <f t="shared" si="29"/>
        <v>-9.6002850241914128E-3</v>
      </c>
      <c r="K397" s="7">
        <f t="shared" si="30"/>
        <v>-1.6495871149012076E-2</v>
      </c>
      <c r="L397" s="7"/>
    </row>
    <row r="398" spans="1:12" x14ac:dyDescent="0.25">
      <c r="A398" s="2" t="s">
        <v>559</v>
      </c>
      <c r="B398" s="7">
        <v>3.7217545414267583E-3</v>
      </c>
      <c r="C398" s="7">
        <v>-3.4334763948499214E-3</v>
      </c>
      <c r="D398" s="7">
        <v>0</v>
      </c>
      <c r="E398" s="7">
        <v>-3.7313432835822669E-3</v>
      </c>
      <c r="F398" s="7">
        <v>1.5952029967027936E-3</v>
      </c>
      <c r="G398" s="7"/>
      <c r="H398" s="7">
        <f t="shared" si="27"/>
        <v>2.1265515447239647E-3</v>
      </c>
      <c r="I398" s="7">
        <f t="shared" si="28"/>
        <v>-5.028679391552715E-3</v>
      </c>
      <c r="J398" s="7">
        <f t="shared" si="29"/>
        <v>-1.5952029967027936E-3</v>
      </c>
      <c r="K398" s="7">
        <f t="shared" si="30"/>
        <v>-5.3265462802850605E-3</v>
      </c>
      <c r="L398" s="7"/>
    </row>
    <row r="399" spans="1:12" x14ac:dyDescent="0.25">
      <c r="A399" s="2" t="s">
        <v>80</v>
      </c>
      <c r="B399" s="7">
        <v>1.5086971955979855E-3</v>
      </c>
      <c r="C399" s="7">
        <v>1.5451664025356582E-2</v>
      </c>
      <c r="D399" s="7">
        <v>6.2695924764890609E-3</v>
      </c>
      <c r="E399" s="7">
        <v>-4.2743183712346533E-2</v>
      </c>
      <c r="F399" s="7">
        <v>-3.1537231503155905E-3</v>
      </c>
      <c r="G399" s="7"/>
      <c r="H399" s="7">
        <f t="shared" si="27"/>
        <v>4.662420345913576E-3</v>
      </c>
      <c r="I399" s="7">
        <f t="shared" si="28"/>
        <v>1.8605387175672172E-2</v>
      </c>
      <c r="J399" s="7">
        <f t="shared" si="29"/>
        <v>9.4233156268046514E-3</v>
      </c>
      <c r="K399" s="7">
        <f t="shared" si="30"/>
        <v>-3.9589460562030943E-2</v>
      </c>
      <c r="L399" s="7"/>
    </row>
    <row r="400" spans="1:12" x14ac:dyDescent="0.25">
      <c r="A400" s="2" t="s">
        <v>560</v>
      </c>
      <c r="B400" s="7">
        <v>1.0311127051017666E-2</v>
      </c>
      <c r="C400" s="7">
        <v>1.5122265122265111E-2</v>
      </c>
      <c r="D400" s="7">
        <v>1.9169329073482455E-2</v>
      </c>
      <c r="E400" s="7">
        <v>2.954155430252503E-2</v>
      </c>
      <c r="F400" s="7">
        <v>1.1483420217425433E-2</v>
      </c>
      <c r="G400" s="7"/>
      <c r="H400" s="7">
        <f t="shared" si="27"/>
        <v>-1.1722931664077674E-3</v>
      </c>
      <c r="I400" s="7">
        <f t="shared" si="28"/>
        <v>3.6388449048396776E-3</v>
      </c>
      <c r="J400" s="7">
        <f t="shared" si="29"/>
        <v>7.6859088560570221E-3</v>
      </c>
      <c r="K400" s="7">
        <f t="shared" si="30"/>
        <v>1.8058134085099597E-2</v>
      </c>
      <c r="L400" s="7"/>
    </row>
    <row r="401" spans="1:12" x14ac:dyDescent="0.25">
      <c r="A401" s="2" t="s">
        <v>561</v>
      </c>
      <c r="B401" s="7">
        <v>-8.2696069713675824E-3</v>
      </c>
      <c r="C401" s="7">
        <v>-4.8827343312255467E-3</v>
      </c>
      <c r="D401" s="7">
        <v>-1.572327044025168E-2</v>
      </c>
      <c r="E401" s="7">
        <v>-6.8176284392500452E-3</v>
      </c>
      <c r="F401" s="7">
        <v>-8.9328126528905871E-3</v>
      </c>
      <c r="G401" s="7"/>
      <c r="H401" s="7">
        <f t="shared" si="27"/>
        <v>6.6320568152300474E-4</v>
      </c>
      <c r="I401" s="7">
        <f t="shared" si="28"/>
        <v>4.0500783216650404E-3</v>
      </c>
      <c r="J401" s="7">
        <f t="shared" si="29"/>
        <v>-6.7904577873610927E-3</v>
      </c>
      <c r="K401" s="7">
        <f t="shared" si="30"/>
        <v>2.1151842136405419E-3</v>
      </c>
      <c r="L401" s="7"/>
    </row>
    <row r="402" spans="1:12" x14ac:dyDescent="0.25">
      <c r="A402" s="2" t="s">
        <v>562</v>
      </c>
      <c r="B402" s="7">
        <v>-4.8882371239400424E-4</v>
      </c>
      <c r="C402" s="7">
        <v>1.1988659376265698E-2</v>
      </c>
      <c r="D402" s="7">
        <v>6.3291139240506666E-3</v>
      </c>
      <c r="E402" s="7">
        <v>3.0744133517379924E-2</v>
      </c>
      <c r="F402" s="7">
        <v>4.2396804070665706E-3</v>
      </c>
      <c r="G402" s="7"/>
      <c r="H402" s="7">
        <f t="shared" si="27"/>
        <v>-4.7285041194605748E-3</v>
      </c>
      <c r="I402" s="7">
        <f t="shared" si="28"/>
        <v>7.7489789691991273E-3</v>
      </c>
      <c r="J402" s="7">
        <f t="shared" si="29"/>
        <v>2.0894335169840961E-3</v>
      </c>
      <c r="K402" s="7">
        <f t="shared" si="30"/>
        <v>2.6504453110313353E-2</v>
      </c>
      <c r="L402" s="7"/>
    </row>
    <row r="403" spans="1:12" x14ac:dyDescent="0.25">
      <c r="A403" s="2" t="s">
        <v>563</v>
      </c>
      <c r="B403" s="7">
        <v>2.7181178148116825E-3</v>
      </c>
      <c r="C403" s="7">
        <v>4.8840048840048667E-3</v>
      </c>
      <c r="D403" s="7">
        <v>-1.2499999999999956E-2</v>
      </c>
      <c r="E403" s="7">
        <v>-3.4294716432380024E-2</v>
      </c>
      <c r="F403" s="7">
        <v>-1.9845762938528466E-3</v>
      </c>
      <c r="G403" s="7"/>
      <c r="H403" s="7">
        <f t="shared" si="27"/>
        <v>4.7026941086645291E-3</v>
      </c>
      <c r="I403" s="7">
        <f t="shared" si="28"/>
        <v>6.8685811778577133E-3</v>
      </c>
      <c r="J403" s="7">
        <f t="shared" si="29"/>
        <v>-1.0515423706147109E-2</v>
      </c>
      <c r="K403" s="7">
        <f t="shared" si="30"/>
        <v>-3.2310140138527177E-2</v>
      </c>
      <c r="L403" s="7"/>
    </row>
    <row r="404" spans="1:12" x14ac:dyDescent="0.25">
      <c r="A404" s="2" t="s">
        <v>81</v>
      </c>
      <c r="B404" s="7">
        <v>-6.6794318030016786E-4</v>
      </c>
      <c r="C404" s="7">
        <v>2.442598925256334E-4</v>
      </c>
      <c r="D404" s="7">
        <v>-1.538461538461533E-2</v>
      </c>
      <c r="E404" s="7">
        <v>8.801955990219934E-3</v>
      </c>
      <c r="F404" s="7">
        <v>9.7222847369131671E-3</v>
      </c>
      <c r="G404" s="7"/>
      <c r="H404" s="7">
        <f t="shared" si="27"/>
        <v>-1.0390227917213335E-2</v>
      </c>
      <c r="I404" s="7">
        <f t="shared" si="28"/>
        <v>-9.4780248443875337E-3</v>
      </c>
      <c r="J404" s="7">
        <f t="shared" si="29"/>
        <v>-2.5106900121528497E-2</v>
      </c>
      <c r="K404" s="7">
        <f t="shared" si="30"/>
        <v>-9.2032874669323306E-4</v>
      </c>
      <c r="L404" s="7"/>
    </row>
    <row r="405" spans="1:12" x14ac:dyDescent="0.25">
      <c r="A405" s="2" t="s">
        <v>564</v>
      </c>
      <c r="B405" s="7">
        <v>5.9126539753640017E-3</v>
      </c>
      <c r="C405" s="7">
        <v>-8.9481818921344214E-4</v>
      </c>
      <c r="D405" s="7">
        <v>1.5625E-2</v>
      </c>
      <c r="E405" s="7">
        <v>4.5768345691638901E-2</v>
      </c>
      <c r="F405" s="7">
        <v>1.9898181923141411E-3</v>
      </c>
      <c r="G405" s="7"/>
      <c r="H405" s="7">
        <f t="shared" si="27"/>
        <v>3.9228357830498606E-3</v>
      </c>
      <c r="I405" s="7">
        <f t="shared" si="28"/>
        <v>-2.8846363815275833E-3</v>
      </c>
      <c r="J405" s="7">
        <f t="shared" si="29"/>
        <v>1.3635181807685859E-2</v>
      </c>
      <c r="K405" s="7">
        <f t="shared" si="30"/>
        <v>4.377852749932476E-2</v>
      </c>
      <c r="L405" s="7"/>
    </row>
    <row r="406" spans="1:12" x14ac:dyDescent="0.25">
      <c r="A406" s="2" t="s">
        <v>565</v>
      </c>
      <c r="B406" s="7">
        <v>1.3528850955645266E-2</v>
      </c>
      <c r="C406" s="7">
        <v>7.8707878986636892E-3</v>
      </c>
      <c r="D406" s="7">
        <v>2.893890675241173E-2</v>
      </c>
      <c r="E406" s="7">
        <v>8.9571337172089649E-4</v>
      </c>
      <c r="F406" s="7">
        <v>1.6133201104998829E-2</v>
      </c>
      <c r="G406" s="7"/>
      <c r="H406" s="7">
        <f t="shared" si="27"/>
        <v>-2.6043501493535626E-3</v>
      </c>
      <c r="I406" s="7">
        <f t="shared" si="28"/>
        <v>-8.2624132063351396E-3</v>
      </c>
      <c r="J406" s="7">
        <f t="shared" si="29"/>
        <v>1.2805705647412902E-2</v>
      </c>
      <c r="K406" s="7">
        <f t="shared" si="30"/>
        <v>-1.5237487733277932E-2</v>
      </c>
      <c r="L406" s="7"/>
    </row>
    <row r="407" spans="1:12" x14ac:dyDescent="0.25">
      <c r="A407" s="2" t="s">
        <v>566</v>
      </c>
      <c r="B407" s="7">
        <v>2.001546649683883E-3</v>
      </c>
      <c r="C407" s="7">
        <v>6.5192275953127599E-3</v>
      </c>
      <c r="D407" s="7">
        <v>3.225806451612856E-3</v>
      </c>
      <c r="E407" s="7">
        <v>-2.006269592476484E-2</v>
      </c>
      <c r="F407" s="7">
        <v>3.8237680860733203E-3</v>
      </c>
      <c r="G407" s="7"/>
      <c r="H407" s="7">
        <f t="shared" si="27"/>
        <v>-1.8222214363894373E-3</v>
      </c>
      <c r="I407" s="7">
        <f t="shared" si="28"/>
        <v>2.6954595092394396E-3</v>
      </c>
      <c r="J407" s="7">
        <f t="shared" si="29"/>
        <v>-5.9796163446046435E-4</v>
      </c>
      <c r="K407" s="7">
        <f t="shared" si="30"/>
        <v>-2.388646401083816E-2</v>
      </c>
      <c r="L407" s="7"/>
    </row>
    <row r="408" spans="1:12" x14ac:dyDescent="0.25">
      <c r="A408" s="2" t="s">
        <v>567</v>
      </c>
      <c r="B408" s="7">
        <v>1.7213456110314107E-2</v>
      </c>
      <c r="C408" s="7">
        <v>1.6184486373165718E-2</v>
      </c>
      <c r="D408" s="7">
        <v>-1.2738853503184711E-2</v>
      </c>
      <c r="E408" s="7">
        <v>2.2621591051905643E-3</v>
      </c>
      <c r="F408" s="7">
        <v>1.6847572875482442E-2</v>
      </c>
      <c r="G408" s="7"/>
      <c r="H408" s="7">
        <f t="shared" si="27"/>
        <v>3.658832348316654E-4</v>
      </c>
      <c r="I408" s="7">
        <f t="shared" si="28"/>
        <v>-6.6308650231672317E-4</v>
      </c>
      <c r="J408" s="7">
        <f t="shared" si="29"/>
        <v>-2.9586426378667152E-2</v>
      </c>
      <c r="K408" s="7">
        <f t="shared" si="30"/>
        <v>-1.4585413770291877E-2</v>
      </c>
      <c r="L408" s="7"/>
    </row>
    <row r="409" spans="1:12" x14ac:dyDescent="0.25">
      <c r="A409" s="2" t="s">
        <v>82</v>
      </c>
      <c r="B409" s="7">
        <v>7.1302078478889808E-3</v>
      </c>
      <c r="C409" s="7">
        <v>-6.5811396201266303E-3</v>
      </c>
      <c r="D409" s="7">
        <v>1.9480519480519431E-2</v>
      </c>
      <c r="E409" s="7">
        <v>1.1568777015001253E-2</v>
      </c>
      <c r="F409" s="7">
        <v>4.3037633603804082E-5</v>
      </c>
      <c r="G409" s="7"/>
      <c r="H409" s="7">
        <f t="shared" si="27"/>
        <v>7.0871702142851767E-3</v>
      </c>
      <c r="I409" s="7">
        <f t="shared" si="28"/>
        <v>-6.6241772537304344E-3</v>
      </c>
      <c r="J409" s="7">
        <f t="shared" si="29"/>
        <v>1.9437481846915627E-2</v>
      </c>
      <c r="K409" s="7">
        <f t="shared" si="30"/>
        <v>1.1525739381397448E-2</v>
      </c>
      <c r="L409" s="7"/>
    </row>
    <row r="410" spans="1:12" x14ac:dyDescent="0.25">
      <c r="A410" s="2" t="s">
        <v>568</v>
      </c>
      <c r="B410" s="7">
        <v>1.3747814995039631E-2</v>
      </c>
      <c r="C410" s="7">
        <v>-7.6058201058200048E-3</v>
      </c>
      <c r="D410" s="7">
        <v>3.2573289902280145E-3</v>
      </c>
      <c r="E410" s="7">
        <v>-4.0516586477590266E-3</v>
      </c>
      <c r="F410" s="7">
        <v>4.6716585421793244E-3</v>
      </c>
      <c r="G410" s="7"/>
      <c r="H410" s="7">
        <f t="shared" si="27"/>
        <v>9.0761564528603067E-3</v>
      </c>
      <c r="I410" s="7">
        <f t="shared" si="28"/>
        <v>-1.2277478647999329E-2</v>
      </c>
      <c r="J410" s="7">
        <f t="shared" si="29"/>
        <v>-1.4143295519513099E-3</v>
      </c>
      <c r="K410" s="7">
        <f t="shared" si="30"/>
        <v>-8.723317189938351E-3</v>
      </c>
      <c r="L410" s="7"/>
    </row>
    <row r="411" spans="1:12" x14ac:dyDescent="0.25">
      <c r="A411" s="2" t="s">
        <v>569</v>
      </c>
      <c r="B411" s="7">
        <v>1.6617837759953735E-2</v>
      </c>
      <c r="C411" s="7">
        <v>1.8696311268317389E-2</v>
      </c>
      <c r="D411" s="7">
        <v>6.5573770491802463E-3</v>
      </c>
      <c r="E411" s="7">
        <v>3.1878756205905301E-2</v>
      </c>
      <c r="F411" s="7">
        <v>2.3042600250024137E-2</v>
      </c>
      <c r="G411" s="7"/>
      <c r="H411" s="7">
        <f t="shared" si="27"/>
        <v>-6.4247624900704015E-3</v>
      </c>
      <c r="I411" s="7">
        <f t="shared" si="28"/>
        <v>-4.3462889817067474E-3</v>
      </c>
      <c r="J411" s="7">
        <f t="shared" si="29"/>
        <v>-1.648522320084389E-2</v>
      </c>
      <c r="K411" s="7">
        <f t="shared" si="30"/>
        <v>8.8361559558811642E-3</v>
      </c>
      <c r="L411" s="7"/>
    </row>
    <row r="412" spans="1:12" x14ac:dyDescent="0.25">
      <c r="A412" s="2" t="s">
        <v>570</v>
      </c>
      <c r="B412" s="7">
        <v>1.2497568566426809E-2</v>
      </c>
      <c r="C412" s="7">
        <v>-1.6483061376625585E-2</v>
      </c>
      <c r="D412" s="7">
        <v>-3.2679738562092497E-3</v>
      </c>
      <c r="E412" s="7">
        <v>-9.1371883566104817E-4</v>
      </c>
      <c r="F412" s="7">
        <v>-7.7346885418594358E-3</v>
      </c>
      <c r="G412" s="7"/>
      <c r="H412" s="7">
        <f t="shared" si="27"/>
        <v>2.0232257108286245E-2</v>
      </c>
      <c r="I412" s="7">
        <f t="shared" si="28"/>
        <v>-8.7483728347661494E-3</v>
      </c>
      <c r="J412" s="7">
        <f t="shared" si="29"/>
        <v>4.466714685650186E-3</v>
      </c>
      <c r="K412" s="7">
        <f t="shared" si="30"/>
        <v>6.8209697061983876E-3</v>
      </c>
      <c r="L412" s="7"/>
    </row>
    <row r="413" spans="1:12" x14ac:dyDescent="0.25">
      <c r="A413" s="2" t="s">
        <v>571</v>
      </c>
      <c r="B413" s="7">
        <v>-9.7274390831166846E-3</v>
      </c>
      <c r="C413" s="7">
        <v>2.2414079362444994E-3</v>
      </c>
      <c r="D413" s="7">
        <v>0</v>
      </c>
      <c r="E413" s="7">
        <v>1.2021136063408155E-2</v>
      </c>
      <c r="F413" s="7">
        <v>1.0354142524675369E-2</v>
      </c>
      <c r="G413" s="7"/>
      <c r="H413" s="7">
        <f t="shared" si="27"/>
        <v>-2.0081581607792054E-2</v>
      </c>
      <c r="I413" s="7">
        <f t="shared" si="28"/>
        <v>-8.1127345884308699E-3</v>
      </c>
      <c r="J413" s="7">
        <f t="shared" si="29"/>
        <v>-1.0354142524675369E-2</v>
      </c>
      <c r="K413" s="7">
        <f t="shared" si="30"/>
        <v>1.6669935387327861E-3</v>
      </c>
      <c r="L413" s="7"/>
    </row>
    <row r="414" spans="1:12" x14ac:dyDescent="0.25">
      <c r="A414" s="2" t="s">
        <v>83</v>
      </c>
      <c r="B414" s="7">
        <v>-4.817344272814772E-2</v>
      </c>
      <c r="C414" s="7">
        <v>-5.0384075328322453E-3</v>
      </c>
      <c r="D414" s="7">
        <v>-1.2903225806451646E-2</v>
      </c>
      <c r="E414" s="7">
        <v>-6.0399159663864221E-3</v>
      </c>
      <c r="F414" s="7">
        <v>-2.9968802370122227E-2</v>
      </c>
      <c r="G414" s="7"/>
      <c r="H414" s="7">
        <f t="shared" si="27"/>
        <v>-1.8204640358025492E-2</v>
      </c>
      <c r="I414" s="7">
        <f t="shared" si="28"/>
        <v>2.4930394837289982E-2</v>
      </c>
      <c r="J414" s="7">
        <f t="shared" si="29"/>
        <v>1.7065576563670581E-2</v>
      </c>
      <c r="K414" s="7">
        <f t="shared" si="30"/>
        <v>2.3928886403735805E-2</v>
      </c>
      <c r="L414" s="7"/>
    </row>
    <row r="415" spans="1:12" x14ac:dyDescent="0.25">
      <c r="A415" s="2" t="s">
        <v>572</v>
      </c>
      <c r="B415" s="7">
        <v>6.8764999076980082E-3</v>
      </c>
      <c r="C415" s="7">
        <v>-9.7333551447735811E-3</v>
      </c>
      <c r="D415" s="7">
        <v>-2.8213166144200552E-2</v>
      </c>
      <c r="E415" s="7">
        <v>-6.7814293166407191E-3</v>
      </c>
      <c r="F415" s="7">
        <v>-1.8381839946536194E-2</v>
      </c>
      <c r="G415" s="7"/>
      <c r="H415" s="7">
        <f t="shared" si="27"/>
        <v>2.5258339854234202E-2</v>
      </c>
      <c r="I415" s="7">
        <f t="shared" si="28"/>
        <v>8.6484848017626126E-3</v>
      </c>
      <c r="J415" s="7">
        <f t="shared" si="29"/>
        <v>-9.8313261976643584E-3</v>
      </c>
      <c r="K415" s="7">
        <f t="shared" si="30"/>
        <v>1.1600410629895475E-2</v>
      </c>
      <c r="L415" s="7"/>
    </row>
    <row r="416" spans="1:12" x14ac:dyDescent="0.25">
      <c r="A416" s="2" t="s">
        <v>573</v>
      </c>
      <c r="B416" s="7">
        <v>-1.6789182321444773E-2</v>
      </c>
      <c r="C416" s="7">
        <v>-8.4347120843470957E-3</v>
      </c>
      <c r="D416" s="7">
        <v>-2.7439024390243816E-2</v>
      </c>
      <c r="E416" s="7">
        <v>-1.1091049780758255E-2</v>
      </c>
      <c r="F416" s="7">
        <v>-1.3693569708273734E-2</v>
      </c>
      <c r="G416" s="7"/>
      <c r="H416" s="7">
        <f t="shared" si="27"/>
        <v>-3.0956126131710393E-3</v>
      </c>
      <c r="I416" s="7">
        <f t="shared" si="28"/>
        <v>5.2588576239266382E-3</v>
      </c>
      <c r="J416" s="7">
        <f t="shared" si="29"/>
        <v>-1.3745454681970082E-2</v>
      </c>
      <c r="K416" s="7">
        <f t="shared" si="30"/>
        <v>2.6025199275154787E-3</v>
      </c>
      <c r="L416" s="7"/>
    </row>
    <row r="417" spans="1:12" x14ac:dyDescent="0.25">
      <c r="A417" s="2" t="s">
        <v>574</v>
      </c>
      <c r="B417" s="7">
        <v>1.5014738393515081E-2</v>
      </c>
      <c r="C417" s="7">
        <v>6.2841753040070447E-3</v>
      </c>
      <c r="D417" s="7">
        <v>1.5479876160990669E-2</v>
      </c>
      <c r="E417" s="7">
        <v>1.0951760104302544E-2</v>
      </c>
      <c r="F417" s="7">
        <v>1.579342363752767E-2</v>
      </c>
      <c r="G417" s="7"/>
      <c r="H417" s="7">
        <f t="shared" si="27"/>
        <v>-7.786852440125891E-4</v>
      </c>
      <c r="I417" s="7">
        <f t="shared" si="28"/>
        <v>-9.5092483335206257E-3</v>
      </c>
      <c r="J417" s="7">
        <f t="shared" si="29"/>
        <v>-3.1354747653700166E-4</v>
      </c>
      <c r="K417" s="7">
        <f t="shared" si="30"/>
        <v>-4.8416635332251268E-3</v>
      </c>
      <c r="L417" s="7"/>
    </row>
    <row r="418" spans="1:12" x14ac:dyDescent="0.25">
      <c r="A418" s="2" t="s">
        <v>575</v>
      </c>
      <c r="B418" s="7">
        <v>2.5395945883548432E-3</v>
      </c>
      <c r="C418" s="7">
        <v>1.2728324654930123E-2</v>
      </c>
      <c r="D418" s="7">
        <v>1.2539184952978122E-2</v>
      </c>
      <c r="E418" s="7">
        <v>-7.8903117319880645E-3</v>
      </c>
      <c r="F418" s="7">
        <v>-4.9601540393225951E-3</v>
      </c>
      <c r="G418" s="7"/>
      <c r="H418" s="7">
        <f t="shared" si="27"/>
        <v>7.4997486276774383E-3</v>
      </c>
      <c r="I418" s="7">
        <f t="shared" si="28"/>
        <v>1.7688478694252718E-2</v>
      </c>
      <c r="J418" s="7">
        <f t="shared" si="29"/>
        <v>1.7499338992300717E-2</v>
      </c>
      <c r="K418" s="7">
        <f t="shared" si="30"/>
        <v>-2.9301576926654693E-3</v>
      </c>
      <c r="L418" s="7"/>
    </row>
    <row r="419" spans="1:12" x14ac:dyDescent="0.25">
      <c r="A419" s="2" t="s">
        <v>84</v>
      </c>
      <c r="B419" s="7">
        <v>1.2945582320034177E-3</v>
      </c>
      <c r="C419" s="7">
        <v>-1.5781338973399617E-2</v>
      </c>
      <c r="D419" s="7">
        <v>-3.1250000000000444E-3</v>
      </c>
      <c r="E419" s="7">
        <v>2.7238905128886381E-2</v>
      </c>
      <c r="F419" s="7">
        <v>8.1332087706753597E-4</v>
      </c>
      <c r="G419" s="7"/>
      <c r="H419" s="7">
        <f t="shared" si="27"/>
        <v>4.8123735493588171E-4</v>
      </c>
      <c r="I419" s="7">
        <f t="shared" si="28"/>
        <v>-1.6594659850467153E-2</v>
      </c>
      <c r="J419" s="7">
        <f t="shared" si="29"/>
        <v>-3.9383208770675804E-3</v>
      </c>
      <c r="K419" s="7">
        <f t="shared" si="30"/>
        <v>2.6425584251818846E-2</v>
      </c>
      <c r="L419" s="7"/>
    </row>
    <row r="420" spans="1:12" x14ac:dyDescent="0.25">
      <c r="A420" s="2" t="s">
        <v>576</v>
      </c>
      <c r="B420" s="7">
        <v>2.1777407098508839E-3</v>
      </c>
      <c r="C420" s="7">
        <v>0.22991495747873936</v>
      </c>
      <c r="D420" s="7">
        <v>-2.4390243902438935E-2</v>
      </c>
      <c r="E420" s="7">
        <v>1.496965610249501E-2</v>
      </c>
      <c r="F420" s="7">
        <v>1.1090490848678192E-2</v>
      </c>
      <c r="G420" s="7"/>
      <c r="H420" s="7">
        <f t="shared" si="27"/>
        <v>-8.9127501388273078E-3</v>
      </c>
      <c r="I420" s="7">
        <f t="shared" si="28"/>
        <v>0.21882446663006117</v>
      </c>
      <c r="J420" s="7">
        <f t="shared" si="29"/>
        <v>-3.5480734751117127E-2</v>
      </c>
      <c r="K420" s="7">
        <f t="shared" si="30"/>
        <v>3.8791652538168186E-3</v>
      </c>
      <c r="L420" s="7"/>
    </row>
    <row r="421" spans="1:12" x14ac:dyDescent="0.25">
      <c r="A421" s="2" t="s">
        <v>577</v>
      </c>
      <c r="B421" s="7">
        <v>-4.7957207414922598E-3</v>
      </c>
      <c r="C421" s="7">
        <v>1.402665063620967E-3</v>
      </c>
      <c r="D421" s="7">
        <v>0</v>
      </c>
      <c r="E421" s="7">
        <v>-5.2320901529380182E-3</v>
      </c>
      <c r="F421" s="7">
        <v>-5.1426813066942634E-3</v>
      </c>
      <c r="G421" s="7"/>
      <c r="H421" s="7">
        <f t="shared" si="27"/>
        <v>3.4696056520200358E-4</v>
      </c>
      <c r="I421" s="7">
        <f t="shared" si="28"/>
        <v>6.5453463703152304E-3</v>
      </c>
      <c r="J421" s="7">
        <f t="shared" si="29"/>
        <v>5.1426813066942634E-3</v>
      </c>
      <c r="K421" s="7">
        <f t="shared" si="30"/>
        <v>-8.940884624375478E-5</v>
      </c>
      <c r="L421" s="7"/>
    </row>
    <row r="422" spans="1:12" x14ac:dyDescent="0.25">
      <c r="A422" s="2" t="s">
        <v>578</v>
      </c>
      <c r="B422" s="7">
        <v>-2.8753135077033254E-2</v>
      </c>
      <c r="C422" s="7">
        <v>-1.4124851837218455E-2</v>
      </c>
      <c r="D422" s="7">
        <v>-3.5294117647058809E-2</v>
      </c>
      <c r="E422" s="7">
        <v>-4.0085515766968838E-3</v>
      </c>
      <c r="F422" s="7">
        <v>-2.3149031452155744E-2</v>
      </c>
      <c r="G422" s="7"/>
      <c r="H422" s="7">
        <f t="shared" si="27"/>
        <v>-5.60410362487751E-3</v>
      </c>
      <c r="I422" s="7">
        <f t="shared" si="28"/>
        <v>9.0241796149372888E-3</v>
      </c>
      <c r="J422" s="7">
        <f t="shared" si="29"/>
        <v>-1.2145086194903065E-2</v>
      </c>
      <c r="K422" s="7">
        <f t="shared" si="30"/>
        <v>1.914047987545886E-2</v>
      </c>
      <c r="L422" s="7"/>
    </row>
    <row r="423" spans="1:12" x14ac:dyDescent="0.25">
      <c r="A423" s="2" t="s">
        <v>579</v>
      </c>
      <c r="B423" s="7">
        <v>4.679625629949502E-3</v>
      </c>
      <c r="C423" s="7">
        <v>-2.3649980291684525E-3</v>
      </c>
      <c r="D423" s="7">
        <v>-5.8479532163743242E-3</v>
      </c>
      <c r="E423" s="7">
        <v>-7.0319755871036671E-3</v>
      </c>
      <c r="F423" s="7">
        <v>-1.558116673645582E-3</v>
      </c>
      <c r="G423" s="7"/>
      <c r="H423" s="7">
        <f t="shared" si="27"/>
        <v>6.2377423035950841E-3</v>
      </c>
      <c r="I423" s="7">
        <f t="shared" si="28"/>
        <v>-8.0688135552287044E-4</v>
      </c>
      <c r="J423" s="7">
        <f t="shared" si="29"/>
        <v>-4.2898365427287422E-3</v>
      </c>
      <c r="K423" s="7">
        <f t="shared" si="30"/>
        <v>-5.4738589134580851E-3</v>
      </c>
      <c r="L423" s="7"/>
    </row>
    <row r="424" spans="1:12" x14ac:dyDescent="0.25">
      <c r="A424" s="2" t="s">
        <v>85</v>
      </c>
      <c r="B424" s="7">
        <v>-1.5723976818365903E-3</v>
      </c>
      <c r="C424" s="7">
        <v>1.0153294843719074E-2</v>
      </c>
      <c r="D424" s="7">
        <v>4.2682926829268331E-2</v>
      </c>
      <c r="E424" s="7">
        <v>1.8238313969197728E-2</v>
      </c>
      <c r="F424" s="7">
        <v>1.0792007266121617E-2</v>
      </c>
      <c r="G424" s="7"/>
      <c r="H424" s="7">
        <f t="shared" si="27"/>
        <v>-1.2364404947958207E-2</v>
      </c>
      <c r="I424" s="7">
        <f t="shared" si="28"/>
        <v>-6.3871242240254311E-4</v>
      </c>
      <c r="J424" s="7">
        <f t="shared" si="29"/>
        <v>3.1890919563146714E-2</v>
      </c>
      <c r="K424" s="7">
        <f t="shared" si="30"/>
        <v>7.446306703076111E-3</v>
      </c>
      <c r="L424" s="7"/>
    </row>
    <row r="425" spans="1:12" x14ac:dyDescent="0.25">
      <c r="A425" s="2" t="s">
        <v>580</v>
      </c>
      <c r="B425" s="7">
        <v>5.8437471905059546E-4</v>
      </c>
      <c r="C425" s="7">
        <v>-9.9443118536202135E-4</v>
      </c>
      <c r="D425" s="7">
        <v>1.2345679012345512E-2</v>
      </c>
      <c r="E425" s="7">
        <v>-1.6606881891855996E-2</v>
      </c>
      <c r="F425" s="7">
        <v>-7.1402935113327182E-3</v>
      </c>
      <c r="G425" s="7"/>
      <c r="H425" s="7">
        <f t="shared" si="27"/>
        <v>7.7246682303833136E-3</v>
      </c>
      <c r="I425" s="7">
        <f t="shared" si="28"/>
        <v>6.1458623259706968E-3</v>
      </c>
      <c r="J425" s="7">
        <f t="shared" si="29"/>
        <v>1.948597252367823E-2</v>
      </c>
      <c r="K425" s="7">
        <f t="shared" si="30"/>
        <v>-9.4665883805232776E-3</v>
      </c>
      <c r="L425" s="7"/>
    </row>
    <row r="426" spans="1:12" x14ac:dyDescent="0.25">
      <c r="A426" s="2" t="s">
        <v>581</v>
      </c>
      <c r="B426" s="7">
        <v>-2.0517787953504785E-2</v>
      </c>
      <c r="C426" s="7">
        <v>-5.9311981020165883E-3</v>
      </c>
      <c r="D426" s="7">
        <v>-9.1743119266054496E-3</v>
      </c>
      <c r="E426" s="7">
        <v>-6.4677930306231701E-3</v>
      </c>
      <c r="F426" s="7">
        <v>-7.8163725088444824E-3</v>
      </c>
      <c r="G426" s="7"/>
      <c r="H426" s="7">
        <f t="shared" si="27"/>
        <v>-1.2701415444660302E-2</v>
      </c>
      <c r="I426" s="7">
        <f t="shared" si="28"/>
        <v>1.8851744068278942E-3</v>
      </c>
      <c r="J426" s="7">
        <f t="shared" si="29"/>
        <v>-1.3579394177609672E-3</v>
      </c>
      <c r="K426" s="7">
        <f t="shared" si="30"/>
        <v>1.3485794782213123E-3</v>
      </c>
      <c r="L426" s="7"/>
    </row>
    <row r="427" spans="1:12" x14ac:dyDescent="0.25">
      <c r="A427" s="2" t="s">
        <v>582</v>
      </c>
      <c r="B427" s="7">
        <v>-2.5319715045918789E-2</v>
      </c>
      <c r="C427" s="7">
        <v>1.2916791829378216E-2</v>
      </c>
      <c r="D427" s="7">
        <v>-1.8018018018018056E-2</v>
      </c>
      <c r="E427" s="7">
        <v>-1.7125064867669848E-2</v>
      </c>
      <c r="F427" s="7">
        <v>-1.3927512704686507E-2</v>
      </c>
      <c r="G427" s="7"/>
      <c r="H427" s="7">
        <f t="shared" si="27"/>
        <v>-1.1392202341232283E-2</v>
      </c>
      <c r="I427" s="7">
        <f t="shared" si="28"/>
        <v>2.6844304534064722E-2</v>
      </c>
      <c r="J427" s="7">
        <f t="shared" si="29"/>
        <v>-4.0905053133315494E-3</v>
      </c>
      <c r="K427" s="7">
        <f t="shared" si="30"/>
        <v>-3.1975521629833414E-3</v>
      </c>
      <c r="L427" s="7"/>
    </row>
    <row r="428" spans="1:12" x14ac:dyDescent="0.25">
      <c r="A428" s="2" t="s">
        <v>583</v>
      </c>
      <c r="B428" s="7">
        <v>1.8056749785040349E-3</v>
      </c>
      <c r="C428" s="7">
        <v>5.7401812688822051E-3</v>
      </c>
      <c r="D428" s="7">
        <v>3.0120481927711218E-3</v>
      </c>
      <c r="E428" s="7">
        <v>4.8233607091643371E-3</v>
      </c>
      <c r="F428" s="7">
        <v>6.3893792108991043E-3</v>
      </c>
      <c r="G428" s="7"/>
      <c r="H428" s="7">
        <f t="shared" si="27"/>
        <v>-4.5837042323950694E-3</v>
      </c>
      <c r="I428" s="7">
        <f t="shared" si="28"/>
        <v>-6.4919794201689918E-4</v>
      </c>
      <c r="J428" s="7">
        <f t="shared" si="29"/>
        <v>-3.3773310181279825E-3</v>
      </c>
      <c r="K428" s="7">
        <f t="shared" si="30"/>
        <v>-1.5660185017347672E-3</v>
      </c>
      <c r="L428" s="7"/>
    </row>
    <row r="429" spans="1:12" x14ac:dyDescent="0.25">
      <c r="A429" s="2" t="s">
        <v>86</v>
      </c>
      <c r="B429" s="7">
        <v>1.6741705643222415E-2</v>
      </c>
      <c r="C429" s="7">
        <v>-1.2726188108967973E-2</v>
      </c>
      <c r="D429" s="7">
        <v>1.2195121951219523E-2</v>
      </c>
      <c r="E429" s="7">
        <v>-2.0681731137495274E-2</v>
      </c>
      <c r="F429" s="7">
        <v>2.826181805230199E-3</v>
      </c>
      <c r="G429" s="7"/>
      <c r="H429" s="7">
        <f t="shared" si="27"/>
        <v>1.3915523837992216E-2</v>
      </c>
      <c r="I429" s="7">
        <f t="shared" si="28"/>
        <v>-1.5552369914198172E-2</v>
      </c>
      <c r="J429" s="7">
        <f t="shared" si="29"/>
        <v>9.368940145989324E-3</v>
      </c>
      <c r="K429" s="7">
        <f t="shared" si="30"/>
        <v>-2.3507912942725473E-2</v>
      </c>
      <c r="L429" s="7"/>
    </row>
    <row r="430" spans="1:12" x14ac:dyDescent="0.25">
      <c r="A430" s="2" t="s">
        <v>584</v>
      </c>
      <c r="B430" s="7">
        <v>1.3063501904171604E-2</v>
      </c>
      <c r="C430" s="7">
        <v>7.9166249123157062E-3</v>
      </c>
      <c r="D430" s="7">
        <v>-1.2048192771084376E-2</v>
      </c>
      <c r="E430" s="7">
        <v>1.4505893019039151E-2</v>
      </c>
      <c r="F430" s="7">
        <v>5.5170166208855509E-3</v>
      </c>
      <c r="G430" s="7"/>
      <c r="H430" s="7">
        <f t="shared" si="27"/>
        <v>7.5464852832860529E-3</v>
      </c>
      <c r="I430" s="7">
        <f t="shared" si="28"/>
        <v>2.3996082914301553E-3</v>
      </c>
      <c r="J430" s="7">
        <f t="shared" si="29"/>
        <v>-1.7565209391969927E-2</v>
      </c>
      <c r="K430" s="7">
        <f t="shared" si="30"/>
        <v>8.9888763981536002E-3</v>
      </c>
      <c r="L430" s="7"/>
    </row>
    <row r="431" spans="1:12" x14ac:dyDescent="0.25">
      <c r="A431" s="2" t="s">
        <v>585</v>
      </c>
      <c r="B431" s="7">
        <v>-2.3227648254682265E-2</v>
      </c>
      <c r="C431" s="7">
        <v>1.5364265364265384E-2</v>
      </c>
      <c r="D431" s="7">
        <v>1.2195121951219523E-2</v>
      </c>
      <c r="E431" s="7">
        <v>3.2909698996655523E-2</v>
      </c>
      <c r="F431" s="7">
        <v>-8.763008283767415E-3</v>
      </c>
      <c r="G431" s="7"/>
      <c r="H431" s="7">
        <f t="shared" si="27"/>
        <v>-1.446463997091485E-2</v>
      </c>
      <c r="I431" s="7">
        <f t="shared" si="28"/>
        <v>2.4127273648032799E-2</v>
      </c>
      <c r="J431" s="7">
        <f t="shared" si="29"/>
        <v>2.0958130234986938E-2</v>
      </c>
      <c r="K431" s="7">
        <f t="shared" si="30"/>
        <v>4.1672707280422938E-2</v>
      </c>
      <c r="L431" s="7"/>
    </row>
    <row r="432" spans="1:12" x14ac:dyDescent="0.25">
      <c r="A432" s="2" t="s">
        <v>586</v>
      </c>
      <c r="B432" s="7">
        <v>1.8817204301075252E-2</v>
      </c>
      <c r="C432" s="7">
        <v>1.9819445885649101E-2</v>
      </c>
      <c r="D432" s="7">
        <v>3.0581039755350758E-3</v>
      </c>
      <c r="E432" s="7">
        <v>4.164427727028519E-3</v>
      </c>
      <c r="F432" s="7">
        <v>1.0208033738690059E-2</v>
      </c>
      <c r="G432" s="7"/>
      <c r="H432" s="7">
        <f t="shared" si="27"/>
        <v>8.6091705623851933E-3</v>
      </c>
      <c r="I432" s="7">
        <f t="shared" si="28"/>
        <v>9.6114121469590419E-3</v>
      </c>
      <c r="J432" s="7">
        <f t="shared" si="29"/>
        <v>-7.149929763154983E-3</v>
      </c>
      <c r="K432" s="7">
        <f t="shared" si="30"/>
        <v>-6.0436060116615398E-3</v>
      </c>
      <c r="L432" s="7"/>
    </row>
    <row r="433" spans="1:12" x14ac:dyDescent="0.25">
      <c r="A433" s="2" t="s">
        <v>587</v>
      </c>
      <c r="B433" s="7">
        <v>3.7598973769186195E-3</v>
      </c>
      <c r="C433" s="7">
        <v>-1.391589071932875E-2</v>
      </c>
      <c r="D433" s="7">
        <v>-1.2084592145015116E-2</v>
      </c>
      <c r="E433" s="7">
        <v>2.9883785279468666E-2</v>
      </c>
      <c r="F433" s="7">
        <v>7.410929775606423E-4</v>
      </c>
      <c r="G433" s="7"/>
      <c r="H433" s="7">
        <f t="shared" si="27"/>
        <v>3.0188043993579772E-3</v>
      </c>
      <c r="I433" s="7">
        <f t="shared" si="28"/>
        <v>-1.4656983696889392E-2</v>
      </c>
      <c r="J433" s="7">
        <f t="shared" si="29"/>
        <v>-1.2825685122575758E-2</v>
      </c>
      <c r="K433" s="7">
        <f t="shared" si="30"/>
        <v>2.9142692301908024E-2</v>
      </c>
      <c r="L433" s="7"/>
    </row>
    <row r="434" spans="1:12" x14ac:dyDescent="0.25">
      <c r="A434" s="2" t="s">
        <v>87</v>
      </c>
      <c r="B434" s="7">
        <v>6.5449688334817679E-3</v>
      </c>
      <c r="C434" s="7">
        <v>-2.2460438999489796E-3</v>
      </c>
      <c r="D434" s="7">
        <v>-2.0710059171597628E-2</v>
      </c>
      <c r="E434" s="7">
        <v>-1.3646288209607005E-2</v>
      </c>
      <c r="F434" s="7">
        <v>1.0166708878267539E-3</v>
      </c>
      <c r="G434" s="7"/>
      <c r="H434" s="7">
        <f t="shared" si="27"/>
        <v>5.5282979456550141E-3</v>
      </c>
      <c r="I434" s="7">
        <f t="shared" si="28"/>
        <v>-3.2627147877757334E-3</v>
      </c>
      <c r="J434" s="7">
        <f t="shared" si="29"/>
        <v>-2.1726730059424382E-2</v>
      </c>
      <c r="K434" s="7">
        <f t="shared" si="30"/>
        <v>-1.4662959097433759E-2</v>
      </c>
      <c r="L434" s="7"/>
    </row>
    <row r="435" spans="1:12" x14ac:dyDescent="0.25">
      <c r="A435" s="2" t="s">
        <v>588</v>
      </c>
      <c r="B435" s="7">
        <v>2.1605640209233501E-2</v>
      </c>
      <c r="C435" s="7">
        <v>-2.951954397394041E-3</v>
      </c>
      <c r="D435" s="7">
        <v>-3.1518624641833859E-2</v>
      </c>
      <c r="E435" s="7">
        <v>-1.3860853182613431E-2</v>
      </c>
      <c r="F435" s="7">
        <v>5.4487793072806046E-3</v>
      </c>
      <c r="G435" s="7"/>
      <c r="H435" s="7">
        <f t="shared" si="27"/>
        <v>1.6156860901952896E-2</v>
      </c>
      <c r="I435" s="7">
        <f t="shared" si="28"/>
        <v>-8.4007337046746455E-3</v>
      </c>
      <c r="J435" s="7">
        <f t="shared" si="29"/>
        <v>-3.6967403949114463E-2</v>
      </c>
      <c r="K435" s="7">
        <f t="shared" si="30"/>
        <v>-1.9309632489894035E-2</v>
      </c>
      <c r="L435" s="7"/>
    </row>
    <row r="436" spans="1:12" x14ac:dyDescent="0.25">
      <c r="A436" s="2" t="s">
        <v>589</v>
      </c>
      <c r="B436" s="7">
        <v>5.8102296641961981E-3</v>
      </c>
      <c r="C436" s="7">
        <v>0</v>
      </c>
      <c r="D436" s="7">
        <v>-2.8571428571427804E-3</v>
      </c>
      <c r="E436" s="7">
        <v>2.553132762903676E-2</v>
      </c>
      <c r="F436" s="7">
        <v>5.0843981041965858E-3</v>
      </c>
      <c r="G436" s="7"/>
      <c r="H436" s="7">
        <f t="shared" si="27"/>
        <v>7.2583155999961235E-4</v>
      </c>
      <c r="I436" s="7">
        <f t="shared" si="28"/>
        <v>-5.0843981041965858E-3</v>
      </c>
      <c r="J436" s="7">
        <f t="shared" si="29"/>
        <v>-7.9415409613393662E-3</v>
      </c>
      <c r="K436" s="7">
        <f t="shared" si="30"/>
        <v>2.0446929524840174E-2</v>
      </c>
      <c r="L436" s="7"/>
    </row>
    <row r="437" spans="1:12" x14ac:dyDescent="0.25">
      <c r="A437" s="2" t="s">
        <v>590</v>
      </c>
      <c r="B437" s="7">
        <v>1.6225765958435945E-2</v>
      </c>
      <c r="C437" s="7">
        <v>1.007608472136523E-2</v>
      </c>
      <c r="D437" s="7">
        <v>0</v>
      </c>
      <c r="E437" s="7">
        <v>2.0850943927866794E-2</v>
      </c>
      <c r="F437" s="7">
        <v>6.195331948881222E-3</v>
      </c>
      <c r="G437" s="7"/>
      <c r="H437" s="7">
        <f t="shared" si="27"/>
        <v>1.0030434009554723E-2</v>
      </c>
      <c r="I437" s="7">
        <f t="shared" si="28"/>
        <v>3.8807527724840085E-3</v>
      </c>
      <c r="J437" s="7">
        <f t="shared" si="29"/>
        <v>-6.195331948881222E-3</v>
      </c>
      <c r="K437" s="7">
        <f t="shared" si="30"/>
        <v>1.4655611978985572E-2</v>
      </c>
      <c r="L437" s="7"/>
    </row>
    <row r="438" spans="1:12" x14ac:dyDescent="0.25">
      <c r="A438" s="2" t="s">
        <v>88</v>
      </c>
      <c r="B438" s="7">
        <v>2.9138755980861353E-2</v>
      </c>
      <c r="C438" s="7">
        <v>-1.5487397509869383E-2</v>
      </c>
      <c r="D438" s="7">
        <v>0</v>
      </c>
      <c r="E438" s="7">
        <v>2.5423728813560587E-3</v>
      </c>
      <c r="F438" s="7">
        <v>2.6755889592124937E-3</v>
      </c>
      <c r="G438" s="7"/>
      <c r="H438" s="7">
        <f t="shared" si="27"/>
        <v>2.6463167021648859E-2</v>
      </c>
      <c r="I438" s="7">
        <f t="shared" si="28"/>
        <v>-1.8162986469081877E-2</v>
      </c>
      <c r="J438" s="7">
        <f t="shared" si="29"/>
        <v>-2.6755889592124937E-3</v>
      </c>
      <c r="K438" s="7">
        <f t="shared" si="30"/>
        <v>-1.3321607785643508E-4</v>
      </c>
      <c r="L438" s="7"/>
    </row>
    <row r="439" spans="1:12" x14ac:dyDescent="0.25">
      <c r="A439" s="2" t="s">
        <v>591</v>
      </c>
      <c r="B439" s="7">
        <v>-1.6285418431704834E-2</v>
      </c>
      <c r="C439" s="7">
        <v>-9.4254487115210672E-3</v>
      </c>
      <c r="D439" s="7">
        <v>-5.6818181818182323E-3</v>
      </c>
      <c r="E439" s="7">
        <v>-5.1988197274133174E-3</v>
      </c>
      <c r="F439" s="7">
        <v>-4.0836277351096184E-3</v>
      </c>
      <c r="G439" s="7"/>
      <c r="H439" s="7">
        <f t="shared" si="27"/>
        <v>-1.2201790696595216E-2</v>
      </c>
      <c r="I439" s="7">
        <f t="shared" si="28"/>
        <v>-5.3418209764114488E-3</v>
      </c>
      <c r="J439" s="7">
        <f t="shared" si="29"/>
        <v>-1.5981904467086139E-3</v>
      </c>
      <c r="K439" s="7">
        <f t="shared" si="30"/>
        <v>-1.115191992303699E-3</v>
      </c>
      <c r="L439" s="7"/>
    </row>
    <row r="440" spans="1:12" x14ac:dyDescent="0.25">
      <c r="A440" s="2" t="s">
        <v>592</v>
      </c>
      <c r="B440" s="7">
        <v>4.0168234015405258E-3</v>
      </c>
      <c r="C440" s="7">
        <v>1.6926685020903554E-2</v>
      </c>
      <c r="D440" s="7">
        <v>-1.1235955056179803E-2</v>
      </c>
      <c r="E440" s="7">
        <v>-2.4266520427748794E-2</v>
      </c>
      <c r="F440" s="7">
        <v>9.0728198762302092E-4</v>
      </c>
      <c r="G440" s="7"/>
      <c r="H440" s="7">
        <f t="shared" si="27"/>
        <v>3.1095414139175048E-3</v>
      </c>
      <c r="I440" s="7">
        <f t="shared" si="28"/>
        <v>1.6019403033280533E-2</v>
      </c>
      <c r="J440" s="7">
        <f t="shared" si="29"/>
        <v>-1.2143237043802824E-2</v>
      </c>
      <c r="K440" s="7">
        <f t="shared" si="30"/>
        <v>-2.5173802415371815E-2</v>
      </c>
      <c r="L440" s="7"/>
    </row>
    <row r="441" spans="1:12" x14ac:dyDescent="0.25">
      <c r="A441" s="2" t="s">
        <v>593</v>
      </c>
      <c r="B441" s="7">
        <v>1.9954692244661842E-2</v>
      </c>
      <c r="C441" s="7">
        <v>-5.8793715154588089E-3</v>
      </c>
      <c r="D441" s="7">
        <v>1.1363636363636465E-2</v>
      </c>
      <c r="E441" s="7">
        <v>5.2370452039691706E-3</v>
      </c>
      <c r="F441" s="7">
        <v>1.5724132887204867E-3</v>
      </c>
      <c r="G441" s="7"/>
      <c r="H441" s="7">
        <f t="shared" si="27"/>
        <v>1.8382278955941356E-2</v>
      </c>
      <c r="I441" s="7">
        <f t="shared" si="28"/>
        <v>-7.4517848041792956E-3</v>
      </c>
      <c r="J441" s="7">
        <f t="shared" si="29"/>
        <v>9.7912230749159779E-3</v>
      </c>
      <c r="K441" s="7">
        <f t="shared" si="30"/>
        <v>3.6646319152486839E-3</v>
      </c>
      <c r="L441" s="7"/>
    </row>
    <row r="442" spans="1:12" x14ac:dyDescent="0.25">
      <c r="A442" s="2" t="s">
        <v>594</v>
      </c>
      <c r="B442" s="7">
        <v>4.5027597559794685E-3</v>
      </c>
      <c r="C442" s="7">
        <v>-9.140216954600211E-3</v>
      </c>
      <c r="D442" s="7">
        <v>5.7142857142857828E-3</v>
      </c>
      <c r="E442" s="7">
        <v>-1.3460231135282053E-2</v>
      </c>
      <c r="F442" s="7">
        <v>3.9336474622191364E-3</v>
      </c>
      <c r="G442" s="7"/>
      <c r="H442" s="7">
        <f t="shared" si="27"/>
        <v>5.6911229376033212E-4</v>
      </c>
      <c r="I442" s="7">
        <f t="shared" si="28"/>
        <v>-1.3073864416819347E-2</v>
      </c>
      <c r="J442" s="7">
        <f t="shared" si="29"/>
        <v>1.7806382520666464E-3</v>
      </c>
      <c r="K442" s="7">
        <f t="shared" si="30"/>
        <v>-1.7393878597501189E-2</v>
      </c>
      <c r="L442" s="7"/>
    </row>
    <row r="443" spans="1:12" x14ac:dyDescent="0.25">
      <c r="A443" s="2" t="s">
        <v>89</v>
      </c>
      <c r="B443" s="7">
        <v>3.1083050024283132E-3</v>
      </c>
      <c r="C443" s="7">
        <v>5.8597696504343322E-3</v>
      </c>
      <c r="D443" s="7">
        <v>1.1560693641618602E-2</v>
      </c>
      <c r="E443" s="7">
        <v>1.5182884748102143E-2</v>
      </c>
      <c r="F443" s="7">
        <v>-3.0651719607218686E-3</v>
      </c>
      <c r="G443" s="7"/>
      <c r="H443" s="7">
        <f t="shared" si="27"/>
        <v>6.1734769631501818E-3</v>
      </c>
      <c r="I443" s="7">
        <f t="shared" si="28"/>
        <v>8.9249416111562008E-3</v>
      </c>
      <c r="J443" s="7">
        <f t="shared" si="29"/>
        <v>1.4625865602340471E-2</v>
      </c>
      <c r="K443" s="7">
        <f t="shared" si="30"/>
        <v>1.8248056708824012E-2</v>
      </c>
      <c r="L443" s="7"/>
    </row>
    <row r="444" spans="1:12" x14ac:dyDescent="0.25">
      <c r="A444" s="2" t="s">
        <v>595</v>
      </c>
      <c r="B444" s="7">
        <v>-1.0429182486663136E-2</v>
      </c>
      <c r="C444" s="7">
        <v>7.1225071225071712E-3</v>
      </c>
      <c r="D444" s="7">
        <v>1.7647058823529349E-2</v>
      </c>
      <c r="E444" s="7">
        <v>-9.0274928190398063E-3</v>
      </c>
      <c r="F444" s="7">
        <v>-1.5621659842468549E-3</v>
      </c>
      <c r="G444" s="7"/>
      <c r="H444" s="7">
        <f t="shared" si="27"/>
        <v>-8.8670165024162806E-3</v>
      </c>
      <c r="I444" s="7">
        <f t="shared" si="28"/>
        <v>8.6846731067540262E-3</v>
      </c>
      <c r="J444" s="7">
        <f t="shared" si="29"/>
        <v>1.9209224807776204E-2</v>
      </c>
      <c r="K444" s="7">
        <f t="shared" si="30"/>
        <v>-7.4653268347929513E-3</v>
      </c>
      <c r="L444" s="7"/>
    </row>
    <row r="445" spans="1:12" x14ac:dyDescent="0.25">
      <c r="A445" s="2" t="s">
        <v>596</v>
      </c>
      <c r="B445" s="7">
        <v>-2.1537738067246681E-2</v>
      </c>
      <c r="C445" s="7">
        <v>8.9313212195873959E-3</v>
      </c>
      <c r="D445" s="7">
        <v>1.1904761904761862E-2</v>
      </c>
      <c r="E445" s="7">
        <v>-1.502321770008197E-3</v>
      </c>
      <c r="F445" s="7">
        <v>-2.5259566650810417E-3</v>
      </c>
      <c r="G445" s="7"/>
      <c r="H445" s="7">
        <f t="shared" si="27"/>
        <v>-1.9011781402165639E-2</v>
      </c>
      <c r="I445" s="7">
        <f t="shared" si="28"/>
        <v>1.1457277884668438E-2</v>
      </c>
      <c r="J445" s="7">
        <f t="shared" si="29"/>
        <v>1.4430718569842904E-2</v>
      </c>
      <c r="K445" s="7">
        <f t="shared" si="30"/>
        <v>1.0236348950728447E-3</v>
      </c>
      <c r="L445" s="7"/>
    </row>
    <row r="446" spans="1:12" x14ac:dyDescent="0.25">
      <c r="A446" s="2" t="s">
        <v>597</v>
      </c>
      <c r="B446" s="7">
        <v>-1.0976233663550494E-2</v>
      </c>
      <c r="C446" s="7">
        <v>2.3667421280098022E-3</v>
      </c>
      <c r="D446" s="7">
        <v>1.8181818181818299E-2</v>
      </c>
      <c r="E446" s="7">
        <v>-1.2276633474287424E-3</v>
      </c>
      <c r="F446" s="7">
        <v>2.5213630708009749E-3</v>
      </c>
      <c r="G446" s="7"/>
      <c r="H446" s="7">
        <f t="shared" si="27"/>
        <v>-1.3497596734351469E-2</v>
      </c>
      <c r="I446" s="7">
        <f t="shared" si="28"/>
        <v>-1.5462094279117267E-4</v>
      </c>
      <c r="J446" s="7">
        <f t="shared" si="29"/>
        <v>1.5660455111017324E-2</v>
      </c>
      <c r="K446" s="7">
        <f t="shared" si="30"/>
        <v>-3.7490264182297173E-3</v>
      </c>
      <c r="L446" s="7"/>
    </row>
    <row r="447" spans="1:12" x14ac:dyDescent="0.25">
      <c r="A447" s="2" t="s">
        <v>90</v>
      </c>
      <c r="B447" s="7">
        <v>1.9681305131366678E-2</v>
      </c>
      <c r="C447" s="7">
        <v>-3.690793520606972E-3</v>
      </c>
      <c r="D447" s="7">
        <v>-6.0240963855421326E-3</v>
      </c>
      <c r="E447" s="7">
        <v>1.6359351171495895E-2</v>
      </c>
      <c r="F447" s="7">
        <v>7.6644082774870448E-3</v>
      </c>
      <c r="G447" s="7"/>
      <c r="H447" s="7">
        <f t="shared" si="27"/>
        <v>1.2016896853879633E-2</v>
      </c>
      <c r="I447" s="7">
        <f t="shared" si="28"/>
        <v>-1.1355201798094017E-2</v>
      </c>
      <c r="J447" s="7">
        <f t="shared" si="29"/>
        <v>-1.3688504663029177E-2</v>
      </c>
      <c r="K447" s="7">
        <f t="shared" si="30"/>
        <v>8.6949428940088502E-3</v>
      </c>
      <c r="L447" s="7"/>
    </row>
    <row r="448" spans="1:12" x14ac:dyDescent="0.25">
      <c r="A448" s="2" t="s">
        <v>598</v>
      </c>
      <c r="B448" s="7">
        <v>-8.1843838193790264E-3</v>
      </c>
      <c r="C448" s="7">
        <v>-6.3162184189078374E-3</v>
      </c>
      <c r="D448" s="7">
        <v>-1.7751479289940808E-2</v>
      </c>
      <c r="E448" s="7">
        <v>-3.0771298038161921E-2</v>
      </c>
      <c r="F448" s="7">
        <v>-3.9383555341243603E-4</v>
      </c>
      <c r="G448" s="7"/>
      <c r="H448" s="7">
        <f t="shared" si="27"/>
        <v>-7.7905482659665903E-3</v>
      </c>
      <c r="I448" s="7">
        <f t="shared" si="28"/>
        <v>-5.9223828654954014E-3</v>
      </c>
      <c r="J448" s="7">
        <f t="shared" si="29"/>
        <v>-1.7357643736528372E-2</v>
      </c>
      <c r="K448" s="7">
        <f t="shared" si="30"/>
        <v>-3.0377462484749485E-2</v>
      </c>
      <c r="L448" s="7"/>
    </row>
    <row r="449" spans="1:12" x14ac:dyDescent="0.25">
      <c r="A449" s="2" t="s">
        <v>599</v>
      </c>
      <c r="B449" s="7">
        <v>5.5337463936053766E-3</v>
      </c>
      <c r="C449" s="7">
        <v>3.2706459525755349E-3</v>
      </c>
      <c r="D449" s="7">
        <v>-1.1695906432748537E-2</v>
      </c>
      <c r="E449" s="7">
        <v>-9.186526427905739E-3</v>
      </c>
      <c r="F449" s="7">
        <v>2.3445728948188194E-3</v>
      </c>
      <c r="G449" s="7"/>
      <c r="H449" s="7">
        <f t="shared" si="27"/>
        <v>3.1891734987865572E-3</v>
      </c>
      <c r="I449" s="7">
        <f t="shared" si="28"/>
        <v>9.2607305775671556E-4</v>
      </c>
      <c r="J449" s="7">
        <f t="shared" si="29"/>
        <v>-1.4040479327567357E-2</v>
      </c>
      <c r="K449" s="7">
        <f t="shared" si="30"/>
        <v>-1.1531099322724558E-2</v>
      </c>
      <c r="L449" s="7"/>
    </row>
    <row r="450" spans="1:12" x14ac:dyDescent="0.25">
      <c r="A450" s="2" t="s">
        <v>600</v>
      </c>
      <c r="B450" s="7">
        <v>2.85561393267173E-2</v>
      </c>
      <c r="C450" s="7">
        <v>-1.1230219499744898E-3</v>
      </c>
      <c r="D450" s="7">
        <v>8.8495575221239076E-3</v>
      </c>
      <c r="E450" s="7">
        <v>1.7337956788476827E-3</v>
      </c>
      <c r="F450" s="7">
        <v>8.503679780924589E-3</v>
      </c>
      <c r="G450" s="7"/>
      <c r="H450" s="7">
        <f t="shared" si="27"/>
        <v>2.0052459545792711E-2</v>
      </c>
      <c r="I450" s="7">
        <f t="shared" si="28"/>
        <v>-9.6267017308990788E-3</v>
      </c>
      <c r="J450" s="7">
        <f t="shared" si="29"/>
        <v>3.4587774119931858E-4</v>
      </c>
      <c r="K450" s="7">
        <f t="shared" si="30"/>
        <v>-6.7698841020769063E-3</v>
      </c>
      <c r="L450" s="7"/>
    </row>
    <row r="451" spans="1:12" x14ac:dyDescent="0.25">
      <c r="A451" s="2" t="s">
        <v>601</v>
      </c>
      <c r="B451" s="7">
        <v>7.2636192861615712E-2</v>
      </c>
      <c r="C451" s="7">
        <v>6.5769191244475778E-3</v>
      </c>
      <c r="D451" s="7">
        <v>-1.4534883720930147E-2</v>
      </c>
      <c r="E451" s="7">
        <v>-1.7557651991614076E-2</v>
      </c>
      <c r="F451" s="7">
        <v>2.7104214117694703E-3</v>
      </c>
      <c r="G451" s="7"/>
      <c r="H451" s="7">
        <f t="shared" ref="H451:H514" si="31">B451-$F451</f>
        <v>6.9925771449846241E-2</v>
      </c>
      <c r="I451" s="7">
        <f t="shared" ref="I451:I514" si="32">C451-$F451</f>
        <v>3.8664977126781075E-3</v>
      </c>
      <c r="J451" s="7">
        <f t="shared" ref="J451:J514" si="33">D451-$F451</f>
        <v>-1.7245305132699618E-2</v>
      </c>
      <c r="K451" s="7">
        <f t="shared" ref="K451:K514" si="34">E451-$F451</f>
        <v>-2.0268073403383546E-2</v>
      </c>
      <c r="L451" s="7"/>
    </row>
    <row r="452" spans="1:12" x14ac:dyDescent="0.25">
      <c r="A452" s="2" t="s">
        <v>91</v>
      </c>
      <c r="B452" s="7">
        <v>-1.9142184461050316E-2</v>
      </c>
      <c r="C452" s="7">
        <v>-1.9487179487178707E-3</v>
      </c>
      <c r="D452" s="7">
        <v>-2.8985507246377384E-3</v>
      </c>
      <c r="E452" s="7">
        <v>1.1262753411951598E-2</v>
      </c>
      <c r="F452" s="7">
        <v>2.5808913052016713E-3</v>
      </c>
      <c r="G452" s="7"/>
      <c r="H452" s="7">
        <f t="shared" si="31"/>
        <v>-2.1723075766251987E-2</v>
      </c>
      <c r="I452" s="7">
        <f t="shared" si="32"/>
        <v>-4.5296092539195421E-3</v>
      </c>
      <c r="J452" s="7">
        <f t="shared" si="33"/>
        <v>-5.4794420298394098E-3</v>
      </c>
      <c r="K452" s="7">
        <f t="shared" si="34"/>
        <v>8.6818621067499269E-3</v>
      </c>
      <c r="L452" s="7"/>
    </row>
    <row r="453" spans="1:12" x14ac:dyDescent="0.25">
      <c r="A453" s="2" t="s">
        <v>602</v>
      </c>
      <c r="B453" s="7">
        <v>1.238406135032899E-2</v>
      </c>
      <c r="C453" s="7">
        <v>2.6856240126382325E-2</v>
      </c>
      <c r="D453" s="7">
        <v>-1.4285714285714235E-2</v>
      </c>
      <c r="E453" s="7">
        <v>-1.9997402934683883E-2</v>
      </c>
      <c r="F453" s="7">
        <v>-1.1152708034434244E-3</v>
      </c>
      <c r="G453" s="7"/>
      <c r="H453" s="7">
        <f t="shared" si="31"/>
        <v>1.3499332153772414E-2</v>
      </c>
      <c r="I453" s="7">
        <f t="shared" si="32"/>
        <v>2.7971510929825749E-2</v>
      </c>
      <c r="J453" s="7">
        <f t="shared" si="33"/>
        <v>-1.3170443482270811E-2</v>
      </c>
      <c r="K453" s="7">
        <f t="shared" si="34"/>
        <v>-1.8882132131240459E-2</v>
      </c>
      <c r="L453" s="7"/>
    </row>
    <row r="454" spans="1:12" x14ac:dyDescent="0.25">
      <c r="A454" s="2" t="s">
        <v>603</v>
      </c>
      <c r="B454" s="7">
        <v>-7.0998610896743086E-3</v>
      </c>
      <c r="C454" s="7">
        <v>-8.4586466165413876E-3</v>
      </c>
      <c r="D454" s="7">
        <v>-2.8490028490028019E-3</v>
      </c>
      <c r="E454" s="7">
        <v>2.3428348301446356E-3</v>
      </c>
      <c r="F454" s="7">
        <v>-1.9984945919238051E-4</v>
      </c>
      <c r="G454" s="7"/>
      <c r="H454" s="7">
        <f t="shared" si="31"/>
        <v>-6.9000116304819281E-3</v>
      </c>
      <c r="I454" s="7">
        <f t="shared" si="32"/>
        <v>-8.2587971573490071E-3</v>
      </c>
      <c r="J454" s="7">
        <f t="shared" si="33"/>
        <v>-2.6491533898104214E-3</v>
      </c>
      <c r="K454" s="7">
        <f t="shared" si="34"/>
        <v>2.5426842893370161E-3</v>
      </c>
      <c r="L454" s="7"/>
    </row>
    <row r="455" spans="1:12" x14ac:dyDescent="0.25">
      <c r="A455" s="2" t="s">
        <v>604</v>
      </c>
      <c r="B455" s="7">
        <v>7.8295136368349283E-3</v>
      </c>
      <c r="C455" s="7">
        <v>4.5106472254274887E-3</v>
      </c>
      <c r="D455" s="7">
        <v>2.631578947368407E-2</v>
      </c>
      <c r="E455" s="7">
        <v>1.7481128327373696E-2</v>
      </c>
      <c r="F455" s="7">
        <v>1.1847660516995706E-2</v>
      </c>
      <c r="G455" s="7"/>
      <c r="H455" s="7">
        <f t="shared" si="31"/>
        <v>-4.0181468801607778E-3</v>
      </c>
      <c r="I455" s="7">
        <f t="shared" si="32"/>
        <v>-7.3370132915682174E-3</v>
      </c>
      <c r="J455" s="7">
        <f t="shared" si="33"/>
        <v>1.4468128956688364E-2</v>
      </c>
      <c r="K455" s="7">
        <f t="shared" si="34"/>
        <v>5.63346781037799E-3</v>
      </c>
      <c r="L455" s="7"/>
    </row>
    <row r="456" spans="1:12" x14ac:dyDescent="0.25">
      <c r="A456" s="2" t="s">
        <v>605</v>
      </c>
      <c r="B456" s="7">
        <v>1.6619923132856762E-3</v>
      </c>
      <c r="C456" s="7">
        <v>-1.1509746992948933E-2</v>
      </c>
      <c r="D456" s="7">
        <v>-2.564102564102555E-2</v>
      </c>
      <c r="E456" s="7">
        <v>7.0685516137636295E-3</v>
      </c>
      <c r="F456" s="7">
        <v>1.5028201536890773E-3</v>
      </c>
      <c r="G456" s="7"/>
      <c r="H456" s="7">
        <f t="shared" si="31"/>
        <v>1.5917215959659892E-4</v>
      </c>
      <c r="I456" s="7">
        <f t="shared" si="32"/>
        <v>-1.301256714663801E-2</v>
      </c>
      <c r="J456" s="7">
        <f t="shared" si="33"/>
        <v>-2.7143845794714627E-2</v>
      </c>
      <c r="K456" s="7">
        <f t="shared" si="34"/>
        <v>5.5657314600745522E-3</v>
      </c>
      <c r="L456" s="7"/>
    </row>
    <row r="457" spans="1:12" x14ac:dyDescent="0.25">
      <c r="A457" s="2" t="s">
        <v>92</v>
      </c>
      <c r="B457" s="7">
        <v>9.278188394401532E-3</v>
      </c>
      <c r="C457" s="7">
        <v>-3.8219192232208377E-3</v>
      </c>
      <c r="D457" s="7">
        <v>-5.6657223796033884E-3</v>
      </c>
      <c r="E457" s="7">
        <v>-5.5702917771883742E-3</v>
      </c>
      <c r="F457" s="7">
        <v>1.116056625188655E-3</v>
      </c>
      <c r="G457" s="7"/>
      <c r="H457" s="7">
        <f t="shared" si="31"/>
        <v>8.162131769212877E-3</v>
      </c>
      <c r="I457" s="7">
        <f t="shared" si="32"/>
        <v>-4.9379758484094927E-3</v>
      </c>
      <c r="J457" s="7">
        <f t="shared" si="33"/>
        <v>-6.7817790047920434E-3</v>
      </c>
      <c r="K457" s="7">
        <f t="shared" si="34"/>
        <v>-6.6863484023770292E-3</v>
      </c>
      <c r="L457" s="7"/>
    </row>
    <row r="458" spans="1:12" x14ac:dyDescent="0.25">
      <c r="A458" s="2" t="s">
        <v>606</v>
      </c>
      <c r="B458" s="7">
        <v>5.0047413338953906E-3</v>
      </c>
      <c r="C458" s="7">
        <v>1.9804066154008204E-2</v>
      </c>
      <c r="D458" s="7">
        <v>0</v>
      </c>
      <c r="E458" s="7">
        <v>-1.617954070981209E-2</v>
      </c>
      <c r="F458" s="7">
        <v>8.0279172110295782E-3</v>
      </c>
      <c r="G458" s="7"/>
      <c r="H458" s="7">
        <f t="shared" si="31"/>
        <v>-3.0231758771341877E-3</v>
      </c>
      <c r="I458" s="7">
        <f t="shared" si="32"/>
        <v>1.1776148942978626E-2</v>
      </c>
      <c r="J458" s="7">
        <f t="shared" si="33"/>
        <v>-8.0279172110295782E-3</v>
      </c>
      <c r="K458" s="7">
        <f t="shared" si="34"/>
        <v>-2.4207457920841668E-2</v>
      </c>
      <c r="L458" s="7"/>
    </row>
    <row r="459" spans="1:12" x14ac:dyDescent="0.25">
      <c r="A459" s="2" t="s">
        <v>607</v>
      </c>
      <c r="B459" s="7">
        <v>5.2428109940156897E-3</v>
      </c>
      <c r="C459" s="7">
        <v>6.5740642561764595E-3</v>
      </c>
      <c r="D459" s="7">
        <v>7.2948328267477214E-2</v>
      </c>
      <c r="E459" s="7">
        <v>7.2282822972795646E-3</v>
      </c>
      <c r="F459" s="7">
        <v>-5.9749950160910004E-3</v>
      </c>
      <c r="G459" s="7"/>
      <c r="H459" s="7">
        <f t="shared" si="31"/>
        <v>1.121780601010669E-2</v>
      </c>
      <c r="I459" s="7">
        <f t="shared" si="32"/>
        <v>1.254905927226746E-2</v>
      </c>
      <c r="J459" s="7">
        <f t="shared" si="33"/>
        <v>7.8923323283568214E-2</v>
      </c>
      <c r="K459" s="7">
        <f t="shared" si="34"/>
        <v>1.3203277313370565E-2</v>
      </c>
      <c r="L459" s="7"/>
    </row>
    <row r="460" spans="1:12" x14ac:dyDescent="0.25">
      <c r="A460" s="2" t="s">
        <v>608</v>
      </c>
      <c r="B460" s="7">
        <v>1.5912586856203781E-3</v>
      </c>
      <c r="C460" s="7">
        <v>-1.1321941503302235E-2</v>
      </c>
      <c r="D460" s="7">
        <v>-8.8642659279778324E-2</v>
      </c>
      <c r="E460" s="7">
        <v>-1.8953068592057698E-2</v>
      </c>
      <c r="F460" s="7">
        <v>-7.3670760114887823E-3</v>
      </c>
      <c r="G460" s="7"/>
      <c r="H460" s="7">
        <f t="shared" si="31"/>
        <v>8.9583346971091604E-3</v>
      </c>
      <c r="I460" s="7">
        <f t="shared" si="32"/>
        <v>-3.9548654918134529E-3</v>
      </c>
      <c r="J460" s="7">
        <f t="shared" si="33"/>
        <v>-8.1275583268289542E-2</v>
      </c>
      <c r="K460" s="7">
        <f t="shared" si="34"/>
        <v>-1.1585992580568916E-2</v>
      </c>
      <c r="L460" s="7"/>
    </row>
    <row r="461" spans="1:12" x14ac:dyDescent="0.25">
      <c r="A461" s="2" t="s">
        <v>609</v>
      </c>
      <c r="B461" s="7">
        <v>5.3044769785737245E-5</v>
      </c>
      <c r="C461" s="7">
        <v>-9.9636741048261257E-3</v>
      </c>
      <c r="D461" s="7">
        <v>-1.0958904109588996E-2</v>
      </c>
      <c r="E461" s="7">
        <v>-8.310957678046127E-3</v>
      </c>
      <c r="F461" s="7">
        <v>2.4883499977379486E-4</v>
      </c>
      <c r="G461" s="7"/>
      <c r="H461" s="7">
        <f t="shared" si="31"/>
        <v>-1.9579022998805762E-4</v>
      </c>
      <c r="I461" s="7">
        <f t="shared" si="32"/>
        <v>-1.0212509104599921E-2</v>
      </c>
      <c r="J461" s="7">
        <f t="shared" si="33"/>
        <v>-1.1207739109362791E-2</v>
      </c>
      <c r="K461" s="7">
        <f t="shared" si="34"/>
        <v>-8.5597926778199218E-3</v>
      </c>
      <c r="L461" s="7"/>
    </row>
    <row r="462" spans="1:12" x14ac:dyDescent="0.25">
      <c r="A462" s="2" t="s">
        <v>610</v>
      </c>
      <c r="B462" s="7">
        <v>1.655432731194395E-2</v>
      </c>
      <c r="C462" s="7">
        <v>1.5592515592515177E-3</v>
      </c>
      <c r="D462" s="7">
        <v>1.9553072625698276E-2</v>
      </c>
      <c r="E462" s="7">
        <v>5.657708628005631E-3</v>
      </c>
      <c r="F462" s="7">
        <v>7.0009719353663069E-3</v>
      </c>
      <c r="G462" s="7"/>
      <c r="H462" s="7">
        <f t="shared" si="31"/>
        <v>9.5533553765776436E-3</v>
      </c>
      <c r="I462" s="7">
        <f t="shared" si="32"/>
        <v>-5.4417203761147892E-3</v>
      </c>
      <c r="J462" s="7">
        <f t="shared" si="33"/>
        <v>1.2552100690331969E-2</v>
      </c>
      <c r="K462" s="7">
        <f t="shared" si="34"/>
        <v>-1.3432633073606759E-3</v>
      </c>
      <c r="L462" s="7"/>
    </row>
    <row r="463" spans="1:12" x14ac:dyDescent="0.25">
      <c r="A463" s="2" t="s">
        <v>611</v>
      </c>
      <c r="B463" s="7">
        <v>-2.1010399619912468E-2</v>
      </c>
      <c r="C463" s="7">
        <v>-1.262444832187215E-2</v>
      </c>
      <c r="D463" s="7">
        <v>-1.9178082191780743E-2</v>
      </c>
      <c r="E463" s="7">
        <v>-2.2744408142749473E-2</v>
      </c>
      <c r="F463" s="7">
        <v>-7.3808038801509435E-3</v>
      </c>
      <c r="G463" s="7"/>
      <c r="H463" s="7">
        <f t="shared" si="31"/>
        <v>-1.3629595739761524E-2</v>
      </c>
      <c r="I463" s="7">
        <f t="shared" si="32"/>
        <v>-5.2436444417212069E-3</v>
      </c>
      <c r="J463" s="7">
        <f t="shared" si="33"/>
        <v>-1.17972783116298E-2</v>
      </c>
      <c r="K463" s="7">
        <f t="shared" si="34"/>
        <v>-1.5363604262598529E-2</v>
      </c>
      <c r="L463" s="7"/>
    </row>
    <row r="464" spans="1:12" x14ac:dyDescent="0.25">
      <c r="A464" s="2" t="s">
        <v>612</v>
      </c>
      <c r="B464" s="7">
        <v>-7.5444019489704361E-3</v>
      </c>
      <c r="C464" s="7">
        <v>-1.6057362149060728E-2</v>
      </c>
      <c r="D464" s="7">
        <v>-1.3513513513513598E-2</v>
      </c>
      <c r="E464" s="7">
        <v>-4.0048250904704541E-2</v>
      </c>
      <c r="F464" s="7">
        <v>-2.7060497123881921E-3</v>
      </c>
      <c r="G464" s="7"/>
      <c r="H464" s="7">
        <f t="shared" si="31"/>
        <v>-4.838352236582244E-3</v>
      </c>
      <c r="I464" s="7">
        <f t="shared" si="32"/>
        <v>-1.3351312436672536E-2</v>
      </c>
      <c r="J464" s="7">
        <f t="shared" si="33"/>
        <v>-1.0807463801125405E-2</v>
      </c>
      <c r="K464" s="7">
        <f t="shared" si="34"/>
        <v>-3.7342201192316349E-2</v>
      </c>
      <c r="L464" s="7"/>
    </row>
    <row r="465" spans="1:12" x14ac:dyDescent="0.25">
      <c r="A465" s="2" t="s">
        <v>613</v>
      </c>
      <c r="B465" s="7">
        <v>6.857625151658997E-3</v>
      </c>
      <c r="C465" s="7">
        <v>-1.9701019701019784E-2</v>
      </c>
      <c r="D465" s="7">
        <v>8.1743869209809361E-3</v>
      </c>
      <c r="E465" s="7">
        <v>-2.4361539366835272E-2</v>
      </c>
      <c r="F465" s="7">
        <v>2.5018226757822504E-3</v>
      </c>
      <c r="G465" s="7"/>
      <c r="H465" s="7">
        <f t="shared" si="31"/>
        <v>4.3558024758767466E-3</v>
      </c>
      <c r="I465" s="7">
        <f t="shared" si="32"/>
        <v>-2.2202842376802034E-2</v>
      </c>
      <c r="J465" s="7">
        <f t="shared" si="33"/>
        <v>5.6725642451986857E-3</v>
      </c>
      <c r="K465" s="7">
        <f t="shared" si="34"/>
        <v>-2.6863362042617522E-2</v>
      </c>
      <c r="L465" s="7"/>
    </row>
    <row r="466" spans="1:12" x14ac:dyDescent="0.25">
      <c r="A466" s="2" t="s">
        <v>93</v>
      </c>
      <c r="B466" s="7">
        <v>6.15678573324141E-3</v>
      </c>
      <c r="C466" s="7">
        <v>-3.958436417613731E-4</v>
      </c>
      <c r="D466" s="7">
        <v>1.1019283746556585E-2</v>
      </c>
      <c r="E466" s="7">
        <v>-2.9335836658060943E-3</v>
      </c>
      <c r="F466" s="7">
        <v>9.1641572086653689E-4</v>
      </c>
      <c r="G466" s="7"/>
      <c r="H466" s="7">
        <f t="shared" si="31"/>
        <v>5.2403700123748731E-3</v>
      </c>
      <c r="I466" s="7">
        <f t="shared" si="32"/>
        <v>-1.31225936262791E-3</v>
      </c>
      <c r="J466" s="7">
        <f t="shared" si="33"/>
        <v>1.0102868025690048E-2</v>
      </c>
      <c r="K466" s="7">
        <f t="shared" si="34"/>
        <v>-3.8499993866726312E-3</v>
      </c>
      <c r="L466" s="7"/>
    </row>
    <row r="467" spans="1:12" x14ac:dyDescent="0.25">
      <c r="A467" s="2" t="s">
        <v>614</v>
      </c>
      <c r="B467" s="7">
        <v>1.5925257458326847E-4</v>
      </c>
      <c r="C467" s="7">
        <v>3.774709446707103E-3</v>
      </c>
      <c r="D467" s="7">
        <v>2.7624309392264568E-3</v>
      </c>
      <c r="E467" s="7">
        <v>2.1210305572198829E-2</v>
      </c>
      <c r="F467" s="7">
        <v>1.1647882803798026E-3</v>
      </c>
      <c r="G467" s="7"/>
      <c r="H467" s="7">
        <f t="shared" si="31"/>
        <v>-1.0055357057965342E-3</v>
      </c>
      <c r="I467" s="7">
        <f t="shared" si="32"/>
        <v>2.6099211663273003E-3</v>
      </c>
      <c r="J467" s="7">
        <f t="shared" si="33"/>
        <v>1.5976426588466541E-3</v>
      </c>
      <c r="K467" s="7">
        <f t="shared" si="34"/>
        <v>2.0045517291819026E-2</v>
      </c>
      <c r="L467" s="7"/>
    </row>
    <row r="468" spans="1:12" x14ac:dyDescent="0.25">
      <c r="A468" s="2" t="s">
        <v>615</v>
      </c>
      <c r="B468" s="7">
        <v>6.3741633910541218E-4</v>
      </c>
      <c r="C468" s="7">
        <v>3.5806152896388665E-2</v>
      </c>
      <c r="D468" s="7">
        <v>2.7700831024930483E-3</v>
      </c>
      <c r="E468" s="7">
        <v>7.0558050032071939E-2</v>
      </c>
      <c r="F468" s="7">
        <v>-2.0817045486656305E-3</v>
      </c>
      <c r="G468" s="7"/>
      <c r="H468" s="7">
        <f t="shared" si="31"/>
        <v>2.7191208877710427E-3</v>
      </c>
      <c r="I468" s="7">
        <f t="shared" si="32"/>
        <v>3.7887857445054296E-2</v>
      </c>
      <c r="J468" s="7">
        <f t="shared" si="33"/>
        <v>4.8517876511586788E-3</v>
      </c>
      <c r="K468" s="7">
        <f t="shared" si="34"/>
        <v>7.263975458073757E-2</v>
      </c>
      <c r="L468" s="7"/>
    </row>
    <row r="469" spans="1:12" x14ac:dyDescent="0.25">
      <c r="A469" s="2" t="s">
        <v>616</v>
      </c>
      <c r="B469" s="7">
        <v>1.2204957255766313E-2</v>
      </c>
      <c r="C469" s="7">
        <v>1.1552872606161557E-2</v>
      </c>
      <c r="D469" s="7">
        <v>-2.7624309392265678E-3</v>
      </c>
      <c r="E469" s="7">
        <v>1.8554815105187528E-2</v>
      </c>
      <c r="F469" s="7">
        <v>1.1715980391409309E-2</v>
      </c>
      <c r="G469" s="7"/>
      <c r="H469" s="7">
        <f t="shared" si="31"/>
        <v>4.8897686435700471E-4</v>
      </c>
      <c r="I469" s="7">
        <f t="shared" si="32"/>
        <v>-1.6310778524775138E-4</v>
      </c>
      <c r="J469" s="7">
        <f t="shared" si="33"/>
        <v>-1.4478411330635876E-2</v>
      </c>
      <c r="K469" s="7">
        <f t="shared" si="34"/>
        <v>6.8388347137782191E-3</v>
      </c>
      <c r="L469" s="7"/>
    </row>
    <row r="470" spans="1:12" x14ac:dyDescent="0.25">
      <c r="A470" s="2" t="s">
        <v>617</v>
      </c>
      <c r="B470" s="7">
        <v>6.1671625642414352E-3</v>
      </c>
      <c r="C470" s="7">
        <v>4.4955567171980348E-3</v>
      </c>
      <c r="D470" s="7">
        <v>1.9718309859154903E-2</v>
      </c>
      <c r="E470" s="7">
        <v>-6.0058953574060436E-2</v>
      </c>
      <c r="F470" s="7">
        <v>4.8377644395585229E-3</v>
      </c>
      <c r="G470" s="7"/>
      <c r="H470" s="7">
        <f t="shared" si="31"/>
        <v>1.3293981246829123E-3</v>
      </c>
      <c r="I470" s="7">
        <f t="shared" si="32"/>
        <v>-3.4220772236048802E-4</v>
      </c>
      <c r="J470" s="7">
        <f t="shared" si="33"/>
        <v>1.488054541959638E-2</v>
      </c>
      <c r="K470" s="7">
        <f t="shared" si="34"/>
        <v>-6.4896718013618959E-2</v>
      </c>
      <c r="L470" s="7"/>
    </row>
    <row r="471" spans="1:12" x14ac:dyDescent="0.25">
      <c r="A471" s="2" t="s">
        <v>94</v>
      </c>
      <c r="B471" s="7">
        <v>1.7616295072942378E-2</v>
      </c>
      <c r="C471" s="7">
        <v>7.0541166561381985E-3</v>
      </c>
      <c r="D471" s="7">
        <v>5.6657223796034994E-3</v>
      </c>
      <c r="E471" s="7">
        <v>5.6853582554517113E-2</v>
      </c>
      <c r="F471" s="7">
        <v>-2.4125544739483917E-4</v>
      </c>
      <c r="G471" s="7"/>
      <c r="H471" s="7">
        <f t="shared" si="31"/>
        <v>1.7857550520337218E-2</v>
      </c>
      <c r="I471" s="7">
        <f t="shared" si="32"/>
        <v>7.2953721035330377E-3</v>
      </c>
      <c r="J471" s="7">
        <f t="shared" si="33"/>
        <v>5.9069778269983386E-3</v>
      </c>
      <c r="K471" s="7">
        <f t="shared" si="34"/>
        <v>5.7094838001911952E-2</v>
      </c>
      <c r="L471" s="7"/>
    </row>
    <row r="472" spans="1:12" x14ac:dyDescent="0.25">
      <c r="A472" s="2" t="s">
        <v>618</v>
      </c>
      <c r="B472" s="7">
        <v>-6.8886337543053733E-3</v>
      </c>
      <c r="C472" s="7">
        <v>1.648116438356162E-2</v>
      </c>
      <c r="D472" s="7">
        <v>-2.8248587570621764E-3</v>
      </c>
      <c r="E472" s="7">
        <v>7.3221757322174952E-3</v>
      </c>
      <c r="F472" s="7">
        <v>1.6493801399288799E-3</v>
      </c>
      <c r="G472" s="7"/>
      <c r="H472" s="7">
        <f t="shared" si="31"/>
        <v>-8.5380138942342532E-3</v>
      </c>
      <c r="I472" s="7">
        <f t="shared" si="32"/>
        <v>1.483178424363274E-2</v>
      </c>
      <c r="J472" s="7">
        <f t="shared" si="33"/>
        <v>-4.4742388969910563E-3</v>
      </c>
      <c r="K472" s="7">
        <f t="shared" si="34"/>
        <v>5.6727955922886153E-3</v>
      </c>
      <c r="L472" s="7"/>
    </row>
    <row r="473" spans="1:12" x14ac:dyDescent="0.25">
      <c r="A473" s="2" t="s">
        <v>619</v>
      </c>
      <c r="B473" s="7">
        <v>1.0050251256281451E-2</v>
      </c>
      <c r="C473" s="7">
        <v>1.0162162162162147E-2</v>
      </c>
      <c r="D473" s="7">
        <v>2.608695652173898E-2</v>
      </c>
      <c r="E473" s="7">
        <v>1.2845980664812684E-2</v>
      </c>
      <c r="F473" s="7">
        <v>5.0909175024624886E-3</v>
      </c>
      <c r="G473" s="7"/>
      <c r="H473" s="7">
        <f t="shared" si="31"/>
        <v>4.9593337538189619E-3</v>
      </c>
      <c r="I473" s="7">
        <f t="shared" si="32"/>
        <v>5.0712446596996585E-3</v>
      </c>
      <c r="J473" s="7">
        <f t="shared" si="33"/>
        <v>2.0996039019276491E-2</v>
      </c>
      <c r="K473" s="7">
        <f t="shared" si="34"/>
        <v>7.7550631623501953E-3</v>
      </c>
      <c r="L473" s="7"/>
    </row>
    <row r="474" spans="1:12" x14ac:dyDescent="0.25">
      <c r="A474" s="2" t="s">
        <v>620</v>
      </c>
      <c r="B474" s="7">
        <v>1.8810511756570669E-3</v>
      </c>
      <c r="C474" s="7">
        <v>8.5041430440471188E-3</v>
      </c>
      <c r="D474" s="7">
        <v>2.6785714285714413E-2</v>
      </c>
      <c r="E474" s="7">
        <v>-1.1519832438800837E-2</v>
      </c>
      <c r="F474" s="7">
        <v>-5.7829095745365322E-6</v>
      </c>
      <c r="G474" s="7"/>
      <c r="H474" s="7">
        <f t="shared" si="31"/>
        <v>1.8868340852316035E-3</v>
      </c>
      <c r="I474" s="7">
        <f t="shared" si="32"/>
        <v>8.5099259536216554E-3</v>
      </c>
      <c r="J474" s="7">
        <f t="shared" si="33"/>
        <v>2.6791497195288949E-2</v>
      </c>
      <c r="K474" s="7">
        <f t="shared" si="34"/>
        <v>-1.15140495292263E-2</v>
      </c>
      <c r="L474" s="7"/>
    </row>
    <row r="475" spans="1:12" x14ac:dyDescent="0.25">
      <c r="A475" s="2" t="s">
        <v>621</v>
      </c>
      <c r="B475" s="7">
        <v>3.7763092130838061E-3</v>
      </c>
      <c r="C475" s="7">
        <v>-1.0891836514612341E-2</v>
      </c>
      <c r="D475" s="7">
        <v>-1.4662756598240567E-2</v>
      </c>
      <c r="E475" s="7">
        <v>-2.675500063702374E-2</v>
      </c>
      <c r="F475" s="7">
        <v>1.3434374239973401E-3</v>
      </c>
      <c r="G475" s="7"/>
      <c r="H475" s="7">
        <f t="shared" si="31"/>
        <v>2.432871789086466E-3</v>
      </c>
      <c r="I475" s="7">
        <f t="shared" si="32"/>
        <v>-1.2235273938609681E-2</v>
      </c>
      <c r="J475" s="7">
        <f t="shared" si="33"/>
        <v>-1.6006194022237907E-2</v>
      </c>
      <c r="K475" s="7">
        <f t="shared" si="34"/>
        <v>-2.809843806102108E-2</v>
      </c>
      <c r="L475" s="7"/>
    </row>
    <row r="476" spans="1:12" x14ac:dyDescent="0.25">
      <c r="A476" s="2" t="s">
        <v>95</v>
      </c>
      <c r="B476" s="7">
        <v>-9.1344301986463483E-3</v>
      </c>
      <c r="C476" s="7">
        <v>-5.7896429720166731E-3</v>
      </c>
      <c r="D476" s="7">
        <v>5.8997050147493457E-3</v>
      </c>
      <c r="E476" s="7">
        <v>2.6826775677055714E-3</v>
      </c>
      <c r="F476" s="7">
        <v>1.0326085896653403E-2</v>
      </c>
      <c r="G476" s="7"/>
      <c r="H476" s="7">
        <f t="shared" si="31"/>
        <v>-1.9460516095299751E-2</v>
      </c>
      <c r="I476" s="7">
        <f t="shared" si="32"/>
        <v>-1.6115728868670076E-2</v>
      </c>
      <c r="J476" s="7">
        <f t="shared" si="33"/>
        <v>-4.4263808819040573E-3</v>
      </c>
      <c r="K476" s="7">
        <f t="shared" si="34"/>
        <v>-7.6434083289478316E-3</v>
      </c>
      <c r="L476" s="7"/>
    </row>
    <row r="477" spans="1:12" x14ac:dyDescent="0.25">
      <c r="A477" s="2" t="s">
        <v>622</v>
      </c>
      <c r="B477" s="7">
        <v>5.9835539744561572E-2</v>
      </c>
      <c r="C477" s="7">
        <v>3.5506778566816166E-3</v>
      </c>
      <c r="D477" s="7">
        <v>2.9585798816569309E-3</v>
      </c>
      <c r="E477" s="7">
        <v>1.2546889147587725E-2</v>
      </c>
      <c r="F477" s="7">
        <v>1.2556771059594851E-2</v>
      </c>
      <c r="G477" s="7"/>
      <c r="H477" s="7">
        <f t="shared" si="31"/>
        <v>4.7278768684966721E-2</v>
      </c>
      <c r="I477" s="7">
        <f t="shared" si="32"/>
        <v>-9.0060932029132346E-3</v>
      </c>
      <c r="J477" s="7">
        <f t="shared" si="33"/>
        <v>-9.5981911779379203E-3</v>
      </c>
      <c r="K477" s="7">
        <f t="shared" si="34"/>
        <v>-9.8819120071258482E-6</v>
      </c>
      <c r="L477" s="7"/>
    </row>
    <row r="478" spans="1:12" x14ac:dyDescent="0.25">
      <c r="A478" s="2" t="s">
        <v>623</v>
      </c>
      <c r="B478" s="7">
        <v>2.2054002503427261E-2</v>
      </c>
      <c r="C478" s="7">
        <v>-1.6611998730293176E-2</v>
      </c>
      <c r="D478" s="7">
        <v>2.114803625377637E-2</v>
      </c>
      <c r="E478" s="7">
        <v>6.370390753990085E-2</v>
      </c>
      <c r="F478" s="7">
        <v>9.1284256504575723E-3</v>
      </c>
      <c r="G478" s="7"/>
      <c r="H478" s="7">
        <f t="shared" si="31"/>
        <v>1.2925576852969689E-2</v>
      </c>
      <c r="I478" s="7">
        <f t="shared" si="32"/>
        <v>-2.5740424380750748E-2</v>
      </c>
      <c r="J478" s="7">
        <f t="shared" si="33"/>
        <v>1.2019610603318798E-2</v>
      </c>
      <c r="K478" s="7">
        <f t="shared" si="34"/>
        <v>5.4575481889443278E-2</v>
      </c>
      <c r="L478" s="7"/>
    </row>
    <row r="479" spans="1:12" x14ac:dyDescent="0.25">
      <c r="A479" s="2" t="s">
        <v>624</v>
      </c>
      <c r="B479" s="7">
        <v>-6.0430120267787046E-3</v>
      </c>
      <c r="C479" s="7">
        <v>2.007555315704268E-2</v>
      </c>
      <c r="D479" s="7">
        <v>-6.0060060060059817E-3</v>
      </c>
      <c r="E479" s="7">
        <v>8.8839533592448561E-3</v>
      </c>
      <c r="F479" s="7">
        <v>-3.4354775611682431E-3</v>
      </c>
      <c r="G479" s="7"/>
      <c r="H479" s="7">
        <f t="shared" si="31"/>
        <v>-2.6075344656104615E-3</v>
      </c>
      <c r="I479" s="7">
        <f t="shared" si="32"/>
        <v>2.3511030718210923E-2</v>
      </c>
      <c r="J479" s="7">
        <f t="shared" si="33"/>
        <v>-2.5705284448377386E-3</v>
      </c>
      <c r="K479" s="7">
        <f t="shared" si="34"/>
        <v>1.2319430920413099E-2</v>
      </c>
      <c r="L479" s="7"/>
    </row>
    <row r="480" spans="1:12" x14ac:dyDescent="0.25">
      <c r="A480" s="2" t="s">
        <v>625</v>
      </c>
      <c r="B480" s="7">
        <v>-1.8320344306153369E-2</v>
      </c>
      <c r="C480" s="7">
        <v>4.7129294755877016E-2</v>
      </c>
      <c r="D480" s="7">
        <v>-5.9701492537312939E-3</v>
      </c>
      <c r="E480" s="7">
        <v>-2.0397062822953504E-2</v>
      </c>
      <c r="F480" s="7">
        <v>-1.5730517164206925E-2</v>
      </c>
      <c r="G480" s="7"/>
      <c r="H480" s="7">
        <f t="shared" si="31"/>
        <v>-2.5898271419464436E-3</v>
      </c>
      <c r="I480" s="7">
        <f t="shared" si="32"/>
        <v>6.2859811920083941E-2</v>
      </c>
      <c r="J480" s="7">
        <f t="shared" si="33"/>
        <v>9.7603679104756313E-3</v>
      </c>
      <c r="K480" s="7">
        <f t="shared" si="34"/>
        <v>-4.6665456587465792E-3</v>
      </c>
      <c r="L480" s="7"/>
    </row>
    <row r="481" spans="1:12" x14ac:dyDescent="0.25">
      <c r="A481" s="2" t="s">
        <v>96</v>
      </c>
      <c r="B481" s="7">
        <v>2.4855456875484183E-2</v>
      </c>
      <c r="C481" s="7">
        <v>3.6297640653357721E-3</v>
      </c>
      <c r="D481" s="7">
        <v>-1.179941002949858E-2</v>
      </c>
      <c r="E481" s="7">
        <v>1.1415211112639323E-2</v>
      </c>
      <c r="F481" s="7">
        <v>3.178456301617949E-3</v>
      </c>
      <c r="G481" s="7"/>
      <c r="H481" s="7">
        <f t="shared" si="31"/>
        <v>2.1677000573866234E-2</v>
      </c>
      <c r="I481" s="7">
        <f t="shared" si="32"/>
        <v>4.5130776371782311E-4</v>
      </c>
      <c r="J481" s="7">
        <f t="shared" si="33"/>
        <v>-1.4977866331116529E-2</v>
      </c>
      <c r="K481" s="7">
        <f t="shared" si="34"/>
        <v>8.236754811021374E-3</v>
      </c>
      <c r="L481" s="7"/>
    </row>
    <row r="482" spans="1:12" x14ac:dyDescent="0.25">
      <c r="A482" s="2" t="s">
        <v>626</v>
      </c>
      <c r="B482" s="7">
        <v>-3.5043953433119279E-3</v>
      </c>
      <c r="C482" s="7">
        <v>4.5578851412944044E-3</v>
      </c>
      <c r="D482" s="7">
        <v>3.039513677811545E-2</v>
      </c>
      <c r="E482" s="7">
        <v>5.809932217457181E-3</v>
      </c>
      <c r="F482" s="7">
        <v>1.0209134739185721E-2</v>
      </c>
      <c r="G482" s="7"/>
      <c r="H482" s="7">
        <f t="shared" si="31"/>
        <v>-1.3713530082497649E-2</v>
      </c>
      <c r="I482" s="7">
        <f t="shared" si="32"/>
        <v>-5.6512495978913169E-3</v>
      </c>
      <c r="J482" s="7">
        <f t="shared" si="33"/>
        <v>2.0186002038929729E-2</v>
      </c>
      <c r="K482" s="7">
        <f t="shared" si="34"/>
        <v>-4.3992025217285402E-3</v>
      </c>
      <c r="L482" s="7"/>
    </row>
    <row r="483" spans="1:12" x14ac:dyDescent="0.25">
      <c r="A483" s="2" t="s">
        <v>627</v>
      </c>
      <c r="B483" s="7">
        <v>5.1343283582090393E-3</v>
      </c>
      <c r="C483" s="7">
        <v>-6.565542223228471E-3</v>
      </c>
      <c r="D483" s="7">
        <v>1.8575851393188847E-2</v>
      </c>
      <c r="E483" s="7">
        <v>6.4040094667967562E-3</v>
      </c>
      <c r="F483" s="7">
        <v>-4.5764379499293462E-3</v>
      </c>
      <c r="G483" s="7"/>
      <c r="H483" s="7">
        <f t="shared" si="31"/>
        <v>9.7107663081383855E-3</v>
      </c>
      <c r="I483" s="7">
        <f t="shared" si="32"/>
        <v>-1.9891042732991249E-3</v>
      </c>
      <c r="J483" s="7">
        <f t="shared" si="33"/>
        <v>2.3152289343118193E-2</v>
      </c>
      <c r="K483" s="7">
        <f t="shared" si="34"/>
        <v>1.0980447416726102E-2</v>
      </c>
      <c r="L483" s="7"/>
    </row>
    <row r="484" spans="1:12" x14ac:dyDescent="0.25">
      <c r="A484" s="2" t="s">
        <v>628</v>
      </c>
      <c r="B484" s="7">
        <v>1.2757724167120177E-2</v>
      </c>
      <c r="C484" s="7">
        <v>-1.0528673835125457E-2</v>
      </c>
      <c r="D484" s="7">
        <v>3.1055900621117516E-3</v>
      </c>
      <c r="E484" s="7">
        <v>2.9230548789224597E-2</v>
      </c>
      <c r="F484" s="7">
        <v>2.129946455513565E-4</v>
      </c>
      <c r="G484" s="7"/>
      <c r="H484" s="7">
        <f t="shared" si="31"/>
        <v>1.254472952156882E-2</v>
      </c>
      <c r="I484" s="7">
        <f t="shared" si="32"/>
        <v>-1.0741668480676814E-2</v>
      </c>
      <c r="J484" s="7">
        <f t="shared" si="33"/>
        <v>2.8925954165603951E-3</v>
      </c>
      <c r="K484" s="7">
        <f t="shared" si="34"/>
        <v>2.9017554143673241E-2</v>
      </c>
      <c r="L484" s="7"/>
    </row>
    <row r="485" spans="1:12" x14ac:dyDescent="0.25">
      <c r="A485" s="2" t="s">
        <v>629</v>
      </c>
      <c r="B485" s="7">
        <v>6.3891931361810261E-3</v>
      </c>
      <c r="C485" s="7">
        <v>4.0485829959513442E-3</v>
      </c>
      <c r="D485" s="7">
        <v>3.1152647975078995E-3</v>
      </c>
      <c r="E485" s="7">
        <v>2.5870939291489092E-2</v>
      </c>
      <c r="F485" s="7">
        <v>1.1964634973855359E-2</v>
      </c>
      <c r="G485" s="7"/>
      <c r="H485" s="7">
        <f t="shared" si="31"/>
        <v>-5.5754418376743331E-3</v>
      </c>
      <c r="I485" s="7">
        <f t="shared" si="32"/>
        <v>-7.916051977904015E-3</v>
      </c>
      <c r="J485" s="7">
        <f t="shared" si="33"/>
        <v>-8.8493701763474597E-3</v>
      </c>
      <c r="K485" s="7">
        <f t="shared" si="34"/>
        <v>1.3906304317633733E-2</v>
      </c>
      <c r="L485" s="7"/>
    </row>
    <row r="486" spans="1:12" x14ac:dyDescent="0.25">
      <c r="A486" s="2" t="s">
        <v>97</v>
      </c>
      <c r="B486" s="7">
        <v>5.0761421319798217E-3</v>
      </c>
      <c r="C486" s="7">
        <v>3.8383382253330822E-3</v>
      </c>
      <c r="D486" s="7">
        <v>-9.2592592592593004E-3</v>
      </c>
      <c r="E486" s="7">
        <v>2.3315282791817049E-2</v>
      </c>
      <c r="F486" s="7">
        <v>8.7312244450128418E-3</v>
      </c>
      <c r="G486" s="7"/>
      <c r="H486" s="7">
        <f t="shared" si="31"/>
        <v>-3.6550823130330201E-3</v>
      </c>
      <c r="I486" s="7">
        <f t="shared" si="32"/>
        <v>-4.8928862196797596E-3</v>
      </c>
      <c r="J486" s="7">
        <f t="shared" si="33"/>
        <v>-1.7990483704272142E-2</v>
      </c>
      <c r="K486" s="7">
        <f t="shared" si="34"/>
        <v>1.4584058346804207E-2</v>
      </c>
      <c r="L486" s="7"/>
    </row>
    <row r="487" spans="1:12" x14ac:dyDescent="0.25">
      <c r="A487" s="2" t="s">
        <v>630</v>
      </c>
      <c r="B487" s="7">
        <v>-1.220322600132917E-2</v>
      </c>
      <c r="C487" s="7">
        <v>8.6540651332271956E-3</v>
      </c>
      <c r="D487" s="7">
        <v>6.2111801242235032E-3</v>
      </c>
      <c r="E487" s="7">
        <v>2.8661939960779037E-3</v>
      </c>
      <c r="F487" s="7">
        <v>-8.7585210491867294E-3</v>
      </c>
      <c r="G487" s="7"/>
      <c r="H487" s="7">
        <f t="shared" si="31"/>
        <v>-3.4447049521424411E-3</v>
      </c>
      <c r="I487" s="7">
        <f t="shared" si="32"/>
        <v>1.7412586182413925E-2</v>
      </c>
      <c r="J487" s="7">
        <f t="shared" si="33"/>
        <v>1.4969701173410233E-2</v>
      </c>
      <c r="K487" s="7">
        <f t="shared" si="34"/>
        <v>1.1624715045264633E-2</v>
      </c>
      <c r="L487" s="7"/>
    </row>
    <row r="488" spans="1:12" x14ac:dyDescent="0.25">
      <c r="A488" s="2" t="s">
        <v>631</v>
      </c>
      <c r="B488" s="7">
        <v>-5.7063911580970128E-3</v>
      </c>
      <c r="C488" s="7">
        <v>5.6109011794343022E-3</v>
      </c>
      <c r="D488" s="7">
        <v>-1.8292682926829174E-2</v>
      </c>
      <c r="E488" s="7">
        <v>7.5483091787464929E-4</v>
      </c>
      <c r="F488" s="7">
        <v>-2.2081912146246774E-3</v>
      </c>
      <c r="G488" s="7"/>
      <c r="H488" s="7">
        <f t="shared" si="31"/>
        <v>-3.4981999434723354E-3</v>
      </c>
      <c r="I488" s="7">
        <f t="shared" si="32"/>
        <v>7.8190923940589796E-3</v>
      </c>
      <c r="J488" s="7">
        <f t="shared" si="33"/>
        <v>-1.6084491712204496E-2</v>
      </c>
      <c r="K488" s="7">
        <f t="shared" si="34"/>
        <v>2.9630221324993267E-3</v>
      </c>
      <c r="L488" s="7"/>
    </row>
    <row r="489" spans="1:12" x14ac:dyDescent="0.25">
      <c r="A489" s="2" t="s">
        <v>632</v>
      </c>
      <c r="B489" s="7">
        <v>-8.1620494489127449E-3</v>
      </c>
      <c r="C489" s="7">
        <v>-9.152270907218929E-4</v>
      </c>
      <c r="D489" s="7">
        <v>3.0581039755350758E-3</v>
      </c>
      <c r="E489" s="7">
        <v>-1.1343283582089581E-2</v>
      </c>
      <c r="F489" s="7">
        <v>-5.780564238499708E-3</v>
      </c>
      <c r="G489" s="7"/>
      <c r="H489" s="7">
        <f t="shared" si="31"/>
        <v>-2.3814852104130368E-3</v>
      </c>
      <c r="I489" s="7">
        <f t="shared" si="32"/>
        <v>4.8653371477778151E-3</v>
      </c>
      <c r="J489" s="7">
        <f t="shared" si="33"/>
        <v>8.8386682140347839E-3</v>
      </c>
      <c r="K489" s="7">
        <f t="shared" si="34"/>
        <v>-5.5627193435898725E-3</v>
      </c>
      <c r="L489" s="7"/>
    </row>
    <row r="490" spans="1:12" x14ac:dyDescent="0.25">
      <c r="A490" s="2" t="s">
        <v>633</v>
      </c>
      <c r="B490" s="7">
        <v>-1.9166715362589848E-2</v>
      </c>
      <c r="C490" s="7">
        <v>-2.7381631488877511E-3</v>
      </c>
      <c r="D490" s="7">
        <v>0</v>
      </c>
      <c r="E490" s="7">
        <v>-1.4271001912608439E-2</v>
      </c>
      <c r="F490" s="7">
        <v>-2.056572537150636E-3</v>
      </c>
      <c r="G490" s="7"/>
      <c r="H490" s="7">
        <f t="shared" si="31"/>
        <v>-1.7110142825439212E-2</v>
      </c>
      <c r="I490" s="7">
        <f t="shared" si="32"/>
        <v>-6.815906117371151E-4</v>
      </c>
      <c r="J490" s="7">
        <f t="shared" si="33"/>
        <v>2.056572537150636E-3</v>
      </c>
      <c r="K490" s="7">
        <f t="shared" si="34"/>
        <v>-1.2214429375457803E-2</v>
      </c>
      <c r="L490" s="7"/>
    </row>
    <row r="491" spans="1:12" x14ac:dyDescent="0.25">
      <c r="A491" s="2" t="s">
        <v>98</v>
      </c>
      <c r="B491" s="7">
        <v>-2.1890717878372268E-2</v>
      </c>
      <c r="C491" s="7">
        <v>-1.1407711613042881E-4</v>
      </c>
      <c r="D491" s="7">
        <v>-1.2084592145015116E-2</v>
      </c>
      <c r="E491" s="7">
        <v>-9.3280862847981982E-3</v>
      </c>
      <c r="F491" s="7">
        <v>-1.2021290507689297E-2</v>
      </c>
      <c r="G491" s="7"/>
      <c r="H491" s="7">
        <f t="shared" si="31"/>
        <v>-9.8694273706829705E-3</v>
      </c>
      <c r="I491" s="7">
        <f t="shared" si="32"/>
        <v>1.1907213391558868E-2</v>
      </c>
      <c r="J491" s="7">
        <f t="shared" si="33"/>
        <v>-6.3301637325818838E-5</v>
      </c>
      <c r="K491" s="7">
        <f t="shared" si="34"/>
        <v>2.6932042228910991E-3</v>
      </c>
      <c r="L491" s="7"/>
    </row>
    <row r="492" spans="1:12" x14ac:dyDescent="0.25">
      <c r="A492" s="2" t="s">
        <v>634</v>
      </c>
      <c r="B492" s="7">
        <v>8.6475268073331613E-3</v>
      </c>
      <c r="C492" s="7">
        <v>-2.012072434607648E-2</v>
      </c>
      <c r="D492" s="7">
        <v>-2.359882005899705E-2</v>
      </c>
      <c r="E492" s="7">
        <v>-4.7612437534703012E-2</v>
      </c>
      <c r="F492" s="7">
        <v>-1.4550707243232486E-2</v>
      </c>
      <c r="G492" s="7"/>
      <c r="H492" s="7">
        <f t="shared" si="31"/>
        <v>2.3198234050565647E-2</v>
      </c>
      <c r="I492" s="7">
        <f t="shared" si="32"/>
        <v>-5.5700171028439938E-3</v>
      </c>
      <c r="J492" s="7">
        <f t="shared" si="33"/>
        <v>-9.0481128157645641E-3</v>
      </c>
      <c r="K492" s="7">
        <f t="shared" si="34"/>
        <v>-3.3061730291470526E-2</v>
      </c>
      <c r="L492" s="7"/>
    </row>
    <row r="493" spans="1:12" x14ac:dyDescent="0.25">
      <c r="A493" s="2" t="s">
        <v>635</v>
      </c>
      <c r="B493" s="7">
        <v>4.3242918145185438E-2</v>
      </c>
      <c r="C493" s="7">
        <v>5.9597436185763186E-3</v>
      </c>
      <c r="D493" s="7">
        <v>1.8018018018018056E-2</v>
      </c>
      <c r="E493" s="7">
        <v>3.4823791614431165E-3</v>
      </c>
      <c r="F493" s="7">
        <v>7.4448130464439544E-3</v>
      </c>
      <c r="G493" s="7"/>
      <c r="H493" s="7">
        <f t="shared" si="31"/>
        <v>3.5798105098741484E-2</v>
      </c>
      <c r="I493" s="7">
        <f t="shared" si="32"/>
        <v>-1.4850694278676357E-3</v>
      </c>
      <c r="J493" s="7">
        <f t="shared" si="33"/>
        <v>1.0573204971574102E-2</v>
      </c>
      <c r="K493" s="7">
        <f t="shared" si="34"/>
        <v>-3.9624338850008378E-3</v>
      </c>
      <c r="L493" s="7"/>
    </row>
    <row r="494" spans="1:12" x14ac:dyDescent="0.25">
      <c r="A494" s="2" t="s">
        <v>636</v>
      </c>
      <c r="B494" s="7">
        <v>-1.112168431069338E-2</v>
      </c>
      <c r="C494" s="7">
        <v>2.2494657518845607E-4</v>
      </c>
      <c r="D494" s="7">
        <v>6.0422960725075026E-3</v>
      </c>
      <c r="E494" s="7">
        <v>2.1921708185053568E-2</v>
      </c>
      <c r="F494" s="7">
        <v>-9.4569771838668437E-3</v>
      </c>
      <c r="G494" s="7"/>
      <c r="H494" s="7">
        <f t="shared" si="31"/>
        <v>-1.6647071268265368E-3</v>
      </c>
      <c r="I494" s="7">
        <f t="shared" si="32"/>
        <v>9.6819237590552998E-3</v>
      </c>
      <c r="J494" s="7">
        <f t="shared" si="33"/>
        <v>1.5499273256374346E-2</v>
      </c>
      <c r="K494" s="7">
        <f t="shared" si="34"/>
        <v>3.1378685368920411E-2</v>
      </c>
      <c r="L494" s="7"/>
    </row>
    <row r="495" spans="1:12" x14ac:dyDescent="0.25">
      <c r="A495" s="2" t="s">
        <v>637</v>
      </c>
      <c r="B495" s="7">
        <v>7.2485472952732444E-3</v>
      </c>
      <c r="C495" s="7">
        <v>7.36460457738497E-3</v>
      </c>
      <c r="D495" s="7">
        <v>-1.1940298507462699E-2</v>
      </c>
      <c r="E495" s="7">
        <v>1.7820921472037066E-2</v>
      </c>
      <c r="F495" s="7">
        <v>1.4454894769517779E-3</v>
      </c>
      <c r="G495" s="7"/>
      <c r="H495" s="7">
        <f t="shared" si="31"/>
        <v>5.8030578183214665E-3</v>
      </c>
      <c r="I495" s="7">
        <f t="shared" si="32"/>
        <v>5.9191151004331921E-3</v>
      </c>
      <c r="J495" s="7">
        <f t="shared" si="33"/>
        <v>-1.3385787984414477E-2</v>
      </c>
      <c r="K495" s="7">
        <f t="shared" si="34"/>
        <v>1.6375431995085288E-2</v>
      </c>
      <c r="L495" s="7"/>
    </row>
    <row r="496" spans="1:12" x14ac:dyDescent="0.25">
      <c r="A496" s="2" t="s">
        <v>99</v>
      </c>
      <c r="B496" s="7">
        <v>-6.6646831300208875E-3</v>
      </c>
      <c r="C496" s="7">
        <v>9.9553724682457378E-3</v>
      </c>
      <c r="D496" s="7">
        <v>-2.0467836257309857E-2</v>
      </c>
      <c r="E496" s="7">
        <v>7.2495287806284558E-4</v>
      </c>
      <c r="F496" s="7">
        <v>-3.7468728023148934E-4</v>
      </c>
      <c r="G496" s="7"/>
      <c r="H496" s="7">
        <f t="shared" si="31"/>
        <v>-6.2899958497893982E-3</v>
      </c>
      <c r="I496" s="7">
        <f t="shared" si="32"/>
        <v>1.0330059748477227E-2</v>
      </c>
      <c r="J496" s="7">
        <f t="shared" si="33"/>
        <v>-2.0093148977078368E-2</v>
      </c>
      <c r="K496" s="7">
        <f t="shared" si="34"/>
        <v>1.0996401582943349E-3</v>
      </c>
      <c r="L496" s="7"/>
    </row>
    <row r="497" spans="1:12" x14ac:dyDescent="0.25">
      <c r="A497" s="2" t="s">
        <v>638</v>
      </c>
      <c r="B497" s="7">
        <v>4.4829647340107748E-3</v>
      </c>
      <c r="C497" s="7">
        <v>5.4072710538426438E-3</v>
      </c>
      <c r="D497" s="7">
        <v>0</v>
      </c>
      <c r="E497" s="7">
        <v>-4.0433212996390244E-3</v>
      </c>
      <c r="F497" s="7">
        <v>1.1099216857287653E-2</v>
      </c>
      <c r="G497" s="7"/>
      <c r="H497" s="7">
        <f t="shared" si="31"/>
        <v>-6.6162521232768778E-3</v>
      </c>
      <c r="I497" s="7">
        <f t="shared" si="32"/>
        <v>-5.6919458034450088E-3</v>
      </c>
      <c r="J497" s="7">
        <f t="shared" si="33"/>
        <v>-1.1099216857287653E-2</v>
      </c>
      <c r="K497" s="7">
        <f t="shared" si="34"/>
        <v>-1.5142538156926677E-2</v>
      </c>
      <c r="L497" s="7"/>
    </row>
    <row r="498" spans="1:12" x14ac:dyDescent="0.25">
      <c r="A498" s="2" t="s">
        <v>639</v>
      </c>
      <c r="B498" s="7">
        <v>-4.8774684748988939E-3</v>
      </c>
      <c r="C498" s="7">
        <v>-2.8501173577735517E-2</v>
      </c>
      <c r="D498" s="7">
        <v>-5.8139534883721034E-3</v>
      </c>
      <c r="E498" s="7">
        <v>-6.7412507171543679E-3</v>
      </c>
      <c r="F498" s="7">
        <v>-1.2334284436888443E-2</v>
      </c>
      <c r="G498" s="7"/>
      <c r="H498" s="7">
        <f t="shared" si="31"/>
        <v>7.4568159619895491E-3</v>
      </c>
      <c r="I498" s="7">
        <f t="shared" si="32"/>
        <v>-1.6166889140847074E-2</v>
      </c>
      <c r="J498" s="7">
        <f t="shared" si="33"/>
        <v>6.5203309485163397E-3</v>
      </c>
      <c r="K498" s="7">
        <f t="shared" si="34"/>
        <v>5.5930337197340751E-3</v>
      </c>
      <c r="L498" s="7"/>
    </row>
    <row r="499" spans="1:12" x14ac:dyDescent="0.25">
      <c r="A499" s="2" t="s">
        <v>640</v>
      </c>
      <c r="B499" s="7">
        <v>4.7812574707148947E-3</v>
      </c>
      <c r="C499" s="7">
        <v>3.8146527544036246E-3</v>
      </c>
      <c r="D499" s="7">
        <v>1.4749262536873031E-2</v>
      </c>
      <c r="E499" s="7">
        <v>-5.9880239520958556E-3</v>
      </c>
      <c r="F499" s="7">
        <v>1.0910886106099138E-3</v>
      </c>
      <c r="G499" s="7"/>
      <c r="H499" s="7">
        <f t="shared" si="31"/>
        <v>3.6901688601049809E-3</v>
      </c>
      <c r="I499" s="7">
        <f t="shared" si="32"/>
        <v>2.7235641437937108E-3</v>
      </c>
      <c r="J499" s="7">
        <f t="shared" si="33"/>
        <v>1.3658173926263117E-2</v>
      </c>
      <c r="K499" s="7">
        <f t="shared" si="34"/>
        <v>-7.0791125627057694E-3</v>
      </c>
      <c r="L499" s="7"/>
    </row>
    <row r="500" spans="1:12" x14ac:dyDescent="0.25">
      <c r="A500" s="2" t="s">
        <v>641</v>
      </c>
      <c r="B500" s="7">
        <v>-7.0029673590504826E-3</v>
      </c>
      <c r="C500" s="7">
        <v>-1.2519388433414713E-2</v>
      </c>
      <c r="D500" s="7">
        <v>-1.1661807580174988E-2</v>
      </c>
      <c r="E500" s="7">
        <v>-6.7969413763806497E-3</v>
      </c>
      <c r="F500" s="7">
        <v>-7.2390665494481699E-3</v>
      </c>
      <c r="G500" s="7"/>
      <c r="H500" s="7">
        <f t="shared" si="31"/>
        <v>2.3609919039768723E-4</v>
      </c>
      <c r="I500" s="7">
        <f t="shared" si="32"/>
        <v>-5.2803218839665433E-3</v>
      </c>
      <c r="J500" s="7">
        <f t="shared" si="33"/>
        <v>-4.4227410307268178E-3</v>
      </c>
      <c r="K500" s="7">
        <f t="shared" si="34"/>
        <v>4.4212517306752019E-4</v>
      </c>
      <c r="L500" s="7"/>
    </row>
    <row r="501" spans="1:12" x14ac:dyDescent="0.25">
      <c r="A501" s="2" t="s">
        <v>100</v>
      </c>
      <c r="B501" s="7">
        <v>-8.4152298005061299E-3</v>
      </c>
      <c r="C501" s="7">
        <v>6.0136246182757924E-2</v>
      </c>
      <c r="D501" s="7">
        <v>2.6946107784431295E-2</v>
      </c>
      <c r="E501" s="7">
        <v>1.4072372199885219E-2</v>
      </c>
      <c r="F501" s="7">
        <v>-2.0135697089078697E-3</v>
      </c>
      <c r="G501" s="7"/>
      <c r="H501" s="7">
        <f t="shared" si="31"/>
        <v>-6.4016600915982602E-3</v>
      </c>
      <c r="I501" s="7">
        <f t="shared" si="32"/>
        <v>6.2149815891665794E-2</v>
      </c>
      <c r="J501" s="7">
        <f t="shared" si="33"/>
        <v>2.8959677493339164E-2</v>
      </c>
      <c r="K501" s="7">
        <f t="shared" si="34"/>
        <v>1.6085941908793089E-2</v>
      </c>
      <c r="L501" s="7"/>
    </row>
    <row r="502" spans="1:12" x14ac:dyDescent="0.25">
      <c r="A502" s="2" t="s">
        <v>642</v>
      </c>
      <c r="B502" s="7">
        <v>-1.0596797671033387E-2</v>
      </c>
      <c r="C502" s="7">
        <v>1.4054311576941592E-2</v>
      </c>
      <c r="D502" s="7">
        <v>3.0030030030030463E-3</v>
      </c>
      <c r="E502" s="7">
        <v>1.074020319303326E-2</v>
      </c>
      <c r="F502" s="7">
        <v>1.1165116061955249E-3</v>
      </c>
      <c r="G502" s="7"/>
      <c r="H502" s="7">
        <f t="shared" si="31"/>
        <v>-1.1713309277228912E-2</v>
      </c>
      <c r="I502" s="7">
        <f t="shared" si="32"/>
        <v>1.2937799970746067E-2</v>
      </c>
      <c r="J502" s="7">
        <f t="shared" si="33"/>
        <v>1.8864913968075214E-3</v>
      </c>
      <c r="K502" s="7">
        <f t="shared" si="34"/>
        <v>9.6236915868377348E-3</v>
      </c>
      <c r="L502" s="7"/>
    </row>
    <row r="503" spans="1:12" x14ac:dyDescent="0.25">
      <c r="A503" s="2" t="s">
        <v>643</v>
      </c>
      <c r="B503" s="7">
        <v>2.1227256510881087E-2</v>
      </c>
      <c r="C503" s="7">
        <v>1.9179412478756985E-2</v>
      </c>
      <c r="D503" s="7">
        <v>1.2158054711246313E-2</v>
      </c>
      <c r="E503" s="7">
        <v>1.4534883720931369E-3</v>
      </c>
      <c r="F503" s="7">
        <v>8.6305966277062662E-3</v>
      </c>
      <c r="G503" s="7"/>
      <c r="H503" s="7">
        <f t="shared" si="31"/>
        <v>1.2596659883174821E-2</v>
      </c>
      <c r="I503" s="7">
        <f t="shared" si="32"/>
        <v>1.0548815851050719E-2</v>
      </c>
      <c r="J503" s="7">
        <f t="shared" si="33"/>
        <v>3.5274580835400471E-3</v>
      </c>
      <c r="K503" s="7">
        <f t="shared" si="34"/>
        <v>-7.1771082556131294E-3</v>
      </c>
      <c r="L503" s="7"/>
    </row>
    <row r="504" spans="1:12" x14ac:dyDescent="0.25">
      <c r="A504" s="2" t="s">
        <v>644</v>
      </c>
      <c r="B504" s="7">
        <v>-6.6741480125214192E-3</v>
      </c>
      <c r="C504" s="7">
        <v>-2.115019011406849E-2</v>
      </c>
      <c r="D504" s="7">
        <v>-1.2012012012012074E-2</v>
      </c>
      <c r="E504" s="7">
        <v>2.9078220412914746E-4</v>
      </c>
      <c r="F504" s="7">
        <v>-2.7998213940082506E-3</v>
      </c>
      <c r="G504" s="7"/>
      <c r="H504" s="7">
        <f t="shared" si="31"/>
        <v>-3.8743266185131686E-3</v>
      </c>
      <c r="I504" s="7">
        <f t="shared" si="32"/>
        <v>-1.8350368720060239E-2</v>
      </c>
      <c r="J504" s="7">
        <f t="shared" si="33"/>
        <v>-9.2121906180038238E-3</v>
      </c>
      <c r="K504" s="7">
        <f t="shared" si="34"/>
        <v>3.090603598137398E-3</v>
      </c>
      <c r="L504" s="7"/>
    </row>
    <row r="505" spans="1:12" x14ac:dyDescent="0.25">
      <c r="A505" s="2" t="s">
        <v>101</v>
      </c>
      <c r="B505" s="7">
        <v>-8.317226029403102E-3</v>
      </c>
      <c r="C505" s="7">
        <v>-1.8084237545210602E-2</v>
      </c>
      <c r="D505" s="7">
        <v>-5.9701492537312939E-3</v>
      </c>
      <c r="E505" s="7">
        <v>-9.2192451743013937E-3</v>
      </c>
      <c r="F505" s="7">
        <v>-3.0549197773100945E-3</v>
      </c>
      <c r="G505" s="7"/>
      <c r="H505" s="7">
        <f t="shared" si="31"/>
        <v>-5.2623062520930075E-3</v>
      </c>
      <c r="I505" s="7">
        <f t="shared" si="32"/>
        <v>-1.5029317767900507E-2</v>
      </c>
      <c r="J505" s="7">
        <f t="shared" si="33"/>
        <v>-2.9152294764211995E-3</v>
      </c>
      <c r="K505" s="7">
        <f t="shared" si="34"/>
        <v>-6.1643253969912992E-3</v>
      </c>
      <c r="L505" s="7"/>
    </row>
    <row r="506" spans="1:12" x14ac:dyDescent="0.25">
      <c r="A506" s="2" t="s">
        <v>645</v>
      </c>
      <c r="B506" s="7">
        <v>5.3586150041220471E-3</v>
      </c>
      <c r="C506" s="7">
        <v>-1.0162836355237403E-2</v>
      </c>
      <c r="D506" s="7">
        <v>-1.7595307917888547E-2</v>
      </c>
      <c r="E506" s="7">
        <v>-2.3079088094567934E-2</v>
      </c>
      <c r="F506" s="7">
        <v>-1.4022623165372838E-3</v>
      </c>
      <c r="G506" s="7"/>
      <c r="H506" s="7">
        <f t="shared" si="31"/>
        <v>6.7608773206593309E-3</v>
      </c>
      <c r="I506" s="7">
        <f t="shared" si="32"/>
        <v>-8.7605740387001196E-3</v>
      </c>
      <c r="J506" s="7">
        <f t="shared" si="33"/>
        <v>-1.6193045601351264E-2</v>
      </c>
      <c r="K506" s="7">
        <f t="shared" si="34"/>
        <v>-2.1676825778030651E-2</v>
      </c>
      <c r="L506" s="7"/>
    </row>
    <row r="507" spans="1:12" x14ac:dyDescent="0.25">
      <c r="A507" s="2" t="s">
        <v>646</v>
      </c>
      <c r="B507" s="7">
        <v>-4.0890093753529921E-2</v>
      </c>
      <c r="C507" s="7">
        <v>-2.1894445724821576E-3</v>
      </c>
      <c r="D507" s="7">
        <v>3.9634146341463561E-2</v>
      </c>
      <c r="E507" s="7">
        <v>-4.761904761904856E-3</v>
      </c>
      <c r="F507" s="7">
        <v>3.2365990253835353E-3</v>
      </c>
      <c r="G507" s="7"/>
      <c r="H507" s="7">
        <f t="shared" si="31"/>
        <v>-4.4126692778913457E-2</v>
      </c>
      <c r="I507" s="7">
        <f t="shared" si="32"/>
        <v>-5.4260435978656929E-3</v>
      </c>
      <c r="J507" s="7">
        <f t="shared" si="33"/>
        <v>3.6397547316080026E-2</v>
      </c>
      <c r="K507" s="7">
        <f t="shared" si="34"/>
        <v>-7.9985037872883913E-3</v>
      </c>
      <c r="L507" s="7"/>
    </row>
    <row r="508" spans="1:12" x14ac:dyDescent="0.25">
      <c r="A508" s="2" t="s">
        <v>647</v>
      </c>
      <c r="B508" s="7">
        <v>1.4728637744283235E-2</v>
      </c>
      <c r="C508" s="7">
        <v>2.6496333096758917E-2</v>
      </c>
      <c r="D508" s="7">
        <v>-9.0634441087613649E-3</v>
      </c>
      <c r="E508" s="7">
        <v>1.0472686102462658E-2</v>
      </c>
      <c r="F508" s="7">
        <v>8.9041056211149883E-3</v>
      </c>
      <c r="G508" s="7"/>
      <c r="H508" s="7">
        <f t="shared" si="31"/>
        <v>5.8245321231682468E-3</v>
      </c>
      <c r="I508" s="7">
        <f t="shared" si="32"/>
        <v>1.7592227475643929E-2</v>
      </c>
      <c r="J508" s="7">
        <f t="shared" si="33"/>
        <v>-1.7967549729876353E-2</v>
      </c>
      <c r="K508" s="7">
        <f t="shared" si="34"/>
        <v>1.56858048134767E-3</v>
      </c>
      <c r="L508" s="7"/>
    </row>
    <row r="509" spans="1:12" x14ac:dyDescent="0.25">
      <c r="A509" s="2" t="s">
        <v>648</v>
      </c>
      <c r="B509" s="7">
        <v>1.3592796979378541E-2</v>
      </c>
      <c r="C509" s="7">
        <v>4.9928673323822448E-3</v>
      </c>
      <c r="D509" s="7">
        <v>-6.0060060060059817E-3</v>
      </c>
      <c r="E509" s="7">
        <v>-1.4132278123234476E-3</v>
      </c>
      <c r="F509" s="7">
        <v>5.6491799076401339E-3</v>
      </c>
      <c r="G509" s="7"/>
      <c r="H509" s="7">
        <f t="shared" si="31"/>
        <v>7.9436170717384069E-3</v>
      </c>
      <c r="I509" s="7">
        <f t="shared" si="32"/>
        <v>-6.5631257525788911E-4</v>
      </c>
      <c r="J509" s="7">
        <f t="shared" si="33"/>
        <v>-1.1655185913646116E-2</v>
      </c>
      <c r="K509" s="7">
        <f t="shared" si="34"/>
        <v>-7.0624077199635815E-3</v>
      </c>
      <c r="L509" s="7"/>
    </row>
    <row r="510" spans="1:12" x14ac:dyDescent="0.25">
      <c r="A510" s="2" t="s">
        <v>102</v>
      </c>
      <c r="B510" s="7">
        <v>6.3720332047234596E-3</v>
      </c>
      <c r="C510" s="7">
        <v>-1.8984337921215122E-3</v>
      </c>
      <c r="D510" s="7">
        <v>-8.9285714285713969E-3</v>
      </c>
      <c r="E510" s="7">
        <v>1.415227851684131E-3</v>
      </c>
      <c r="F510" s="7">
        <v>6.3180440445644859E-3</v>
      </c>
      <c r="G510" s="7"/>
      <c r="H510" s="7">
        <f t="shared" si="31"/>
        <v>5.3989160158973704E-5</v>
      </c>
      <c r="I510" s="7">
        <f t="shared" si="32"/>
        <v>-8.2164778366859981E-3</v>
      </c>
      <c r="J510" s="7">
        <f t="shared" si="33"/>
        <v>-1.5246615473135883E-2</v>
      </c>
      <c r="K510" s="7">
        <f t="shared" si="34"/>
        <v>-4.9028161928803549E-3</v>
      </c>
      <c r="L510" s="7"/>
    </row>
    <row r="511" spans="1:12" x14ac:dyDescent="0.25">
      <c r="A511" s="2" t="s">
        <v>649</v>
      </c>
      <c r="B511" s="7">
        <v>-2.216518898740083E-3</v>
      </c>
      <c r="C511" s="7">
        <v>1.8120318917612899E-2</v>
      </c>
      <c r="D511" s="7">
        <v>0</v>
      </c>
      <c r="E511" s="7">
        <v>2.8312570781419133E-4</v>
      </c>
      <c r="F511" s="7">
        <v>-6.4828909150214109E-3</v>
      </c>
      <c r="G511" s="7"/>
      <c r="H511" s="7">
        <f t="shared" si="31"/>
        <v>4.2663720162813279E-3</v>
      </c>
      <c r="I511" s="7">
        <f t="shared" si="32"/>
        <v>2.460320983263431E-2</v>
      </c>
      <c r="J511" s="7">
        <f t="shared" si="33"/>
        <v>6.4828909150214109E-3</v>
      </c>
      <c r="K511" s="7">
        <f t="shared" si="34"/>
        <v>6.7660166228356022E-3</v>
      </c>
      <c r="L511" s="7"/>
    </row>
    <row r="512" spans="1:12" x14ac:dyDescent="0.25">
      <c r="A512" s="2" t="s">
        <v>650</v>
      </c>
      <c r="B512" s="7">
        <v>1.090866206733887E-2</v>
      </c>
      <c r="C512" s="7">
        <v>-9.0974383528849012E-3</v>
      </c>
      <c r="D512" s="7">
        <v>9.009009009008917E-3</v>
      </c>
      <c r="E512" s="7">
        <v>-3.9173014145810647E-2</v>
      </c>
      <c r="F512" s="7">
        <v>-2.871076469757039E-3</v>
      </c>
      <c r="G512" s="7"/>
      <c r="H512" s="7">
        <f t="shared" si="31"/>
        <v>1.3779738537095909E-2</v>
      </c>
      <c r="I512" s="7">
        <f t="shared" si="32"/>
        <v>-6.2263618831278622E-3</v>
      </c>
      <c r="J512" s="7">
        <f t="shared" si="33"/>
        <v>1.1880085478765956E-2</v>
      </c>
      <c r="K512" s="7">
        <f t="shared" si="34"/>
        <v>-3.6301937676053608E-2</v>
      </c>
      <c r="L512" s="7"/>
    </row>
    <row r="513" spans="1:12" x14ac:dyDescent="0.25">
      <c r="A513" s="2" t="s">
        <v>651</v>
      </c>
      <c r="B513" s="7">
        <v>-1.2116269586998185E-2</v>
      </c>
      <c r="C513" s="7">
        <v>5.4265522463402549E-2</v>
      </c>
      <c r="D513" s="7">
        <v>-2.9940119760478723E-3</v>
      </c>
      <c r="E513" s="7">
        <v>4.3715846994534235E-3</v>
      </c>
      <c r="F513" s="7">
        <v>-1.9245372705192221E-3</v>
      </c>
      <c r="G513" s="7"/>
      <c r="H513" s="7">
        <f t="shared" si="31"/>
        <v>-1.0191732316478963E-2</v>
      </c>
      <c r="I513" s="7">
        <f t="shared" si="32"/>
        <v>5.6190059733921771E-2</v>
      </c>
      <c r="J513" s="7">
        <f t="shared" si="33"/>
        <v>-1.0694747055286502E-3</v>
      </c>
      <c r="K513" s="7">
        <f t="shared" si="34"/>
        <v>6.2961219699726456E-3</v>
      </c>
      <c r="L513" s="7"/>
    </row>
    <row r="514" spans="1:12" x14ac:dyDescent="0.25">
      <c r="A514" s="2" t="s">
        <v>652</v>
      </c>
      <c r="B514" s="7">
        <v>2.8039020970851425E-3</v>
      </c>
      <c r="C514" s="7">
        <v>4.9675453702477057E-2</v>
      </c>
      <c r="D514" s="7">
        <v>3.0030030030030463E-3</v>
      </c>
      <c r="E514" s="7">
        <v>1.5961138098542715E-2</v>
      </c>
      <c r="F514" s="7">
        <v>1.1201772588189884E-2</v>
      </c>
      <c r="G514" s="7"/>
      <c r="H514" s="7">
        <f t="shared" si="31"/>
        <v>-8.3978704911047419E-3</v>
      </c>
      <c r="I514" s="7">
        <f t="shared" si="32"/>
        <v>3.8473681114287173E-2</v>
      </c>
      <c r="J514" s="7">
        <f t="shared" si="33"/>
        <v>-8.1987695851868381E-3</v>
      </c>
      <c r="K514" s="7">
        <f t="shared" si="34"/>
        <v>4.759365510352831E-3</v>
      </c>
      <c r="L514" s="7"/>
    </row>
    <row r="515" spans="1:12" x14ac:dyDescent="0.25">
      <c r="A515" s="2" t="s">
        <v>103</v>
      </c>
      <c r="B515" s="7">
        <v>1.182102961167919E-2</v>
      </c>
      <c r="C515" s="7">
        <v>1.5921454159477655E-3</v>
      </c>
      <c r="D515" s="7">
        <v>-2.9940119760478723E-3</v>
      </c>
      <c r="E515" s="7">
        <v>1.7799124170080338E-2</v>
      </c>
      <c r="F515" s="7">
        <v>-1.1222380745127269E-3</v>
      </c>
      <c r="G515" s="7"/>
      <c r="H515" s="7">
        <f t="shared" ref="H515:H578" si="35">B515-$F515</f>
        <v>1.2943267686191917E-2</v>
      </c>
      <c r="I515" s="7">
        <f t="shared" ref="I515:I578" si="36">C515-$F515</f>
        <v>2.7143834904604924E-3</v>
      </c>
      <c r="J515" s="7">
        <f t="shared" ref="J515:J578" si="37">D515-$F515</f>
        <v>-1.8717739015351453E-3</v>
      </c>
      <c r="K515" s="7">
        <f t="shared" ref="K515:K578" si="38">E515-$F515</f>
        <v>1.8921362244593065E-2</v>
      </c>
      <c r="L515" s="7"/>
    </row>
    <row r="516" spans="1:12" x14ac:dyDescent="0.25">
      <c r="A516" s="2" t="s">
        <v>653</v>
      </c>
      <c r="B516" s="7">
        <v>1.0210174349176038E-2</v>
      </c>
      <c r="C516" s="7">
        <v>1.3718897108271788E-2</v>
      </c>
      <c r="D516" s="7">
        <v>-1.1834319526627279E-2</v>
      </c>
      <c r="E516" s="7">
        <v>1.3892867373245688E-2</v>
      </c>
      <c r="F516" s="7">
        <v>-6.5285339786247398E-3</v>
      </c>
      <c r="G516" s="7"/>
      <c r="H516" s="7">
        <f t="shared" si="35"/>
        <v>1.6738708327800778E-2</v>
      </c>
      <c r="I516" s="7">
        <f t="shared" si="36"/>
        <v>2.0247431086896528E-2</v>
      </c>
      <c r="J516" s="7">
        <f t="shared" si="37"/>
        <v>-5.3057855480025395E-3</v>
      </c>
      <c r="K516" s="7">
        <f t="shared" si="38"/>
        <v>2.0421401351870427E-2</v>
      </c>
      <c r="L516" s="7"/>
    </row>
    <row r="517" spans="1:12" x14ac:dyDescent="0.25">
      <c r="A517" s="2" t="s">
        <v>654</v>
      </c>
      <c r="B517" s="7">
        <v>-6.5636374485356086E-4</v>
      </c>
      <c r="C517" s="7">
        <v>1.0771509357747622E-3</v>
      </c>
      <c r="D517" s="7">
        <v>8.9552238805969964E-3</v>
      </c>
      <c r="E517" s="7">
        <v>-1.5787989850578055E-2</v>
      </c>
      <c r="F517" s="7">
        <v>1.0304108322428451E-2</v>
      </c>
      <c r="G517" s="7"/>
      <c r="H517" s="7">
        <f t="shared" si="35"/>
        <v>-1.0960472067282012E-2</v>
      </c>
      <c r="I517" s="7">
        <f t="shared" si="36"/>
        <v>-9.2269573866536891E-3</v>
      </c>
      <c r="J517" s="7">
        <f t="shared" si="37"/>
        <v>-1.348884441831455E-3</v>
      </c>
      <c r="K517" s="7">
        <f t="shared" si="38"/>
        <v>-2.6092098173006506E-2</v>
      </c>
      <c r="L517" s="7"/>
    </row>
    <row r="518" spans="1:12" x14ac:dyDescent="0.25">
      <c r="A518" s="2" t="s">
        <v>655</v>
      </c>
      <c r="B518" s="7">
        <v>-5.9315499139924732E-3</v>
      </c>
      <c r="C518" s="7">
        <v>-1.7473118279570654E-3</v>
      </c>
      <c r="D518" s="7">
        <v>6.0060060060060927E-3</v>
      </c>
      <c r="E518" s="7">
        <v>2.2779700115340251E-2</v>
      </c>
      <c r="F518" s="7">
        <v>5.1411300247115044E-3</v>
      </c>
      <c r="G518" s="7"/>
      <c r="H518" s="7">
        <f t="shared" si="35"/>
        <v>-1.1072679938703978E-2</v>
      </c>
      <c r="I518" s="7">
        <f t="shared" si="36"/>
        <v>-6.8884418526685698E-3</v>
      </c>
      <c r="J518" s="7">
        <f t="shared" si="37"/>
        <v>8.6487598129458831E-4</v>
      </c>
      <c r="K518" s="7">
        <f t="shared" si="38"/>
        <v>1.7638570090628747E-2</v>
      </c>
      <c r="L518" s="7"/>
    </row>
    <row r="519" spans="1:12" x14ac:dyDescent="0.25">
      <c r="A519" s="2" t="s">
        <v>656</v>
      </c>
      <c r="B519" s="7">
        <v>-2.8411710465652384E-2</v>
      </c>
      <c r="C519" s="7">
        <v>1.3623978201634968E-2</v>
      </c>
      <c r="D519" s="7">
        <v>0</v>
      </c>
      <c r="E519" s="7">
        <v>8.658008658009031E-4</v>
      </c>
      <c r="F519" s="7">
        <v>-1.0193044173106403E-2</v>
      </c>
      <c r="G519" s="7"/>
      <c r="H519" s="7">
        <f t="shared" si="35"/>
        <v>-1.8218666292545982E-2</v>
      </c>
      <c r="I519" s="7">
        <f t="shared" si="36"/>
        <v>2.381702237474137E-2</v>
      </c>
      <c r="J519" s="7">
        <f t="shared" si="37"/>
        <v>1.0193044173106403E-2</v>
      </c>
      <c r="K519" s="7">
        <f t="shared" si="38"/>
        <v>1.1058845038907306E-2</v>
      </c>
      <c r="L519" s="7"/>
    </row>
    <row r="520" spans="1:12" x14ac:dyDescent="0.25">
      <c r="A520" s="2" t="s">
        <v>104</v>
      </c>
      <c r="B520" s="7">
        <v>-2.5387553358795723E-2</v>
      </c>
      <c r="C520" s="7">
        <v>-4.6107946840248104E-3</v>
      </c>
      <c r="D520" s="7">
        <v>-3.1976744186046457E-2</v>
      </c>
      <c r="E520" s="7">
        <v>-3.5087719298245612E-2</v>
      </c>
      <c r="F520" s="7">
        <v>-1.1932849011501157E-3</v>
      </c>
      <c r="G520" s="7"/>
      <c r="H520" s="7">
        <f t="shared" si="35"/>
        <v>-2.4194268457645607E-2</v>
      </c>
      <c r="I520" s="7">
        <f t="shared" si="36"/>
        <v>-3.4175097828746948E-3</v>
      </c>
      <c r="J520" s="7">
        <f t="shared" si="37"/>
        <v>-3.0783459284896342E-2</v>
      </c>
      <c r="K520" s="7">
        <f t="shared" si="38"/>
        <v>-3.3894434397095496E-2</v>
      </c>
      <c r="L520" s="7"/>
    </row>
    <row r="521" spans="1:12" x14ac:dyDescent="0.25">
      <c r="A521" s="2" t="s">
        <v>657</v>
      </c>
      <c r="B521" s="7">
        <v>-6.029477445288145E-3</v>
      </c>
      <c r="C521" s="7">
        <v>-2.8397565922921864E-3</v>
      </c>
      <c r="D521" s="7">
        <v>2.0771513353115667E-2</v>
      </c>
      <c r="E521" s="7">
        <v>8.0000000000000071E-3</v>
      </c>
      <c r="F521" s="7">
        <v>8.0078174821975878E-3</v>
      </c>
      <c r="G521" s="7"/>
      <c r="H521" s="7">
        <f t="shared" si="35"/>
        <v>-1.4037294927485733E-2</v>
      </c>
      <c r="I521" s="7">
        <f t="shared" si="36"/>
        <v>-1.0847574074489774E-2</v>
      </c>
      <c r="J521" s="7">
        <f t="shared" si="37"/>
        <v>1.2763695870918079E-2</v>
      </c>
      <c r="K521" s="7">
        <f t="shared" si="38"/>
        <v>-7.8174821975807163E-6</v>
      </c>
      <c r="L521" s="7"/>
    </row>
    <row r="522" spans="1:12" x14ac:dyDescent="0.25">
      <c r="A522" s="2" t="s">
        <v>658</v>
      </c>
      <c r="B522" s="7">
        <v>-3.6711536322171501E-3</v>
      </c>
      <c r="C522" s="7">
        <v>7.2187414873332578E-3</v>
      </c>
      <c r="D522" s="7">
        <v>-1.7492711370262426E-2</v>
      </c>
      <c r="E522" s="7">
        <v>-7.521938988717225E-3</v>
      </c>
      <c r="F522" s="7">
        <v>5.229044372909275E-3</v>
      </c>
      <c r="G522" s="7"/>
      <c r="H522" s="7">
        <f t="shared" si="35"/>
        <v>-8.9001980051264251E-3</v>
      </c>
      <c r="I522" s="7">
        <f t="shared" si="36"/>
        <v>1.9896971144239828E-3</v>
      </c>
      <c r="J522" s="7">
        <f t="shared" si="37"/>
        <v>-2.2721755743171701E-2</v>
      </c>
      <c r="K522" s="7">
        <f t="shared" si="38"/>
        <v>-1.27509833616265E-2</v>
      </c>
      <c r="L522" s="7"/>
    </row>
    <row r="523" spans="1:12" x14ac:dyDescent="0.25">
      <c r="A523" s="2" t="s">
        <v>659</v>
      </c>
      <c r="B523" s="7">
        <v>-6.630566913471081E-3</v>
      </c>
      <c r="C523" s="7">
        <v>-9.043055743015227E-3</v>
      </c>
      <c r="D523" s="7">
        <v>1.479289940828421E-2</v>
      </c>
      <c r="E523" s="7">
        <v>-3.9727126805778501E-2</v>
      </c>
      <c r="F523" s="7">
        <v>-1.6580743494716277E-3</v>
      </c>
      <c r="G523" s="7"/>
      <c r="H523" s="7">
        <f t="shared" si="35"/>
        <v>-4.9724925639994533E-3</v>
      </c>
      <c r="I523" s="7">
        <f t="shared" si="36"/>
        <v>-7.3849813935435993E-3</v>
      </c>
      <c r="J523" s="7">
        <f t="shared" si="37"/>
        <v>1.6450973757755838E-2</v>
      </c>
      <c r="K523" s="7">
        <f t="shared" si="38"/>
        <v>-3.8069052456306873E-2</v>
      </c>
      <c r="L523" s="7"/>
    </row>
    <row r="524" spans="1:12" x14ac:dyDescent="0.25">
      <c r="A524" s="2" t="s">
        <v>660</v>
      </c>
      <c r="B524" s="7">
        <v>8.0766445719377966E-3</v>
      </c>
      <c r="C524" s="7">
        <v>5.2917232021709726E-3</v>
      </c>
      <c r="D524" s="7">
        <v>0</v>
      </c>
      <c r="E524" s="7">
        <v>1.5209125475285301E-2</v>
      </c>
      <c r="F524" s="7">
        <v>1.7062725735916828E-3</v>
      </c>
      <c r="G524" s="7"/>
      <c r="H524" s="7">
        <f t="shared" si="35"/>
        <v>6.3703719983461138E-3</v>
      </c>
      <c r="I524" s="7">
        <f t="shared" si="36"/>
        <v>3.5854506285792898E-3</v>
      </c>
      <c r="J524" s="7">
        <f t="shared" si="37"/>
        <v>-1.7062725735916828E-3</v>
      </c>
      <c r="K524" s="7">
        <f t="shared" si="38"/>
        <v>1.3502852901693618E-2</v>
      </c>
      <c r="L524" s="7"/>
    </row>
    <row r="525" spans="1:12" x14ac:dyDescent="0.25">
      <c r="A525" s="2" t="s">
        <v>105</v>
      </c>
      <c r="B525" s="7">
        <v>-7.4086360369326476E-3</v>
      </c>
      <c r="C525" s="7">
        <v>-8.2088547974700221E-3</v>
      </c>
      <c r="D525" s="7">
        <v>1.501501501501501E-2</v>
      </c>
      <c r="E525" s="7">
        <v>7.2493502940773613E-3</v>
      </c>
      <c r="F525" s="7">
        <v>-3.7867473667663187E-3</v>
      </c>
      <c r="G525" s="7"/>
      <c r="H525" s="7">
        <f t="shared" si="35"/>
        <v>-3.6218886701663289E-3</v>
      </c>
      <c r="I525" s="7">
        <f t="shared" si="36"/>
        <v>-4.4221074307037034E-3</v>
      </c>
      <c r="J525" s="7">
        <f t="shared" si="37"/>
        <v>1.8801762381781328E-2</v>
      </c>
      <c r="K525" s="7">
        <f t="shared" si="38"/>
        <v>1.103609766084368E-2</v>
      </c>
      <c r="L525" s="7"/>
    </row>
    <row r="526" spans="1:12" x14ac:dyDescent="0.25">
      <c r="A526" s="2" t="s">
        <v>661</v>
      </c>
      <c r="B526" s="7">
        <v>-1.0070603688905888E-2</v>
      </c>
      <c r="C526" s="7">
        <v>3.7822504390112588E-3</v>
      </c>
      <c r="D526" s="7">
        <v>-2.0588235294117574E-2</v>
      </c>
      <c r="E526" s="7">
        <v>-2.0475020475021477E-3</v>
      </c>
      <c r="F526" s="7">
        <v>3.4794369209545373E-4</v>
      </c>
      <c r="G526" s="7"/>
      <c r="H526" s="7">
        <f t="shared" si="35"/>
        <v>-1.0418547381001342E-2</v>
      </c>
      <c r="I526" s="7">
        <f t="shared" si="36"/>
        <v>3.4343067469158051E-3</v>
      </c>
      <c r="J526" s="7">
        <f t="shared" si="37"/>
        <v>-2.0936178986213028E-2</v>
      </c>
      <c r="K526" s="7">
        <f t="shared" si="38"/>
        <v>-2.3954457395976014E-3</v>
      </c>
      <c r="L526" s="7"/>
    </row>
    <row r="527" spans="1:12" x14ac:dyDescent="0.25">
      <c r="A527" s="2" t="s">
        <v>662</v>
      </c>
      <c r="B527" s="7">
        <v>1.1235333185742657E-2</v>
      </c>
      <c r="C527" s="7">
        <v>5.5691388209724302E-3</v>
      </c>
      <c r="D527" s="7">
        <v>-1.1627906976744207E-2</v>
      </c>
      <c r="E527" s="7">
        <v>7.148748968930585E-3</v>
      </c>
      <c r="F527" s="7">
        <v>2.1122887309807714E-2</v>
      </c>
      <c r="G527" s="7"/>
      <c r="H527" s="7">
        <f t="shared" si="35"/>
        <v>-9.8875541240650566E-3</v>
      </c>
      <c r="I527" s="7">
        <f t="shared" si="36"/>
        <v>-1.5553748488835284E-2</v>
      </c>
      <c r="J527" s="7">
        <f t="shared" si="37"/>
        <v>-3.2750794286551921E-2</v>
      </c>
      <c r="K527" s="7">
        <f t="shared" si="38"/>
        <v>-1.3974138340877129E-2</v>
      </c>
      <c r="L527" s="7"/>
    </row>
    <row r="528" spans="1:12" x14ac:dyDescent="0.25">
      <c r="A528" s="2" t="s">
        <v>663</v>
      </c>
      <c r="B528" s="7">
        <v>4.2240995998221731E-3</v>
      </c>
      <c r="C528" s="7">
        <v>-1.0854816824965585E-3</v>
      </c>
      <c r="D528" s="7">
        <v>-8.6455331412104153E-3</v>
      </c>
      <c r="E528" s="7">
        <v>3.3385424065918379E-2</v>
      </c>
      <c r="F528" s="7">
        <v>1.2641920124771833E-3</v>
      </c>
      <c r="G528" s="7"/>
      <c r="H528" s="7">
        <f t="shared" si="35"/>
        <v>2.9599075873449898E-3</v>
      </c>
      <c r="I528" s="7">
        <f t="shared" si="36"/>
        <v>-2.3496736949737418E-3</v>
      </c>
      <c r="J528" s="7">
        <f t="shared" si="37"/>
        <v>-9.9097251536875985E-3</v>
      </c>
      <c r="K528" s="7">
        <f t="shared" si="38"/>
        <v>3.2121232053441195E-2</v>
      </c>
      <c r="L528" s="7"/>
    </row>
    <row r="529" spans="1:12" x14ac:dyDescent="0.25">
      <c r="A529" s="2" t="s">
        <v>664</v>
      </c>
      <c r="B529" s="7">
        <v>-4.1512149222339145E-3</v>
      </c>
      <c r="C529" s="7">
        <v>6.1433447098977467E-3</v>
      </c>
      <c r="D529" s="7">
        <v>-1.6997167138810054E-2</v>
      </c>
      <c r="E529" s="7">
        <v>-1.0542592071970724E-2</v>
      </c>
      <c r="F529" s="7">
        <v>-6.0053100845657292E-3</v>
      </c>
      <c r="G529" s="7"/>
      <c r="H529" s="7">
        <f t="shared" si="35"/>
        <v>1.8540951623318147E-3</v>
      </c>
      <c r="I529" s="7">
        <f t="shared" si="36"/>
        <v>1.2148654794463476E-2</v>
      </c>
      <c r="J529" s="7">
        <f t="shared" si="37"/>
        <v>-1.0991857054244325E-2</v>
      </c>
      <c r="K529" s="7">
        <f t="shared" si="38"/>
        <v>-4.5372819874049952E-3</v>
      </c>
      <c r="L529" s="7"/>
    </row>
    <row r="530" spans="1:12" x14ac:dyDescent="0.25">
      <c r="A530" s="2" t="s">
        <v>665</v>
      </c>
      <c r="B530" s="7">
        <v>-8.3973655323820173E-3</v>
      </c>
      <c r="C530" s="7">
        <v>-1.2137559002022957E-2</v>
      </c>
      <c r="D530" s="7">
        <v>-2.8248587570621764E-3</v>
      </c>
      <c r="E530" s="7">
        <v>1.266713581984602E-3</v>
      </c>
      <c r="F530" s="7">
        <v>-4.8034387531735723E-3</v>
      </c>
      <c r="G530" s="7"/>
      <c r="H530" s="7">
        <f t="shared" si="35"/>
        <v>-3.5939267792084451E-3</v>
      </c>
      <c r="I530" s="7">
        <f t="shared" si="36"/>
        <v>-7.3341202488493851E-3</v>
      </c>
      <c r="J530" s="7">
        <f t="shared" si="37"/>
        <v>1.9785799961113959E-3</v>
      </c>
      <c r="K530" s="7">
        <f t="shared" si="38"/>
        <v>6.0701523351581743E-3</v>
      </c>
      <c r="L530" s="7"/>
    </row>
    <row r="531" spans="1:12" x14ac:dyDescent="0.25">
      <c r="A531" s="2" t="s">
        <v>666</v>
      </c>
      <c r="B531" s="7">
        <v>-1.5891281714067729E-3</v>
      </c>
      <c r="C531" s="7">
        <v>1.617102919007829E-2</v>
      </c>
      <c r="D531" s="7">
        <v>2.9069767441860517E-2</v>
      </c>
      <c r="E531" s="7">
        <v>5.8040770101925876E-3</v>
      </c>
      <c r="F531" s="7">
        <v>5.8212781615079034E-3</v>
      </c>
      <c r="G531" s="7"/>
      <c r="H531" s="7">
        <f t="shared" si="35"/>
        <v>-7.4104063329146763E-3</v>
      </c>
      <c r="I531" s="7">
        <f t="shared" si="36"/>
        <v>1.0349751028570386E-2</v>
      </c>
      <c r="J531" s="7">
        <f t="shared" si="37"/>
        <v>2.3248489280352613E-2</v>
      </c>
      <c r="K531" s="7">
        <f t="shared" si="38"/>
        <v>-1.7201151315315855E-5</v>
      </c>
      <c r="L531" s="7"/>
    </row>
    <row r="532" spans="1:12" x14ac:dyDescent="0.25">
      <c r="A532" s="2" t="s">
        <v>667</v>
      </c>
      <c r="B532" s="7">
        <v>-4.7990401919615344E-3</v>
      </c>
      <c r="C532" s="7">
        <v>-2.5970475669764292E-3</v>
      </c>
      <c r="D532" s="7">
        <v>-5.7803468208093012E-3</v>
      </c>
      <c r="E532" s="7">
        <v>2.5105209693803587E-2</v>
      </c>
      <c r="F532" s="7">
        <v>9.5797236921002504E-3</v>
      </c>
      <c r="G532" s="7"/>
      <c r="H532" s="7">
        <f t="shared" si="35"/>
        <v>-1.4378763884061785E-2</v>
      </c>
      <c r="I532" s="7">
        <f t="shared" si="36"/>
        <v>-1.217677125907668E-2</v>
      </c>
      <c r="J532" s="7">
        <f t="shared" si="37"/>
        <v>-1.5360070512909552E-2</v>
      </c>
      <c r="K532" s="7">
        <f t="shared" si="38"/>
        <v>1.5525486001703337E-2</v>
      </c>
      <c r="L532" s="7"/>
    </row>
    <row r="533" spans="1:12" x14ac:dyDescent="0.25">
      <c r="A533" s="2" t="s">
        <v>668</v>
      </c>
      <c r="B533" s="7">
        <v>-1.1269276393831573E-2</v>
      </c>
      <c r="C533" s="7">
        <v>-2.0877944325481845E-2</v>
      </c>
      <c r="D533" s="7">
        <v>-1.7045454545454586E-2</v>
      </c>
      <c r="E533" s="7">
        <v>-2.1025713879812558E-2</v>
      </c>
      <c r="F533" s="7">
        <v>-1.3674270785210219E-2</v>
      </c>
      <c r="G533" s="7"/>
      <c r="H533" s="7">
        <f t="shared" si="35"/>
        <v>2.4049943913786453E-3</v>
      </c>
      <c r="I533" s="7">
        <f t="shared" si="36"/>
        <v>-7.2036735402716268E-3</v>
      </c>
      <c r="J533" s="7">
        <f t="shared" si="37"/>
        <v>-3.3711837602443673E-3</v>
      </c>
      <c r="K533" s="7">
        <f t="shared" si="38"/>
        <v>-7.351443094602339E-3</v>
      </c>
      <c r="L533" s="7"/>
    </row>
    <row r="534" spans="1:12" x14ac:dyDescent="0.25">
      <c r="A534" s="2" t="s">
        <v>106</v>
      </c>
      <c r="B534" s="7">
        <v>-9.0301896874165344E-3</v>
      </c>
      <c r="C534" s="7">
        <v>1.8677573278800264E-2</v>
      </c>
      <c r="D534" s="7">
        <v>1.1494252873563315E-2</v>
      </c>
      <c r="E534" s="7">
        <v>1.5435660703981613E-2</v>
      </c>
      <c r="F534" s="7">
        <v>-9.4894968975101079E-4</v>
      </c>
      <c r="G534" s="7"/>
      <c r="H534" s="7">
        <f t="shared" si="35"/>
        <v>-8.0812399976655236E-3</v>
      </c>
      <c r="I534" s="7">
        <f t="shared" si="36"/>
        <v>1.9626522968551274E-2</v>
      </c>
      <c r="J534" s="7">
        <f t="shared" si="37"/>
        <v>1.2443202563314326E-2</v>
      </c>
      <c r="K534" s="7">
        <f t="shared" si="38"/>
        <v>1.6384610393732624E-2</v>
      </c>
      <c r="L534" s="7"/>
    </row>
    <row r="535" spans="1:12" x14ac:dyDescent="0.25">
      <c r="A535" s="2" t="s">
        <v>669</v>
      </c>
      <c r="B535" s="7">
        <v>4.1313445648676339E-3</v>
      </c>
      <c r="C535" s="7">
        <v>-3.2613126783531676E-3</v>
      </c>
      <c r="D535" s="7">
        <v>2.8818443804032867E-3</v>
      </c>
      <c r="E535" s="7">
        <v>1.7615971814444853E-2</v>
      </c>
      <c r="F535" s="7">
        <v>5.7424003233350618E-3</v>
      </c>
      <c r="G535" s="7"/>
      <c r="H535" s="7">
        <f t="shared" si="35"/>
        <v>-1.6110557584674279E-3</v>
      </c>
      <c r="I535" s="7">
        <f t="shared" si="36"/>
        <v>-9.0037130016882294E-3</v>
      </c>
      <c r="J535" s="7">
        <f t="shared" si="37"/>
        <v>-2.8605559429317751E-3</v>
      </c>
      <c r="K535" s="7">
        <f t="shared" si="38"/>
        <v>1.1873571491109791E-2</v>
      </c>
      <c r="L535" s="7"/>
    </row>
    <row r="536" spans="1:12" x14ac:dyDescent="0.25">
      <c r="A536" s="2" t="s">
        <v>670</v>
      </c>
      <c r="B536" s="7">
        <v>-5.7612290622000017E-3</v>
      </c>
      <c r="C536" s="7">
        <v>-6.8825910931172851E-3</v>
      </c>
      <c r="D536" s="7">
        <v>2.8901734104047616E-3</v>
      </c>
      <c r="E536" s="7">
        <v>-3.8939051918735812E-2</v>
      </c>
      <c r="F536" s="7">
        <v>5.7056371695218822E-4</v>
      </c>
      <c r="G536" s="7"/>
      <c r="H536" s="7">
        <f t="shared" si="35"/>
        <v>-6.33179277915219E-3</v>
      </c>
      <c r="I536" s="7">
        <f t="shared" si="36"/>
        <v>-7.4531548100694733E-3</v>
      </c>
      <c r="J536" s="7">
        <f t="shared" si="37"/>
        <v>2.3196096934525734E-3</v>
      </c>
      <c r="K536" s="7">
        <f t="shared" si="38"/>
        <v>-3.9509615635688E-2</v>
      </c>
      <c r="L536" s="7"/>
    </row>
    <row r="537" spans="1:12" x14ac:dyDescent="0.25">
      <c r="A537" s="2" t="s">
        <v>671</v>
      </c>
      <c r="B537" s="7">
        <v>5.8713637576746081E-4</v>
      </c>
      <c r="C537" s="7">
        <v>9.4556260975275919E-4</v>
      </c>
      <c r="D537" s="7">
        <v>1.4662756598240456E-2</v>
      </c>
      <c r="E537" s="7">
        <v>-5.8573515739142157E-2</v>
      </c>
      <c r="F537" s="7">
        <v>8.2414421615468747E-3</v>
      </c>
      <c r="G537" s="7"/>
      <c r="H537" s="7">
        <f t="shared" si="35"/>
        <v>-7.6543057857794139E-3</v>
      </c>
      <c r="I537" s="7">
        <f t="shared" si="36"/>
        <v>-7.2958795517941155E-3</v>
      </c>
      <c r="J537" s="7">
        <f t="shared" si="37"/>
        <v>6.4213144366935815E-3</v>
      </c>
      <c r="K537" s="7">
        <f t="shared" si="38"/>
        <v>-6.6814957900689032E-2</v>
      </c>
      <c r="L537" s="7"/>
    </row>
    <row r="538" spans="1:12" x14ac:dyDescent="0.25">
      <c r="A538" s="2" t="s">
        <v>672</v>
      </c>
      <c r="B538" s="7">
        <v>8.6137281292057999E-3</v>
      </c>
      <c r="C538" s="7">
        <v>1.1062551215514915E-2</v>
      </c>
      <c r="D538" s="7">
        <v>2.9411764705882248E-3</v>
      </c>
      <c r="E538" s="7">
        <v>4.8169288598078897E-2</v>
      </c>
      <c r="F538" s="7">
        <v>2.310426660138587E-3</v>
      </c>
      <c r="G538" s="7"/>
      <c r="H538" s="7">
        <f t="shared" si="35"/>
        <v>6.3033014690672129E-3</v>
      </c>
      <c r="I538" s="7">
        <f t="shared" si="36"/>
        <v>8.7521245553763283E-3</v>
      </c>
      <c r="J538" s="7">
        <f t="shared" si="37"/>
        <v>6.3074981044963785E-4</v>
      </c>
      <c r="K538" s="7">
        <f t="shared" si="38"/>
        <v>4.585886193794031E-2</v>
      </c>
      <c r="L538" s="7"/>
    </row>
    <row r="539" spans="1:12" x14ac:dyDescent="0.25">
      <c r="A539" s="2" t="s">
        <v>107</v>
      </c>
      <c r="B539" s="7">
        <v>9.8401652712840626E-3</v>
      </c>
      <c r="C539" s="7">
        <v>-2.2560405820317708E-2</v>
      </c>
      <c r="D539" s="7">
        <v>-2.5787965616045905E-2</v>
      </c>
      <c r="E539" s="7">
        <v>3.8756326825740928E-2</v>
      </c>
      <c r="F539" s="7">
        <v>-3.18637682737688E-3</v>
      </c>
      <c r="G539" s="7"/>
      <c r="H539" s="7">
        <f t="shared" si="35"/>
        <v>1.3026542098660943E-2</v>
      </c>
      <c r="I539" s="7">
        <f t="shared" si="36"/>
        <v>-1.9374028992940828E-2</v>
      </c>
      <c r="J539" s="7">
        <f t="shared" si="37"/>
        <v>-2.2601588788669025E-2</v>
      </c>
      <c r="K539" s="7">
        <f t="shared" si="38"/>
        <v>4.1942703653117808E-2</v>
      </c>
      <c r="L539" s="7"/>
    </row>
    <row r="540" spans="1:12" x14ac:dyDescent="0.25">
      <c r="A540" s="2" t="s">
        <v>673</v>
      </c>
      <c r="B540" s="7">
        <v>-5.4071590786201051E-3</v>
      </c>
      <c r="C540" s="7">
        <v>-1.0827941370659011E-2</v>
      </c>
      <c r="D540" s="7">
        <v>-1.412429378531066E-2</v>
      </c>
      <c r="E540" s="7">
        <v>-8.4599942644104642E-3</v>
      </c>
      <c r="F540" s="7">
        <v>1.0684461873673889E-2</v>
      </c>
      <c r="G540" s="7"/>
      <c r="H540" s="7">
        <f t="shared" si="35"/>
        <v>-1.6091620952293995E-2</v>
      </c>
      <c r="I540" s="7">
        <f t="shared" si="36"/>
        <v>-2.1512403244332901E-2</v>
      </c>
      <c r="J540" s="7">
        <f t="shared" si="37"/>
        <v>-2.4808755658984549E-2</v>
      </c>
      <c r="K540" s="7">
        <f t="shared" si="38"/>
        <v>-1.9144456138084354E-2</v>
      </c>
      <c r="L540" s="7"/>
    </row>
    <row r="541" spans="1:12" x14ac:dyDescent="0.25">
      <c r="A541" s="2" t="s">
        <v>674</v>
      </c>
      <c r="B541" s="7">
        <v>1.3369863013698691E-2</v>
      </c>
      <c r="C541" s="7">
        <v>1.6510067114094085E-2</v>
      </c>
      <c r="D541" s="7">
        <v>-3.8043478260869623E-2</v>
      </c>
      <c r="E541" s="7">
        <v>4.0310970342642971E-3</v>
      </c>
      <c r="F541" s="7">
        <v>1.2493679898465615E-2</v>
      </c>
      <c r="G541" s="7"/>
      <c r="H541" s="7">
        <f t="shared" si="35"/>
        <v>8.7618311523307568E-4</v>
      </c>
      <c r="I541" s="7">
        <f t="shared" si="36"/>
        <v>4.0163872156284697E-3</v>
      </c>
      <c r="J541" s="7">
        <f t="shared" si="37"/>
        <v>-5.0537158159335238E-2</v>
      </c>
      <c r="K541" s="7">
        <f t="shared" si="38"/>
        <v>-8.4625828642013179E-3</v>
      </c>
      <c r="L541" s="7"/>
    </row>
    <row r="542" spans="1:12" x14ac:dyDescent="0.25">
      <c r="A542" s="2" t="s">
        <v>675</v>
      </c>
      <c r="B542" s="7">
        <v>-1.9397130729138734E-2</v>
      </c>
      <c r="C542" s="7">
        <v>-1.4550264550264425E-2</v>
      </c>
      <c r="D542" s="7">
        <v>8.2191780821918581E-3</v>
      </c>
      <c r="E542" s="7">
        <v>-2.1548628070680031E-3</v>
      </c>
      <c r="F542" s="7">
        <v>-1.6105681862021659E-2</v>
      </c>
      <c r="G542" s="7"/>
      <c r="H542" s="7">
        <f t="shared" si="35"/>
        <v>-3.291448867117075E-3</v>
      </c>
      <c r="I542" s="7">
        <f t="shared" si="36"/>
        <v>1.5554173117572345E-3</v>
      </c>
      <c r="J542" s="7">
        <f t="shared" si="37"/>
        <v>2.4324859944213517E-2</v>
      </c>
      <c r="K542" s="7">
        <f t="shared" si="38"/>
        <v>1.3950819054953656E-2</v>
      </c>
      <c r="L542" s="7"/>
    </row>
    <row r="543" spans="1:12" x14ac:dyDescent="0.25">
      <c r="A543" s="2" t="s">
        <v>676</v>
      </c>
      <c r="B543" s="7">
        <v>-1.923482293423262E-2</v>
      </c>
      <c r="C543" s="7">
        <v>-6.5703022339027584E-3</v>
      </c>
      <c r="D543" s="7">
        <v>-5.4495912806539204E-3</v>
      </c>
      <c r="E543" s="7">
        <v>-1.7085569048291394E-2</v>
      </c>
      <c r="F543" s="7">
        <v>-6.0065788272156695E-4</v>
      </c>
      <c r="G543" s="7"/>
      <c r="H543" s="7">
        <f t="shared" si="35"/>
        <v>-1.8634165051511054E-2</v>
      </c>
      <c r="I543" s="7">
        <f t="shared" si="36"/>
        <v>-5.9696443511811914E-3</v>
      </c>
      <c r="J543" s="7">
        <f t="shared" si="37"/>
        <v>-4.8489333979323535E-3</v>
      </c>
      <c r="K543" s="7">
        <f t="shared" si="38"/>
        <v>-1.6484911165569827E-2</v>
      </c>
      <c r="L543" s="7"/>
    </row>
    <row r="544" spans="1:12" x14ac:dyDescent="0.25">
      <c r="A544" s="2" t="s">
        <v>108</v>
      </c>
      <c r="B544" s="7">
        <v>-3.5706784289015747E-3</v>
      </c>
      <c r="C544" s="7">
        <v>4.0902493732681844E-3</v>
      </c>
      <c r="D544" s="7">
        <v>-1.3440860215053863E-2</v>
      </c>
      <c r="E544" s="7">
        <v>-5.7560016846835982E-3</v>
      </c>
      <c r="F544" s="7">
        <v>7.5567832147815928E-3</v>
      </c>
      <c r="G544" s="7"/>
      <c r="H544" s="7">
        <f t="shared" si="35"/>
        <v>-1.1127461643683167E-2</v>
      </c>
      <c r="I544" s="7">
        <f t="shared" si="36"/>
        <v>-3.4665338415134084E-3</v>
      </c>
      <c r="J544" s="7">
        <f t="shared" si="37"/>
        <v>-2.0997643429835455E-2</v>
      </c>
      <c r="K544" s="7">
        <f t="shared" si="38"/>
        <v>-1.3312784899465191E-2</v>
      </c>
      <c r="L544" s="7"/>
    </row>
    <row r="545" spans="1:12" x14ac:dyDescent="0.25">
      <c r="A545" s="2" t="s">
        <v>677</v>
      </c>
      <c r="B545" s="7">
        <v>-9.0024457511578282E-3</v>
      </c>
      <c r="C545" s="7">
        <v>0</v>
      </c>
      <c r="D545" s="7">
        <v>2.7624309392265234E-2</v>
      </c>
      <c r="E545" s="7">
        <v>2.1102982554868088E-3</v>
      </c>
      <c r="F545" s="7">
        <v>-6.517972440622799E-4</v>
      </c>
      <c r="G545" s="7"/>
      <c r="H545" s="7">
        <f t="shared" si="35"/>
        <v>-8.3506485070955483E-3</v>
      </c>
      <c r="I545" s="7">
        <f t="shared" si="36"/>
        <v>6.517972440622799E-4</v>
      </c>
      <c r="J545" s="7">
        <f t="shared" si="37"/>
        <v>2.8276106636327514E-2</v>
      </c>
      <c r="K545" s="7">
        <f t="shared" si="38"/>
        <v>2.7620954995490887E-3</v>
      </c>
      <c r="L545" s="7"/>
    </row>
    <row r="546" spans="1:12" x14ac:dyDescent="0.25">
      <c r="A546" s="2" t="s">
        <v>678</v>
      </c>
      <c r="B546" s="7">
        <v>-1.7142857142857792E-3</v>
      </c>
      <c r="C546" s="7">
        <v>2.9475685954903685E-2</v>
      </c>
      <c r="D546" s="7">
        <v>-1.0928961748633892E-2</v>
      </c>
      <c r="E546" s="7">
        <v>-1.7960762641613615E-2</v>
      </c>
      <c r="F546" s="7">
        <v>5.2602931057501578E-3</v>
      </c>
      <c r="G546" s="7"/>
      <c r="H546" s="7">
        <f t="shared" si="35"/>
        <v>-6.9745788200359371E-3</v>
      </c>
      <c r="I546" s="7">
        <f t="shared" si="36"/>
        <v>2.4215392849153528E-2</v>
      </c>
      <c r="J546" s="7">
        <f t="shared" si="37"/>
        <v>-1.618925485438405E-2</v>
      </c>
      <c r="K546" s="7">
        <f t="shared" si="38"/>
        <v>-2.3221055747363772E-2</v>
      </c>
      <c r="L546" s="7"/>
    </row>
    <row r="547" spans="1:12" x14ac:dyDescent="0.25">
      <c r="A547" s="2" t="s">
        <v>679</v>
      </c>
      <c r="B547" s="7">
        <v>-3.4684474814928867E-3</v>
      </c>
      <c r="C547" s="7">
        <v>-2.9783869267263952E-2</v>
      </c>
      <c r="D547" s="7">
        <v>3.6827195467422191E-2</v>
      </c>
      <c r="E547" s="7">
        <v>1.6002245929253256E-2</v>
      </c>
      <c r="F547" s="7">
        <v>8.1198865271558951E-4</v>
      </c>
      <c r="G547" s="7"/>
      <c r="H547" s="7">
        <f t="shared" si="35"/>
        <v>-4.2804361342084762E-3</v>
      </c>
      <c r="I547" s="7">
        <f t="shared" si="36"/>
        <v>-3.0595857919979541E-2</v>
      </c>
      <c r="J547" s="7">
        <f t="shared" si="37"/>
        <v>3.6015206814706602E-2</v>
      </c>
      <c r="K547" s="7">
        <f t="shared" si="38"/>
        <v>1.5190257276537666E-2</v>
      </c>
      <c r="L547" s="7"/>
    </row>
    <row r="548" spans="1:12" x14ac:dyDescent="0.25">
      <c r="A548" s="2" t="s">
        <v>680</v>
      </c>
      <c r="B548" s="7">
        <v>6.6180302240750333E-3</v>
      </c>
      <c r="C548" s="7">
        <v>-0.11032946418102951</v>
      </c>
      <c r="D548" s="7">
        <v>-1.1204481792717047E-2</v>
      </c>
      <c r="E548" s="7">
        <v>7.8576835730507222E-2</v>
      </c>
      <c r="F548" s="7">
        <v>2.9213904746590025E-3</v>
      </c>
      <c r="G548" s="7"/>
      <c r="H548" s="7">
        <f t="shared" si="35"/>
        <v>3.6966397494160308E-3</v>
      </c>
      <c r="I548" s="7">
        <f t="shared" si="36"/>
        <v>-0.11325085465568852</v>
      </c>
      <c r="J548" s="7">
        <f t="shared" si="37"/>
        <v>-1.412587226737605E-2</v>
      </c>
      <c r="K548" s="7">
        <f t="shared" si="38"/>
        <v>7.5655445255848219E-2</v>
      </c>
      <c r="L548" s="7"/>
    </row>
    <row r="549" spans="1:12" x14ac:dyDescent="0.25">
      <c r="A549" s="2" t="s">
        <v>109</v>
      </c>
      <c r="B549" s="7">
        <v>1.2184186929690366E-2</v>
      </c>
      <c r="C549" s="7">
        <v>2.3504524620989731E-3</v>
      </c>
      <c r="D549" s="7">
        <v>-2.7247956403269824E-2</v>
      </c>
      <c r="E549" s="7">
        <v>-1.1375542583445641E-2</v>
      </c>
      <c r="F549" s="7">
        <v>2.194301015948863E-3</v>
      </c>
      <c r="G549" s="7"/>
      <c r="H549" s="7">
        <f t="shared" si="35"/>
        <v>9.989885913741503E-3</v>
      </c>
      <c r="I549" s="7">
        <f t="shared" si="36"/>
        <v>1.5615144615011012E-4</v>
      </c>
      <c r="J549" s="7">
        <f t="shared" si="37"/>
        <v>-2.9442257419218687E-2</v>
      </c>
      <c r="K549" s="7">
        <f t="shared" si="38"/>
        <v>-1.3569843599394504E-2</v>
      </c>
      <c r="L549" s="7"/>
    </row>
    <row r="550" spans="1:12" x14ac:dyDescent="0.25">
      <c r="A550" s="2" t="s">
        <v>681</v>
      </c>
      <c r="B550" s="7">
        <v>1.5533772564143788E-2</v>
      </c>
      <c r="C550" s="7">
        <v>1.2494050452165562E-2</v>
      </c>
      <c r="D550" s="7">
        <v>-2.7173913043478937E-3</v>
      </c>
      <c r="E550" s="7">
        <v>2.0000000000000018E-2</v>
      </c>
      <c r="F550" s="7">
        <v>1.2313478102632613E-2</v>
      </c>
      <c r="G550" s="7"/>
      <c r="H550" s="7">
        <f t="shared" si="35"/>
        <v>3.220294461511175E-3</v>
      </c>
      <c r="I550" s="7">
        <f t="shared" si="36"/>
        <v>1.805723495329481E-4</v>
      </c>
      <c r="J550" s="7">
        <f t="shared" si="37"/>
        <v>-1.5030869406980507E-2</v>
      </c>
      <c r="K550" s="7">
        <f t="shared" si="38"/>
        <v>7.6865218973674043E-3</v>
      </c>
      <c r="L550" s="7"/>
    </row>
    <row r="551" spans="1:12" x14ac:dyDescent="0.25">
      <c r="A551" s="2" t="s">
        <v>682</v>
      </c>
      <c r="B551" s="7">
        <v>3.2577433628318442E-2</v>
      </c>
      <c r="C551" s="7">
        <v>3.3428844317096029E-3</v>
      </c>
      <c r="D551" s="7">
        <v>-1.0752688172043001E-2</v>
      </c>
      <c r="E551" s="7">
        <v>-1.2662044015676832E-2</v>
      </c>
      <c r="F551" s="7">
        <v>8.8052650125229892E-3</v>
      </c>
      <c r="G551" s="7"/>
      <c r="H551" s="7">
        <f t="shared" si="35"/>
        <v>2.3772168615795453E-2</v>
      </c>
      <c r="I551" s="7">
        <f t="shared" si="36"/>
        <v>-5.4623805808133863E-3</v>
      </c>
      <c r="J551" s="7">
        <f t="shared" si="37"/>
        <v>-1.955795318456599E-2</v>
      </c>
      <c r="K551" s="7">
        <f t="shared" si="38"/>
        <v>-2.1467309028199821E-2</v>
      </c>
      <c r="L551" s="7"/>
    </row>
    <row r="552" spans="1:12" x14ac:dyDescent="0.25">
      <c r="A552" s="2" t="s">
        <v>683</v>
      </c>
      <c r="B552" s="7">
        <v>-5.1722240563442101E-3</v>
      </c>
      <c r="C552" s="7">
        <v>-1.4472290857747816E-2</v>
      </c>
      <c r="D552" s="7">
        <v>5.4054054054053502E-3</v>
      </c>
      <c r="E552" s="7">
        <v>-7.629020194465097E-3</v>
      </c>
      <c r="F552" s="7">
        <v>-5.6168930629166836E-3</v>
      </c>
      <c r="G552" s="7"/>
      <c r="H552" s="7">
        <f t="shared" si="35"/>
        <v>4.4466900657247344E-4</v>
      </c>
      <c r="I552" s="7">
        <f t="shared" si="36"/>
        <v>-8.8553977948311324E-3</v>
      </c>
      <c r="J552" s="7">
        <f t="shared" si="37"/>
        <v>1.1022298468322034E-2</v>
      </c>
      <c r="K552" s="7">
        <f t="shared" si="38"/>
        <v>-2.0121271315484135E-3</v>
      </c>
      <c r="L552" s="7"/>
    </row>
    <row r="553" spans="1:12" x14ac:dyDescent="0.25">
      <c r="A553" s="2" t="s">
        <v>684</v>
      </c>
      <c r="B553" s="7">
        <v>-1.2336286071409019E-2</v>
      </c>
      <c r="C553" s="7">
        <v>-4.4512123696850425E-3</v>
      </c>
      <c r="D553" s="7">
        <v>2.7100271002711285E-3</v>
      </c>
      <c r="E553" s="7">
        <v>-3.3121203355510609E-2</v>
      </c>
      <c r="F553" s="7">
        <v>-3.7313198838587747E-3</v>
      </c>
      <c r="G553" s="7"/>
      <c r="H553" s="7">
        <f t="shared" si="35"/>
        <v>-8.6049661875502448E-3</v>
      </c>
      <c r="I553" s="7">
        <f t="shared" si="36"/>
        <v>-7.1989248582626786E-4</v>
      </c>
      <c r="J553" s="7">
        <f t="shared" si="37"/>
        <v>6.4413469841299031E-3</v>
      </c>
      <c r="K553" s="7">
        <f t="shared" si="38"/>
        <v>-2.9389883471651834E-2</v>
      </c>
      <c r="L553" s="7"/>
    </row>
    <row r="554" spans="1:12" x14ac:dyDescent="0.25">
      <c r="A554" s="2" t="s">
        <v>685</v>
      </c>
      <c r="B554" s="7">
        <v>1.7966027874563029E-3</v>
      </c>
      <c r="C554" s="7">
        <v>-7.3255813953487792E-3</v>
      </c>
      <c r="D554" s="7">
        <v>2.4999999999999911E-2</v>
      </c>
      <c r="E554" s="7">
        <v>-7.4648291702554825E-3</v>
      </c>
      <c r="F554" s="7">
        <v>7.5100831757413111E-4</v>
      </c>
      <c r="G554" s="7"/>
      <c r="H554" s="7">
        <f t="shared" si="35"/>
        <v>1.0455944698821718E-3</v>
      </c>
      <c r="I554" s="7">
        <f t="shared" si="36"/>
        <v>-8.0765897129229103E-3</v>
      </c>
      <c r="J554" s="7">
        <f t="shared" si="37"/>
        <v>2.424899168242578E-2</v>
      </c>
      <c r="K554" s="7">
        <f t="shared" si="38"/>
        <v>-8.2158374878296137E-3</v>
      </c>
      <c r="L554" s="7"/>
    </row>
    <row r="555" spans="1:12" x14ac:dyDescent="0.25">
      <c r="A555" s="2" t="s">
        <v>686</v>
      </c>
      <c r="B555" s="7">
        <v>-3.2559149120903186E-3</v>
      </c>
      <c r="C555" s="7">
        <v>5.7303239387205274E-3</v>
      </c>
      <c r="D555" s="7">
        <v>-1.098901098901095E-2</v>
      </c>
      <c r="E555" s="7">
        <v>1.3531209079004736E-2</v>
      </c>
      <c r="F555" s="7">
        <v>-6.7106377196379796E-4</v>
      </c>
      <c r="G555" s="7"/>
      <c r="H555" s="7">
        <f t="shared" si="35"/>
        <v>-2.5848511401265206E-3</v>
      </c>
      <c r="I555" s="7">
        <f t="shared" si="36"/>
        <v>6.4013877106843253E-3</v>
      </c>
      <c r="J555" s="7">
        <f t="shared" si="37"/>
        <v>-1.0317947217047152E-2</v>
      </c>
      <c r="K555" s="7">
        <f t="shared" si="38"/>
        <v>1.4202272850968534E-2</v>
      </c>
      <c r="L555" s="7"/>
    </row>
    <row r="556" spans="1:12" x14ac:dyDescent="0.25">
      <c r="A556" s="2" t="s">
        <v>687</v>
      </c>
      <c r="B556" s="7">
        <v>5.6756166775813188E-3</v>
      </c>
      <c r="C556" s="7">
        <v>-7.3136754121198022E-3</v>
      </c>
      <c r="D556" s="7">
        <v>-1.0869565217391353E-2</v>
      </c>
      <c r="E556" s="7">
        <v>-8.5112521638774918E-3</v>
      </c>
      <c r="F556" s="7">
        <v>5.6659308314936929E-3</v>
      </c>
      <c r="G556" s="7"/>
      <c r="H556" s="7">
        <f t="shared" si="35"/>
        <v>9.6858460876259045E-6</v>
      </c>
      <c r="I556" s="7">
        <f t="shared" si="36"/>
        <v>-1.2979606243613495E-2</v>
      </c>
      <c r="J556" s="7">
        <f t="shared" si="37"/>
        <v>-1.6535496048885046E-2</v>
      </c>
      <c r="K556" s="7">
        <f t="shared" si="38"/>
        <v>-1.4177182995371185E-2</v>
      </c>
      <c r="L556" s="7"/>
    </row>
    <row r="557" spans="1:12" x14ac:dyDescent="0.25">
      <c r="A557" s="2" t="s">
        <v>688</v>
      </c>
      <c r="B557" s="7">
        <v>-2.2325074870678252E-3</v>
      </c>
      <c r="C557" s="7">
        <v>2.2105875509017547E-3</v>
      </c>
      <c r="D557" s="7">
        <v>-5.4054054054054612E-3</v>
      </c>
      <c r="E557" s="7">
        <v>-1.1690903906472871E-2</v>
      </c>
      <c r="F557" s="7">
        <v>-1.4778924917183689E-3</v>
      </c>
      <c r="G557" s="7"/>
      <c r="H557" s="7">
        <f t="shared" si="35"/>
        <v>-7.5461499534945631E-4</v>
      </c>
      <c r="I557" s="7">
        <f t="shared" si="36"/>
        <v>3.6884800426201236E-3</v>
      </c>
      <c r="J557" s="7">
        <f t="shared" si="37"/>
        <v>-3.9275129136870923E-3</v>
      </c>
      <c r="K557" s="7">
        <f t="shared" si="38"/>
        <v>-1.0213011414754503E-2</v>
      </c>
      <c r="L557" s="7"/>
    </row>
    <row r="558" spans="1:12" x14ac:dyDescent="0.25">
      <c r="A558" s="2" t="s">
        <v>110</v>
      </c>
      <c r="B558" s="7">
        <v>2.4146776712023366E-2</v>
      </c>
      <c r="C558" s="7">
        <v>2.4492652204339826E-3</v>
      </c>
      <c r="D558" s="7">
        <v>-1.8567639257294433E-2</v>
      </c>
      <c r="E558" s="7">
        <v>-1.8500071154119446E-3</v>
      </c>
      <c r="F558" s="7">
        <v>1.4114671594383177E-2</v>
      </c>
      <c r="G558" s="7"/>
      <c r="H558" s="7">
        <f t="shared" si="35"/>
        <v>1.0032105117640189E-2</v>
      </c>
      <c r="I558" s="7">
        <f t="shared" si="36"/>
        <v>-1.1665406373949194E-2</v>
      </c>
      <c r="J558" s="7">
        <f t="shared" si="37"/>
        <v>-3.268231085167761E-2</v>
      </c>
      <c r="K558" s="7">
        <f t="shared" si="38"/>
        <v>-1.5964678709795121E-2</v>
      </c>
      <c r="L558" s="7"/>
    </row>
    <row r="559" spans="1:12" x14ac:dyDescent="0.25">
      <c r="A559" s="2" t="s">
        <v>689</v>
      </c>
      <c r="B559" s="7">
        <v>-3.9991113085980912E-3</v>
      </c>
      <c r="C559" s="7">
        <v>3.8637161924832686E-3</v>
      </c>
      <c r="D559" s="7">
        <v>3.287671232876721E-2</v>
      </c>
      <c r="E559" s="7">
        <v>-2.2126356804898495E-2</v>
      </c>
      <c r="F559" s="7">
        <v>1.8256737503945519E-3</v>
      </c>
      <c r="G559" s="7"/>
      <c r="H559" s="7">
        <f t="shared" si="35"/>
        <v>-5.8247850589926431E-3</v>
      </c>
      <c r="I559" s="7">
        <f t="shared" si="36"/>
        <v>2.0380424420887167E-3</v>
      </c>
      <c r="J559" s="7">
        <f t="shared" si="37"/>
        <v>3.1051038578372658E-2</v>
      </c>
      <c r="K559" s="7">
        <f t="shared" si="38"/>
        <v>-2.3952030555293047E-2</v>
      </c>
      <c r="L559" s="7"/>
    </row>
    <row r="560" spans="1:12" x14ac:dyDescent="0.25">
      <c r="A560" s="2" t="s">
        <v>690</v>
      </c>
      <c r="B560" s="7">
        <v>-1.2722088177231972E-2</v>
      </c>
      <c r="C560" s="7">
        <v>3.5248501938667243E-3</v>
      </c>
      <c r="D560" s="7">
        <v>-1.084010840108407E-2</v>
      </c>
      <c r="E560" s="7">
        <v>-2.5098358431691725E-2</v>
      </c>
      <c r="F560" s="7">
        <v>-3.4284062480738342E-3</v>
      </c>
      <c r="G560" s="7"/>
      <c r="H560" s="7">
        <f t="shared" si="35"/>
        <v>-9.2936819291581374E-3</v>
      </c>
      <c r="I560" s="7">
        <f t="shared" si="36"/>
        <v>6.9532564419405585E-3</v>
      </c>
      <c r="J560" s="7">
        <f t="shared" si="37"/>
        <v>-7.4117021530102356E-3</v>
      </c>
      <c r="K560" s="7">
        <f t="shared" si="38"/>
        <v>-2.1669952183617891E-2</v>
      </c>
      <c r="L560" s="7"/>
    </row>
    <row r="561" spans="1:12" x14ac:dyDescent="0.25">
      <c r="A561" s="2" t="s">
        <v>691</v>
      </c>
      <c r="B561" s="7">
        <v>-7.4565939149837668E-3</v>
      </c>
      <c r="C561" s="7">
        <v>-2.0147363573566612E-2</v>
      </c>
      <c r="D561" s="7">
        <v>3.9436619718309807E-2</v>
      </c>
      <c r="E561" s="7">
        <v>2.4461431549687163E-2</v>
      </c>
      <c r="F561" s="7">
        <v>-8.0163109367190621E-3</v>
      </c>
      <c r="G561" s="7"/>
      <c r="H561" s="7">
        <f t="shared" si="35"/>
        <v>5.5971702173529536E-4</v>
      </c>
      <c r="I561" s="7">
        <f t="shared" si="36"/>
        <v>-1.213105263684755E-2</v>
      </c>
      <c r="J561" s="7">
        <f t="shared" si="37"/>
        <v>4.7452930655028869E-2</v>
      </c>
      <c r="K561" s="7">
        <f t="shared" si="38"/>
        <v>3.2477742486406225E-2</v>
      </c>
      <c r="L561" s="7"/>
    </row>
    <row r="562" spans="1:12" x14ac:dyDescent="0.25">
      <c r="A562" s="2" t="s">
        <v>692</v>
      </c>
      <c r="B562" s="7">
        <v>-3.5791130936762117E-2</v>
      </c>
      <c r="C562" s="7">
        <v>6.2557924003707743E-3</v>
      </c>
      <c r="D562" s="7">
        <v>2.0114942528735691E-2</v>
      </c>
      <c r="E562" s="7">
        <v>-3.5522788203753208E-2</v>
      </c>
      <c r="F562" s="7">
        <v>-5.6605790982068305E-3</v>
      </c>
      <c r="G562" s="7"/>
      <c r="H562" s="7">
        <f t="shared" si="35"/>
        <v>-3.0130551838555286E-2</v>
      </c>
      <c r="I562" s="7">
        <f t="shared" si="36"/>
        <v>1.1916371498577605E-2</v>
      </c>
      <c r="J562" s="7">
        <f t="shared" si="37"/>
        <v>2.5775521626942521E-2</v>
      </c>
      <c r="K562" s="7">
        <f t="shared" si="38"/>
        <v>-2.9862209105546378E-2</v>
      </c>
      <c r="L562" s="7"/>
    </row>
    <row r="563" spans="1:12" x14ac:dyDescent="0.25">
      <c r="A563" s="2" t="s">
        <v>693</v>
      </c>
      <c r="B563" s="7">
        <v>-5.4282582598256246E-3</v>
      </c>
      <c r="C563" s="7">
        <v>-3.3483431474425895E-3</v>
      </c>
      <c r="D563" s="7">
        <v>-5.7142857142856718E-3</v>
      </c>
      <c r="E563" s="7">
        <v>3.4974441754100916E-3</v>
      </c>
      <c r="F563" s="7">
        <v>-2.8264709879060046E-3</v>
      </c>
      <c r="G563" s="7"/>
      <c r="H563" s="7">
        <f t="shared" si="35"/>
        <v>-2.60178727191962E-3</v>
      </c>
      <c r="I563" s="7">
        <f t="shared" si="36"/>
        <v>-5.2187215953658495E-4</v>
      </c>
      <c r="J563" s="7">
        <f t="shared" si="37"/>
        <v>-2.8878147263796672E-3</v>
      </c>
      <c r="K563" s="7">
        <f t="shared" si="38"/>
        <v>6.3239151633160962E-3</v>
      </c>
      <c r="L563" s="7"/>
    </row>
    <row r="564" spans="1:12" x14ac:dyDescent="0.25">
      <c r="A564" s="2" t="s">
        <v>694</v>
      </c>
      <c r="B564" s="7">
        <v>2.2494245658086776E-3</v>
      </c>
      <c r="C564" s="7">
        <v>8.7351502445842666E-3</v>
      </c>
      <c r="D564" s="7">
        <v>-2.777777777777779E-2</v>
      </c>
      <c r="E564" s="7">
        <v>1.4880546075085377E-2</v>
      </c>
      <c r="F564" s="7">
        <v>3.7017052940679918E-4</v>
      </c>
      <c r="G564" s="7"/>
      <c r="H564" s="7">
        <f t="shared" si="35"/>
        <v>1.8792540364018784E-3</v>
      </c>
      <c r="I564" s="7">
        <f t="shared" si="36"/>
        <v>8.3649797151774674E-3</v>
      </c>
      <c r="J564" s="7">
        <f t="shared" si="37"/>
        <v>-2.8147948307184589E-2</v>
      </c>
      <c r="K564" s="7">
        <f t="shared" si="38"/>
        <v>1.4510375545678578E-2</v>
      </c>
      <c r="L564" s="7"/>
    </row>
    <row r="565" spans="1:12" x14ac:dyDescent="0.25">
      <c r="A565" s="2" t="s">
        <v>695</v>
      </c>
      <c r="B565" s="7">
        <v>4.7103155911454309E-4</v>
      </c>
      <c r="C565" s="7">
        <v>5.8575445173383311E-3</v>
      </c>
      <c r="D565" s="7">
        <v>-2.7700831024930483E-3</v>
      </c>
      <c r="E565" s="7">
        <v>3.424657534246478E-3</v>
      </c>
      <c r="F565" s="7">
        <v>1.430441384365766E-3</v>
      </c>
      <c r="G565" s="7"/>
      <c r="H565" s="7">
        <f t="shared" si="35"/>
        <v>-9.5940982525122287E-4</v>
      </c>
      <c r="I565" s="7">
        <f t="shared" si="36"/>
        <v>4.4271031329725652E-3</v>
      </c>
      <c r="J565" s="7">
        <f t="shared" si="37"/>
        <v>-4.2005244868588143E-3</v>
      </c>
      <c r="K565" s="7">
        <f t="shared" si="38"/>
        <v>1.9942161498807121E-3</v>
      </c>
      <c r="L565" s="7"/>
    </row>
    <row r="566" spans="1:12" x14ac:dyDescent="0.25">
      <c r="A566" s="2" t="s">
        <v>696</v>
      </c>
      <c r="B566" s="7">
        <v>-2.8182245185534027E-3</v>
      </c>
      <c r="C566" s="7">
        <v>1.6674606955693339E-2</v>
      </c>
      <c r="D566" s="7">
        <v>-3.9893617021276584E-2</v>
      </c>
      <c r="E566" s="7">
        <v>7.5914423740510717E-3</v>
      </c>
      <c r="F566" s="7">
        <v>4.2316647141837915E-3</v>
      </c>
      <c r="G566" s="7"/>
      <c r="H566" s="7">
        <f t="shared" si="35"/>
        <v>-7.0498892327371943E-3</v>
      </c>
      <c r="I566" s="7">
        <f t="shared" si="36"/>
        <v>1.2442942241509547E-2</v>
      </c>
      <c r="J566" s="7">
        <f t="shared" si="37"/>
        <v>-4.4125281735460375E-2</v>
      </c>
      <c r="K566" s="7">
        <f t="shared" si="38"/>
        <v>3.3597776598672802E-3</v>
      </c>
      <c r="L566" s="7"/>
    </row>
    <row r="567" spans="1:12" x14ac:dyDescent="0.25">
      <c r="A567" s="2" t="s">
        <v>697</v>
      </c>
      <c r="B567" s="7">
        <v>-5.553248910109998E-3</v>
      </c>
      <c r="C567" s="7">
        <v>7.3185362927414843E-3</v>
      </c>
      <c r="D567" s="7">
        <v>4.1551246537396169E-2</v>
      </c>
      <c r="E567" s="7">
        <v>-1.2942779291553186E-2</v>
      </c>
      <c r="F567" s="7">
        <v>1.6600832148312428E-3</v>
      </c>
      <c r="G567" s="7"/>
      <c r="H567" s="7">
        <f t="shared" si="35"/>
        <v>-7.2133321249412408E-3</v>
      </c>
      <c r="I567" s="7">
        <f t="shared" si="36"/>
        <v>5.6584530779102415E-3</v>
      </c>
      <c r="J567" s="7">
        <f t="shared" si="37"/>
        <v>3.9891163322564926E-2</v>
      </c>
      <c r="K567" s="7">
        <f t="shared" si="38"/>
        <v>-1.4602862506384429E-2</v>
      </c>
      <c r="L567" s="7"/>
    </row>
    <row r="568" spans="1:12" x14ac:dyDescent="0.25">
      <c r="A568" s="2" t="s">
        <v>698</v>
      </c>
      <c r="B568" s="7">
        <v>-7.778872582067109E-4</v>
      </c>
      <c r="C568" s="7">
        <v>1.8201807964817851E-2</v>
      </c>
      <c r="D568" s="7">
        <v>1.1204481792717047E-2</v>
      </c>
      <c r="E568" s="7">
        <v>3.9660056657224052E-2</v>
      </c>
      <c r="F568" s="7">
        <v>1.030148882054327E-2</v>
      </c>
      <c r="G568" s="7"/>
      <c r="H568" s="7">
        <f t="shared" si="35"/>
        <v>-1.1079376078749981E-2</v>
      </c>
      <c r="I568" s="7">
        <f t="shared" si="36"/>
        <v>7.9003191442745813E-3</v>
      </c>
      <c r="J568" s="7">
        <f t="shared" si="37"/>
        <v>9.0299297217377728E-4</v>
      </c>
      <c r="K568" s="7">
        <f t="shared" si="38"/>
        <v>2.9358567836680782E-2</v>
      </c>
      <c r="L568" s="7"/>
    </row>
    <row r="569" spans="1:12" x14ac:dyDescent="0.25">
      <c r="A569" s="2" t="s">
        <v>699</v>
      </c>
      <c r="B569" s="7">
        <v>-1.0722347629796736E-2</v>
      </c>
      <c r="C569" s="7">
        <v>-2.4198354988675619E-2</v>
      </c>
      <c r="D569" s="7">
        <v>2.8089887640447841E-3</v>
      </c>
      <c r="E569" s="7">
        <v>-1.3966480446927387E-2</v>
      </c>
      <c r="F569" s="7">
        <v>-1.4684263175886003E-2</v>
      </c>
      <c r="G569" s="7"/>
      <c r="H569" s="7">
        <f t="shared" si="35"/>
        <v>3.9619155460892674E-3</v>
      </c>
      <c r="I569" s="7">
        <f t="shared" si="36"/>
        <v>-9.5140918127896157E-3</v>
      </c>
      <c r="J569" s="7">
        <f t="shared" si="37"/>
        <v>1.7493251939930787E-2</v>
      </c>
      <c r="K569" s="7">
        <f t="shared" si="38"/>
        <v>7.1778272895861583E-4</v>
      </c>
      <c r="L569" s="7"/>
    </row>
    <row r="570" spans="1:12" x14ac:dyDescent="0.25">
      <c r="A570" s="2" t="s">
        <v>700</v>
      </c>
      <c r="B570" s="7">
        <v>5.3641427687229903E-3</v>
      </c>
      <c r="C570" s="7">
        <v>3.5889460461777656E-3</v>
      </c>
      <c r="D570" s="7">
        <v>3.790087463556846E-2</v>
      </c>
      <c r="E570" s="7">
        <v>2.0961072294310545E-2</v>
      </c>
      <c r="F570" s="7">
        <v>5.8663955313296157E-3</v>
      </c>
      <c r="G570" s="7"/>
      <c r="H570" s="7">
        <f t="shared" si="35"/>
        <v>-5.0225276260662532E-4</v>
      </c>
      <c r="I570" s="7">
        <f t="shared" si="36"/>
        <v>-2.2774494851518501E-3</v>
      </c>
      <c r="J570" s="7">
        <f t="shared" si="37"/>
        <v>3.2034479104238844E-2</v>
      </c>
      <c r="K570" s="7">
        <f t="shared" si="38"/>
        <v>1.509467676298093E-2</v>
      </c>
      <c r="L570" s="7"/>
    </row>
    <row r="571" spans="1:12" x14ac:dyDescent="0.25">
      <c r="A571" s="2" t="s">
        <v>111</v>
      </c>
      <c r="B571" s="7">
        <v>-8.4893116497902765E-3</v>
      </c>
      <c r="C571" s="7">
        <v>-1.0417899846099199E-2</v>
      </c>
      <c r="D571" s="7">
        <v>1.7804154302670572E-2</v>
      </c>
      <c r="E571" s="7">
        <v>-8.9033352176371983E-3</v>
      </c>
      <c r="F571" s="7">
        <v>4.5283194785548098E-3</v>
      </c>
      <c r="G571" s="7"/>
      <c r="H571" s="7">
        <f t="shared" si="35"/>
        <v>-1.3017631128345086E-2</v>
      </c>
      <c r="I571" s="7">
        <f t="shared" si="36"/>
        <v>-1.4946219324654009E-2</v>
      </c>
      <c r="J571" s="7">
        <f t="shared" si="37"/>
        <v>1.3275834824115762E-2</v>
      </c>
      <c r="K571" s="7">
        <f t="shared" si="38"/>
        <v>-1.3431654696192008E-2</v>
      </c>
      <c r="L571" s="7"/>
    </row>
    <row r="572" spans="1:12" x14ac:dyDescent="0.25">
      <c r="A572" s="2" t="s">
        <v>701</v>
      </c>
      <c r="B572" s="7">
        <v>-2.7031162339981041E-3</v>
      </c>
      <c r="C572" s="7">
        <v>-5.915759583530189E-4</v>
      </c>
      <c r="D572" s="7">
        <v>8.0128205128205066E-2</v>
      </c>
      <c r="E572" s="7">
        <v>2.7592216090618793E-2</v>
      </c>
      <c r="F572" s="7">
        <v>-7.6278458751466438E-5</v>
      </c>
      <c r="G572" s="7"/>
      <c r="H572" s="7">
        <f t="shared" si="35"/>
        <v>-2.6268377752466376E-3</v>
      </c>
      <c r="I572" s="7">
        <f t="shared" si="36"/>
        <v>-5.1529749960155247E-4</v>
      </c>
      <c r="J572" s="7">
        <f t="shared" si="37"/>
        <v>8.0204483586956532E-2</v>
      </c>
      <c r="K572" s="7">
        <f t="shared" si="38"/>
        <v>2.7668494549370259E-2</v>
      </c>
      <c r="L572" s="7"/>
    </row>
    <row r="573" spans="1:12" x14ac:dyDescent="0.25">
      <c r="A573" s="2" t="s">
        <v>702</v>
      </c>
      <c r="B573" s="7">
        <v>7.6561861984481006E-4</v>
      </c>
      <c r="C573" s="7">
        <v>2.7348972894129187E-2</v>
      </c>
      <c r="D573" s="7">
        <v>0</v>
      </c>
      <c r="E573" s="7">
        <v>1.4586709886547755E-2</v>
      </c>
      <c r="F573" s="7">
        <v>2.6470706954828671E-3</v>
      </c>
      <c r="G573" s="7"/>
      <c r="H573" s="7">
        <f t="shared" si="35"/>
        <v>-1.8814520756380571E-3</v>
      </c>
      <c r="I573" s="7">
        <f t="shared" si="36"/>
        <v>2.4701902198646319E-2</v>
      </c>
      <c r="J573" s="7">
        <f t="shared" si="37"/>
        <v>-2.6470706954828671E-3</v>
      </c>
      <c r="K573" s="7">
        <f t="shared" si="38"/>
        <v>1.1939639191064888E-2</v>
      </c>
      <c r="L573" s="7"/>
    </row>
    <row r="574" spans="1:12" x14ac:dyDescent="0.25">
      <c r="A574" s="2" t="s">
        <v>703</v>
      </c>
      <c r="B574" s="7">
        <v>1.6657153235431377E-2</v>
      </c>
      <c r="C574" s="7">
        <v>1.5929859224499854E-2</v>
      </c>
      <c r="D574" s="7">
        <v>9.7087378640776656E-3</v>
      </c>
      <c r="E574" s="7">
        <v>1.0324483775812077E-3</v>
      </c>
      <c r="F574" s="7">
        <v>1.3650752632599072E-2</v>
      </c>
      <c r="G574" s="7"/>
      <c r="H574" s="7">
        <f t="shared" si="35"/>
        <v>3.0064006028323043E-3</v>
      </c>
      <c r="I574" s="7">
        <f t="shared" si="36"/>
        <v>2.2791065919007814E-3</v>
      </c>
      <c r="J574" s="7">
        <f t="shared" si="37"/>
        <v>-3.9420147685214069E-3</v>
      </c>
      <c r="K574" s="7">
        <f t="shared" si="38"/>
        <v>-1.2618304255017865E-2</v>
      </c>
      <c r="L574" s="7"/>
    </row>
    <row r="575" spans="1:12" x14ac:dyDescent="0.25">
      <c r="A575" s="2" t="s">
        <v>704</v>
      </c>
      <c r="B575" s="7">
        <v>7.9502066007637318E-3</v>
      </c>
      <c r="C575" s="7">
        <v>-5.7704112952731146E-3</v>
      </c>
      <c r="D575" s="7">
        <v>-1.2779552715655007E-2</v>
      </c>
      <c r="E575" s="7">
        <v>2.9507229271175106E-4</v>
      </c>
      <c r="F575" s="7">
        <v>4.599302532861449E-3</v>
      </c>
      <c r="G575" s="7"/>
      <c r="H575" s="7">
        <f t="shared" si="35"/>
        <v>3.3509040679022828E-3</v>
      </c>
      <c r="I575" s="7">
        <f t="shared" si="36"/>
        <v>-1.0369713828134564E-2</v>
      </c>
      <c r="J575" s="7">
        <f t="shared" si="37"/>
        <v>-1.7378855248516456E-2</v>
      </c>
      <c r="K575" s="7">
        <f t="shared" si="38"/>
        <v>-4.3042302401496979E-3</v>
      </c>
      <c r="L575" s="7"/>
    </row>
    <row r="576" spans="1:12" x14ac:dyDescent="0.25">
      <c r="A576" s="2" t="s">
        <v>112</v>
      </c>
      <c r="B576" s="7">
        <v>-1.2958182756840464E-2</v>
      </c>
      <c r="C576" s="7">
        <v>-2.0828228375397995E-3</v>
      </c>
      <c r="D576" s="7">
        <v>-9.493670886076E-3</v>
      </c>
      <c r="E576" s="7">
        <v>-1.065537877682099E-2</v>
      </c>
      <c r="F576" s="7">
        <v>3.9245325636296791E-3</v>
      </c>
      <c r="G576" s="7"/>
      <c r="H576" s="7">
        <f t="shared" si="35"/>
        <v>-1.6882715320470143E-2</v>
      </c>
      <c r="I576" s="7">
        <f t="shared" si="36"/>
        <v>-6.0073554011694785E-3</v>
      </c>
      <c r="J576" s="7">
        <f t="shared" si="37"/>
        <v>-1.3418203449705679E-2</v>
      </c>
      <c r="K576" s="7">
        <f t="shared" si="38"/>
        <v>-1.4579911340450669E-2</v>
      </c>
      <c r="L576" s="7"/>
    </row>
    <row r="577" spans="1:12" x14ac:dyDescent="0.25">
      <c r="A577" s="2" t="s">
        <v>705</v>
      </c>
      <c r="B577" s="7">
        <v>7.4374577417173349E-3</v>
      </c>
      <c r="C577" s="7">
        <v>8.5836909871250811E-4</v>
      </c>
      <c r="D577" s="7">
        <v>-1.2499999999999956E-2</v>
      </c>
      <c r="E577" s="7">
        <v>-2.6204687727470199E-3</v>
      </c>
      <c r="F577" s="7">
        <v>4.0954381006588214E-3</v>
      </c>
      <c r="G577" s="7"/>
      <c r="H577" s="7">
        <f t="shared" si="35"/>
        <v>3.3420196410585135E-3</v>
      </c>
      <c r="I577" s="7">
        <f t="shared" si="36"/>
        <v>-3.2370690019463133E-3</v>
      </c>
      <c r="J577" s="7">
        <f t="shared" si="37"/>
        <v>-1.6595438100658777E-2</v>
      </c>
      <c r="K577" s="7">
        <f t="shared" si="38"/>
        <v>-6.7159068734058414E-3</v>
      </c>
      <c r="L577" s="7"/>
    </row>
    <row r="578" spans="1:12" x14ac:dyDescent="0.25">
      <c r="A578" s="2" t="s">
        <v>706</v>
      </c>
      <c r="B578" s="7">
        <v>1.0139749921193708E-2</v>
      </c>
      <c r="C578" s="7">
        <v>4.8053228191227149E-3</v>
      </c>
      <c r="D578" s="7">
        <v>3.1347962382446415E-3</v>
      </c>
      <c r="E578" s="7">
        <v>1.1783767859773198E-2</v>
      </c>
      <c r="F578" s="7">
        <v>7.9681887922204986E-3</v>
      </c>
      <c r="G578" s="7"/>
      <c r="H578" s="7">
        <f t="shared" si="35"/>
        <v>2.1715611289732095E-3</v>
      </c>
      <c r="I578" s="7">
        <f t="shared" si="36"/>
        <v>-3.1628659730977837E-3</v>
      </c>
      <c r="J578" s="7">
        <f t="shared" si="37"/>
        <v>-4.8333925539758571E-3</v>
      </c>
      <c r="K578" s="7">
        <f t="shared" si="38"/>
        <v>3.815579067552699E-3</v>
      </c>
      <c r="L578" s="7"/>
    </row>
    <row r="579" spans="1:12" x14ac:dyDescent="0.25">
      <c r="A579" s="2" t="s">
        <v>707</v>
      </c>
      <c r="B579" s="7">
        <v>-5.6939873583032874E-3</v>
      </c>
      <c r="C579" s="7">
        <v>1.0835720513139746E-2</v>
      </c>
      <c r="D579" s="7">
        <v>0</v>
      </c>
      <c r="E579" s="7">
        <v>-1.2365434972359535E-2</v>
      </c>
      <c r="F579" s="7">
        <v>-3.9061302598102365E-3</v>
      </c>
      <c r="G579" s="7"/>
      <c r="H579" s="7">
        <f t="shared" ref="H579:H642" si="39">B579-$F579</f>
        <v>-1.7878570984930509E-3</v>
      </c>
      <c r="I579" s="7">
        <f t="shared" ref="I579:I642" si="40">C579-$F579</f>
        <v>1.4741850772949983E-2</v>
      </c>
      <c r="J579" s="7">
        <f t="shared" ref="J579:J642" si="41">D579-$F579</f>
        <v>3.9061302598102365E-3</v>
      </c>
      <c r="K579" s="7">
        <f t="shared" ref="K579:K642" si="42">E579-$F579</f>
        <v>-8.4593047125492982E-3</v>
      </c>
      <c r="L579" s="7"/>
    </row>
    <row r="580" spans="1:12" x14ac:dyDescent="0.25">
      <c r="A580" s="2" t="s">
        <v>708</v>
      </c>
      <c r="B580" s="7">
        <v>2.1068914017495333E-2</v>
      </c>
      <c r="C580" s="7">
        <v>-1.7017629774730647E-2</v>
      </c>
      <c r="D580" s="7">
        <v>-1.8461538461538529E-2</v>
      </c>
      <c r="E580" s="7">
        <v>-8.9388696655133826E-3</v>
      </c>
      <c r="F580" s="7">
        <v>-5.6895517946142782E-4</v>
      </c>
      <c r="G580" s="7"/>
      <c r="H580" s="7">
        <f t="shared" si="39"/>
        <v>2.163786919695676E-2</v>
      </c>
      <c r="I580" s="7">
        <f t="shared" si="40"/>
        <v>-1.6448674595269219E-2</v>
      </c>
      <c r="J580" s="7">
        <f t="shared" si="41"/>
        <v>-1.7892583282077101E-2</v>
      </c>
      <c r="K580" s="7">
        <f t="shared" si="42"/>
        <v>-8.3699144860519548E-3</v>
      </c>
      <c r="L580" s="7"/>
    </row>
    <row r="581" spans="1:12" x14ac:dyDescent="0.25">
      <c r="A581" s="2" t="s">
        <v>113</v>
      </c>
      <c r="B581" s="7">
        <v>-9.4573889153062307E-3</v>
      </c>
      <c r="C581" s="7">
        <v>3.6022323693556624E-2</v>
      </c>
      <c r="D581" s="7">
        <v>-1.812688821752273E-2</v>
      </c>
      <c r="E581" s="7">
        <v>-1.2950049807883834E-2</v>
      </c>
      <c r="F581" s="7">
        <v>-5.4084877345945692E-3</v>
      </c>
      <c r="G581" s="7"/>
      <c r="H581" s="7">
        <f t="shared" si="39"/>
        <v>-4.0489011807116615E-3</v>
      </c>
      <c r="I581" s="7">
        <f t="shared" si="40"/>
        <v>4.1430811428151193E-2</v>
      </c>
      <c r="J581" s="7">
        <f t="shared" si="41"/>
        <v>-1.271840048292816E-2</v>
      </c>
      <c r="K581" s="7">
        <f t="shared" si="42"/>
        <v>-7.5415620732892652E-3</v>
      </c>
      <c r="L581" s="7"/>
    </row>
    <row r="582" spans="1:12" x14ac:dyDescent="0.25">
      <c r="A582" s="2" t="s">
        <v>709</v>
      </c>
      <c r="B582" s="7">
        <v>6.7553191489362341E-3</v>
      </c>
      <c r="C582" s="7">
        <v>7.9263615443621038E-3</v>
      </c>
      <c r="D582" s="7">
        <v>4.7468354430379778E-2</v>
      </c>
      <c r="E582" s="7">
        <v>-1.1812684573196508E-2</v>
      </c>
      <c r="F582" s="7">
        <v>5.873724769035471E-3</v>
      </c>
      <c r="G582" s="7"/>
      <c r="H582" s="7">
        <f t="shared" si="39"/>
        <v>8.8159437990076306E-4</v>
      </c>
      <c r="I582" s="7">
        <f t="shared" si="40"/>
        <v>2.0526367753266328E-3</v>
      </c>
      <c r="J582" s="7">
        <f t="shared" si="41"/>
        <v>4.1594629661344307E-2</v>
      </c>
      <c r="K582" s="7">
        <f t="shared" si="42"/>
        <v>-1.7686409342231979E-2</v>
      </c>
      <c r="L582" s="7"/>
    </row>
    <row r="583" spans="1:12" x14ac:dyDescent="0.25">
      <c r="A583" s="2" t="s">
        <v>710</v>
      </c>
      <c r="B583" s="7">
        <v>3.0946537189200374E-3</v>
      </c>
      <c r="C583" s="7">
        <v>6.0450160771703398E-3</v>
      </c>
      <c r="D583" s="7">
        <v>-1.2499999999999956E-2</v>
      </c>
      <c r="E583" s="7">
        <v>2.8204766605557374E-3</v>
      </c>
      <c r="F583" s="7">
        <v>3.7841330116161753E-3</v>
      </c>
      <c r="G583" s="7"/>
      <c r="H583" s="7">
        <f t="shared" si="39"/>
        <v>-6.8947929269613795E-4</v>
      </c>
      <c r="I583" s="7">
        <f t="shared" si="40"/>
        <v>2.2608830655541645E-3</v>
      </c>
      <c r="J583" s="7">
        <f t="shared" si="41"/>
        <v>-1.6284133011616131E-2</v>
      </c>
      <c r="K583" s="7">
        <f t="shared" si="42"/>
        <v>-9.636563510604379E-4</v>
      </c>
      <c r="L583" s="7"/>
    </row>
    <row r="584" spans="1:12" x14ac:dyDescent="0.25">
      <c r="A584" s="2" t="s">
        <v>711</v>
      </c>
      <c r="B584" s="7">
        <v>-5.4128635109319534E-3</v>
      </c>
      <c r="C584" s="7">
        <v>-3.8570326562104018E-4</v>
      </c>
      <c r="D584" s="7">
        <v>-8.3094555873925557E-2</v>
      </c>
      <c r="E584" s="7">
        <v>-2.7030735455543353E-2</v>
      </c>
      <c r="F584" s="7">
        <v>-9.4623580371877569E-4</v>
      </c>
      <c r="G584" s="7"/>
      <c r="H584" s="7">
        <f t="shared" si="39"/>
        <v>-4.4666277072131777E-3</v>
      </c>
      <c r="I584" s="7">
        <f t="shared" si="40"/>
        <v>5.6053253809773551E-4</v>
      </c>
      <c r="J584" s="7">
        <f t="shared" si="41"/>
        <v>-8.2148320070206782E-2</v>
      </c>
      <c r="K584" s="7">
        <f t="shared" si="42"/>
        <v>-2.6084499651824578E-2</v>
      </c>
      <c r="L584" s="7"/>
    </row>
    <row r="585" spans="1:12" x14ac:dyDescent="0.25">
      <c r="A585" s="2" t="s">
        <v>712</v>
      </c>
      <c r="B585" s="7">
        <v>3.1942078364566306E-3</v>
      </c>
      <c r="C585" s="7">
        <v>1.4742335290280462E-2</v>
      </c>
      <c r="D585" s="7">
        <v>-2.5139664804469275E-2</v>
      </c>
      <c r="E585" s="7">
        <v>-1.018606546244738E-2</v>
      </c>
      <c r="F585" s="7">
        <v>9.801271528184774E-4</v>
      </c>
      <c r="G585" s="7"/>
      <c r="H585" s="7">
        <f t="shared" si="39"/>
        <v>2.2140806836381532E-3</v>
      </c>
      <c r="I585" s="7">
        <f t="shared" si="40"/>
        <v>1.3762208137461984E-2</v>
      </c>
      <c r="J585" s="7">
        <f t="shared" si="41"/>
        <v>-2.6119791957287752E-2</v>
      </c>
      <c r="K585" s="7">
        <f t="shared" si="42"/>
        <v>-1.1166192615265857E-2</v>
      </c>
      <c r="L585" s="7"/>
    </row>
    <row r="586" spans="1:12" x14ac:dyDescent="0.25">
      <c r="A586" s="2" t="s">
        <v>114</v>
      </c>
      <c r="B586" s="7">
        <v>-9.573449633017983E-4</v>
      </c>
      <c r="C586" s="7">
        <v>1.1747624076029473E-2</v>
      </c>
      <c r="D586" s="7">
        <v>-1.1049723756906049E-2</v>
      </c>
      <c r="E586" s="7">
        <v>-1.2208210356855487E-2</v>
      </c>
      <c r="F586" s="7">
        <v>-1.9542302175314941E-3</v>
      </c>
      <c r="G586" s="7"/>
      <c r="H586" s="7">
        <f t="shared" si="39"/>
        <v>9.9688525422969576E-4</v>
      </c>
      <c r="I586" s="7">
        <f t="shared" si="40"/>
        <v>1.3701854293560967E-2</v>
      </c>
      <c r="J586" s="7">
        <f t="shared" si="41"/>
        <v>-9.0954935393745551E-3</v>
      </c>
      <c r="K586" s="7">
        <f t="shared" si="42"/>
        <v>-1.0253980139323993E-2</v>
      </c>
      <c r="L586" s="7"/>
    </row>
    <row r="587" spans="1:12" x14ac:dyDescent="0.25">
      <c r="A587" s="2" t="s">
        <v>713</v>
      </c>
      <c r="B587" s="7">
        <v>-6.9715855075525024E-3</v>
      </c>
      <c r="C587" s="7">
        <v>6.1088977423640056E-3</v>
      </c>
      <c r="D587" s="7">
        <v>5.5555555555555358E-3</v>
      </c>
      <c r="E587" s="7">
        <v>-6.0008001066806926E-3</v>
      </c>
      <c r="F587" s="7">
        <v>5.9693369207880487E-4</v>
      </c>
      <c r="G587" s="7"/>
      <c r="H587" s="7">
        <f t="shared" si="39"/>
        <v>-7.5685191996313073E-3</v>
      </c>
      <c r="I587" s="7">
        <f t="shared" si="40"/>
        <v>5.5119640502852008E-3</v>
      </c>
      <c r="J587" s="7">
        <f t="shared" si="41"/>
        <v>4.958621863476731E-3</v>
      </c>
      <c r="K587" s="7">
        <f t="shared" si="42"/>
        <v>-6.5977337987594975E-3</v>
      </c>
      <c r="L587" s="7"/>
    </row>
    <row r="588" spans="1:12" x14ac:dyDescent="0.25">
      <c r="A588" s="2" t="s">
        <v>714</v>
      </c>
      <c r="B588" s="7">
        <v>3.4979860080559533E-3</v>
      </c>
      <c r="C588" s="7">
        <v>1.4688047432960483E-2</v>
      </c>
      <c r="D588" s="7">
        <v>1.1235955056179803E-2</v>
      </c>
      <c r="E588" s="7">
        <v>2.6677337601710427E-4</v>
      </c>
      <c r="F588" s="7">
        <v>4.0610904347329058E-3</v>
      </c>
      <c r="G588" s="7"/>
      <c r="H588" s="7">
        <f t="shared" si="39"/>
        <v>-5.6310442667695249E-4</v>
      </c>
      <c r="I588" s="7">
        <f t="shared" si="40"/>
        <v>1.0626956998227577E-2</v>
      </c>
      <c r="J588" s="7">
        <f t="shared" si="41"/>
        <v>7.174864621446897E-3</v>
      </c>
      <c r="K588" s="7">
        <f t="shared" si="42"/>
        <v>-3.7943170587158015E-3</v>
      </c>
      <c r="L588" s="7"/>
    </row>
    <row r="589" spans="1:12" x14ac:dyDescent="0.25">
      <c r="A589" s="2" t="s">
        <v>715</v>
      </c>
      <c r="B589" s="7">
        <v>-4.2220814861726463E-3</v>
      </c>
      <c r="C589" s="7">
        <v>-1.0533333333333394E-2</v>
      </c>
      <c r="D589" s="7">
        <v>-2.8011204481792618E-3</v>
      </c>
      <c r="E589" s="7">
        <v>6.1736679640316261E-3</v>
      </c>
      <c r="F589" s="7">
        <v>-2.020943928152108E-3</v>
      </c>
      <c r="G589" s="7"/>
      <c r="H589" s="7">
        <f t="shared" si="39"/>
        <v>-2.2011375580205383E-3</v>
      </c>
      <c r="I589" s="7">
        <f t="shared" si="40"/>
        <v>-8.5123894051812865E-3</v>
      </c>
      <c r="J589" s="7">
        <f t="shared" si="41"/>
        <v>-7.8017652002715376E-4</v>
      </c>
      <c r="K589" s="7">
        <f t="shared" si="42"/>
        <v>8.1946118921837341E-3</v>
      </c>
      <c r="L589" s="7"/>
    </row>
    <row r="590" spans="1:12" x14ac:dyDescent="0.25">
      <c r="A590" s="2" t="s">
        <v>115</v>
      </c>
      <c r="B590" s="7">
        <v>9.2681367849152263E-3</v>
      </c>
      <c r="C590" s="7">
        <v>-3.7194473963868546E-3</v>
      </c>
      <c r="D590" s="7">
        <v>0</v>
      </c>
      <c r="E590" s="7">
        <v>1.0990502035278293E-2</v>
      </c>
      <c r="F590" s="7">
        <v>7.3903084168878141E-3</v>
      </c>
      <c r="G590" s="7"/>
      <c r="H590" s="7">
        <f t="shared" si="39"/>
        <v>1.8778283680274122E-3</v>
      </c>
      <c r="I590" s="7">
        <f t="shared" si="40"/>
        <v>-1.1109755813274669E-2</v>
      </c>
      <c r="J590" s="7">
        <f t="shared" si="41"/>
        <v>-7.3903084168878141E-3</v>
      </c>
      <c r="K590" s="7">
        <f t="shared" si="42"/>
        <v>3.6001936183904792E-3</v>
      </c>
      <c r="L590" s="7"/>
    </row>
    <row r="591" spans="1:12" x14ac:dyDescent="0.25">
      <c r="A591" s="2" t="s">
        <v>716</v>
      </c>
      <c r="B591" s="7">
        <v>-1.065189603748351E-4</v>
      </c>
      <c r="C591" s="7">
        <v>-3.8375016540954654E-3</v>
      </c>
      <c r="D591" s="7">
        <v>1.1331444759206777E-2</v>
      </c>
      <c r="E591" s="7">
        <v>-1.9033674963396696E-2</v>
      </c>
      <c r="F591" s="7">
        <v>1.2820967827800178E-3</v>
      </c>
      <c r="G591" s="7"/>
      <c r="H591" s="7">
        <f t="shared" si="39"/>
        <v>-1.3886157431548529E-3</v>
      </c>
      <c r="I591" s="7">
        <f t="shared" si="40"/>
        <v>-5.1195984368754832E-3</v>
      </c>
      <c r="J591" s="7">
        <f t="shared" si="41"/>
        <v>1.0049347976426759E-2</v>
      </c>
      <c r="K591" s="7">
        <f t="shared" si="42"/>
        <v>-2.0315771746176714E-2</v>
      </c>
      <c r="L591" s="7"/>
    </row>
    <row r="592" spans="1:12" x14ac:dyDescent="0.25">
      <c r="A592" s="2" t="s">
        <v>717</v>
      </c>
      <c r="B592" s="7">
        <v>9.0283748925192864E-3</v>
      </c>
      <c r="C592" s="7">
        <v>4.1190539463191733E-3</v>
      </c>
      <c r="D592" s="7">
        <v>-1.6713091922005541E-2</v>
      </c>
      <c r="E592" s="7">
        <v>-9.1425807231829803E-2</v>
      </c>
      <c r="F592" s="7">
        <v>1.1903492875668942E-3</v>
      </c>
      <c r="G592" s="7"/>
      <c r="H592" s="7">
        <f t="shared" si="39"/>
        <v>7.8380256049523922E-3</v>
      </c>
      <c r="I592" s="7">
        <f t="shared" si="40"/>
        <v>2.9287046587522791E-3</v>
      </c>
      <c r="J592" s="7">
        <f t="shared" si="41"/>
        <v>-1.7903441209572435E-2</v>
      </c>
      <c r="K592" s="7">
        <f t="shared" si="42"/>
        <v>-9.2616156519396697E-2</v>
      </c>
      <c r="L592" s="7"/>
    </row>
    <row r="593" spans="1:12" x14ac:dyDescent="0.25">
      <c r="A593" s="2" t="s">
        <v>718</v>
      </c>
      <c r="B593" s="7">
        <v>3.0726106409360021E-3</v>
      </c>
      <c r="C593" s="7">
        <v>1.9368820262765984E-2</v>
      </c>
      <c r="D593" s="7">
        <v>-1.9125683060109422E-2</v>
      </c>
      <c r="E593" s="7">
        <v>3.8166980539861894E-2</v>
      </c>
      <c r="F593" s="7">
        <v>1.597081655804411E-3</v>
      </c>
      <c r="G593" s="7"/>
      <c r="H593" s="7">
        <f t="shared" si="39"/>
        <v>1.4755289851315911E-3</v>
      </c>
      <c r="I593" s="7">
        <f t="shared" si="40"/>
        <v>1.7771738606961573E-2</v>
      </c>
      <c r="J593" s="7">
        <f t="shared" si="41"/>
        <v>-2.0722764715913833E-2</v>
      </c>
      <c r="K593" s="7">
        <f t="shared" si="42"/>
        <v>3.6569898884057483E-2</v>
      </c>
      <c r="L593" s="7"/>
    </row>
    <row r="594" spans="1:12" x14ac:dyDescent="0.25">
      <c r="A594" s="2" t="s">
        <v>719</v>
      </c>
      <c r="B594" s="7">
        <v>1.4270092946965462E-2</v>
      </c>
      <c r="C594" s="7">
        <v>2.4705065926440062E-2</v>
      </c>
      <c r="D594" s="7">
        <v>-2.6595744680851019E-2</v>
      </c>
      <c r="E594" s="7">
        <v>1.9585253456221308E-2</v>
      </c>
      <c r="F594" s="7">
        <v>1.9074928313177919E-2</v>
      </c>
      <c r="G594" s="7"/>
      <c r="H594" s="7">
        <f t="shared" si="39"/>
        <v>-4.8048353662124565E-3</v>
      </c>
      <c r="I594" s="7">
        <f t="shared" si="40"/>
        <v>5.6301376132621428E-3</v>
      </c>
      <c r="J594" s="7">
        <f t="shared" si="41"/>
        <v>-4.5670672994028938E-2</v>
      </c>
      <c r="K594" s="7">
        <f t="shared" si="42"/>
        <v>5.1032514304338861E-4</v>
      </c>
      <c r="L594" s="7"/>
    </row>
    <row r="595" spans="1:12" x14ac:dyDescent="0.25">
      <c r="A595" s="2" t="s">
        <v>116</v>
      </c>
      <c r="B595" s="7">
        <v>-8.5646140503035095E-3</v>
      </c>
      <c r="C595" s="7">
        <v>-1.3860013860015341E-3</v>
      </c>
      <c r="D595" s="7">
        <v>5.3475935828874999E-3</v>
      </c>
      <c r="E595" s="7">
        <v>-5.9804046316325188E-3</v>
      </c>
      <c r="F595" s="7">
        <v>-8.3574165843747217E-4</v>
      </c>
      <c r="G595" s="7"/>
      <c r="H595" s="7">
        <f t="shared" si="39"/>
        <v>-7.7288723918660374E-3</v>
      </c>
      <c r="I595" s="7">
        <f t="shared" si="40"/>
        <v>-5.5025972756406194E-4</v>
      </c>
      <c r="J595" s="7">
        <f t="shared" si="41"/>
        <v>6.183335241324972E-3</v>
      </c>
      <c r="K595" s="7">
        <f t="shared" si="42"/>
        <v>-5.1446629731950466E-3</v>
      </c>
      <c r="L595" s="7"/>
    </row>
    <row r="596" spans="1:12" x14ac:dyDescent="0.25">
      <c r="A596" s="2" t="s">
        <v>720</v>
      </c>
      <c r="B596" s="7">
        <v>2.3183582917359891E-2</v>
      </c>
      <c r="C596" s="7">
        <v>1.220538720538733E-2</v>
      </c>
      <c r="D596" s="7">
        <v>2.6809651474530849E-3</v>
      </c>
      <c r="E596" s="7">
        <v>2.5455008272889934E-4</v>
      </c>
      <c r="F596" s="7">
        <v>1.5616409996894509E-2</v>
      </c>
      <c r="G596" s="7"/>
      <c r="H596" s="7">
        <f t="shared" si="39"/>
        <v>7.5671729204653815E-3</v>
      </c>
      <c r="I596" s="7">
        <f t="shared" si="40"/>
        <v>-3.4110227915071789E-3</v>
      </c>
      <c r="J596" s="7">
        <f t="shared" si="41"/>
        <v>-1.2935444849441424E-2</v>
      </c>
      <c r="K596" s="7">
        <f t="shared" si="42"/>
        <v>-1.536185991416561E-2</v>
      </c>
      <c r="L596" s="7"/>
    </row>
    <row r="597" spans="1:12" x14ac:dyDescent="0.25">
      <c r="A597" s="2" t="s">
        <v>721</v>
      </c>
      <c r="B597" s="7">
        <v>-2.5999889362172679E-3</v>
      </c>
      <c r="C597" s="7">
        <v>-6.8273651943708824E-3</v>
      </c>
      <c r="D597" s="7">
        <v>8.1081081081080253E-3</v>
      </c>
      <c r="E597" s="7">
        <v>-2.4338755743201435E-2</v>
      </c>
      <c r="F597" s="7">
        <v>-8.0839102122395312E-3</v>
      </c>
      <c r="G597" s="7"/>
      <c r="H597" s="7">
        <f t="shared" si="39"/>
        <v>5.4839212760222633E-3</v>
      </c>
      <c r="I597" s="7">
        <f t="shared" si="40"/>
        <v>1.2565450178686488E-3</v>
      </c>
      <c r="J597" s="7">
        <f t="shared" si="41"/>
        <v>1.6192018320347557E-2</v>
      </c>
      <c r="K597" s="7">
        <f t="shared" si="42"/>
        <v>-1.6254845530961903E-2</v>
      </c>
      <c r="L597" s="7"/>
    </row>
    <row r="598" spans="1:12" x14ac:dyDescent="0.25">
      <c r="A598" s="2" t="s">
        <v>722</v>
      </c>
      <c r="B598" s="7">
        <v>5.8983918535417956E-3</v>
      </c>
      <c r="C598" s="7">
        <v>-8.8385582101919713E-3</v>
      </c>
      <c r="D598" s="7">
        <v>-2.1164021164021052E-2</v>
      </c>
      <c r="E598" s="7">
        <v>-7.1507828874367574E-3</v>
      </c>
      <c r="F598" s="7">
        <v>1.0049378994057001E-3</v>
      </c>
      <c r="G598" s="7"/>
      <c r="H598" s="7">
        <f t="shared" si="39"/>
        <v>4.8934539541360955E-3</v>
      </c>
      <c r="I598" s="7">
        <f t="shared" si="40"/>
        <v>-9.8434961095976714E-3</v>
      </c>
      <c r="J598" s="7">
        <f t="shared" si="41"/>
        <v>-2.2168959063426752E-2</v>
      </c>
      <c r="K598" s="7">
        <f t="shared" si="42"/>
        <v>-8.1557207868424575E-3</v>
      </c>
      <c r="L598" s="7"/>
    </row>
    <row r="599" spans="1:12" x14ac:dyDescent="0.25">
      <c r="A599" s="2" t="s">
        <v>723</v>
      </c>
      <c r="B599" s="7">
        <v>1.4451030200395065E-2</v>
      </c>
      <c r="C599" s="7">
        <v>-3.9889958734525832E-3</v>
      </c>
      <c r="D599" s="7">
        <v>-7.8740157480315931E-3</v>
      </c>
      <c r="E599" s="7">
        <v>4.9340076477122352E-4</v>
      </c>
      <c r="F599" s="7">
        <v>2.8401412741241305E-3</v>
      </c>
      <c r="G599" s="7"/>
      <c r="H599" s="7">
        <f t="shared" si="39"/>
        <v>1.1610888926270935E-2</v>
      </c>
      <c r="I599" s="7">
        <f t="shared" si="40"/>
        <v>-6.8291371475767138E-3</v>
      </c>
      <c r="J599" s="7">
        <f t="shared" si="41"/>
        <v>-1.0714157022155724E-2</v>
      </c>
      <c r="K599" s="7">
        <f t="shared" si="42"/>
        <v>-2.346740509352907E-3</v>
      </c>
      <c r="L599" s="7"/>
    </row>
    <row r="600" spans="1:12" x14ac:dyDescent="0.25">
      <c r="A600" s="2" t="s">
        <v>117</v>
      </c>
      <c r="B600" s="7">
        <v>1.4604810996563744E-2</v>
      </c>
      <c r="C600" s="7">
        <v>-3.5635964912279494E-3</v>
      </c>
      <c r="D600" s="7">
        <v>0</v>
      </c>
      <c r="E600" s="7">
        <v>6.1713157245124606E-4</v>
      </c>
      <c r="F600" s="7">
        <v>1.7529609897344312E-3</v>
      </c>
      <c r="G600" s="7"/>
      <c r="H600" s="7">
        <f t="shared" si="39"/>
        <v>1.2851850006829313E-2</v>
      </c>
      <c r="I600" s="7">
        <f t="shared" si="40"/>
        <v>-5.3165574809623806E-3</v>
      </c>
      <c r="J600" s="7">
        <f t="shared" si="41"/>
        <v>-1.7529609897344312E-3</v>
      </c>
      <c r="K600" s="7">
        <f t="shared" si="42"/>
        <v>-1.1358294172831851E-3</v>
      </c>
      <c r="L600" s="7"/>
    </row>
    <row r="601" spans="1:12" x14ac:dyDescent="0.25">
      <c r="A601" s="2" t="s">
        <v>724</v>
      </c>
      <c r="B601" s="7">
        <v>-5.1848897498717461E-3</v>
      </c>
      <c r="C601" s="7">
        <v>1.672240802675562E-2</v>
      </c>
      <c r="D601" s="7">
        <v>7.9365079365079083E-3</v>
      </c>
      <c r="E601" s="7">
        <v>2.2850650170433084E-2</v>
      </c>
      <c r="F601" s="7">
        <v>9.3937162152772924E-3</v>
      </c>
      <c r="G601" s="7"/>
      <c r="H601" s="7">
        <f t="shared" si="39"/>
        <v>-1.4578605965149039E-2</v>
      </c>
      <c r="I601" s="7">
        <f t="shared" si="40"/>
        <v>7.3286918114783273E-3</v>
      </c>
      <c r="J601" s="7">
        <f t="shared" si="41"/>
        <v>-1.4572082787693841E-3</v>
      </c>
      <c r="K601" s="7">
        <f t="shared" si="42"/>
        <v>1.3456933955155792E-2</v>
      </c>
      <c r="L601" s="7"/>
    </row>
    <row r="602" spans="1:12" x14ac:dyDescent="0.25">
      <c r="A602" s="2" t="s">
        <v>725</v>
      </c>
      <c r="B602" s="7">
        <v>2.0703692933992546E-2</v>
      </c>
      <c r="C602" s="7">
        <v>1.931818181818179E-2</v>
      </c>
      <c r="D602" s="7">
        <v>-1.3054830287206332E-2</v>
      </c>
      <c r="E602" s="7">
        <v>1.1234520617898536E-2</v>
      </c>
      <c r="F602" s="7">
        <v>1.8858574846738696E-2</v>
      </c>
      <c r="G602" s="7"/>
      <c r="H602" s="7">
        <f t="shared" si="39"/>
        <v>1.8451180872538497E-3</v>
      </c>
      <c r="I602" s="7">
        <f t="shared" si="40"/>
        <v>4.5960697144309393E-4</v>
      </c>
      <c r="J602" s="7">
        <f t="shared" si="41"/>
        <v>-3.1913405133945028E-2</v>
      </c>
      <c r="K602" s="7">
        <f t="shared" si="42"/>
        <v>-7.6240542288401603E-3</v>
      </c>
      <c r="L602" s="7"/>
    </row>
    <row r="603" spans="1:12" x14ac:dyDescent="0.25">
      <c r="A603" s="2" t="s">
        <v>726</v>
      </c>
      <c r="B603" s="7">
        <v>1.8721488239824557E-2</v>
      </c>
      <c r="C603" s="7">
        <v>-4.2432814710041677E-3</v>
      </c>
      <c r="D603" s="7">
        <v>2.4064171122994527E-2</v>
      </c>
      <c r="E603" s="7">
        <v>-7.6540375047839948E-4</v>
      </c>
      <c r="F603" s="7">
        <v>1.0505985025513809E-2</v>
      </c>
      <c r="G603" s="7"/>
      <c r="H603" s="7">
        <f t="shared" si="39"/>
        <v>8.2155032143107487E-3</v>
      </c>
      <c r="I603" s="7">
        <f t="shared" si="40"/>
        <v>-1.4749266496517976E-2</v>
      </c>
      <c r="J603" s="7">
        <f t="shared" si="41"/>
        <v>1.3558186097480718E-2</v>
      </c>
      <c r="K603" s="7">
        <f t="shared" si="42"/>
        <v>-1.1271388775992208E-2</v>
      </c>
      <c r="L603" s="7"/>
    </row>
    <row r="604" spans="1:12" x14ac:dyDescent="0.25">
      <c r="A604" s="2" t="s">
        <v>727</v>
      </c>
      <c r="B604" s="7">
        <v>2.7923003802281521E-3</v>
      </c>
      <c r="C604" s="7">
        <v>1.5950567610288902E-2</v>
      </c>
      <c r="D604" s="7">
        <v>0</v>
      </c>
      <c r="E604" s="7">
        <v>-7.2188449848022973E-3</v>
      </c>
      <c r="F604" s="7">
        <v>6.4749617214088229E-3</v>
      </c>
      <c r="G604" s="7"/>
      <c r="H604" s="7">
        <f t="shared" si="39"/>
        <v>-3.6826613411806708E-3</v>
      </c>
      <c r="I604" s="7">
        <f t="shared" si="40"/>
        <v>9.4756058888800787E-3</v>
      </c>
      <c r="J604" s="7">
        <f t="shared" si="41"/>
        <v>-6.4749617214088229E-3</v>
      </c>
      <c r="K604" s="7">
        <f t="shared" si="42"/>
        <v>-1.369380670621112E-2</v>
      </c>
      <c r="L604" s="7"/>
    </row>
    <row r="605" spans="1:12" x14ac:dyDescent="0.25">
      <c r="A605" s="2" t="s">
        <v>118</v>
      </c>
      <c r="B605" s="7">
        <v>1.2329343838335172E-2</v>
      </c>
      <c r="C605" s="7">
        <v>2.2931059826547084E-2</v>
      </c>
      <c r="D605" s="7">
        <v>-3.8560411311053922E-2</v>
      </c>
      <c r="E605" s="7">
        <v>3.9415130324220726E-3</v>
      </c>
      <c r="F605" s="7">
        <v>1.2010093822027113E-2</v>
      </c>
      <c r="G605" s="7"/>
      <c r="H605" s="7">
        <f t="shared" si="39"/>
        <v>3.1925001630805916E-4</v>
      </c>
      <c r="I605" s="7">
        <f t="shared" si="40"/>
        <v>1.0920966004519972E-2</v>
      </c>
      <c r="J605" s="7">
        <f t="shared" si="41"/>
        <v>-5.0570505133081034E-2</v>
      </c>
      <c r="K605" s="7">
        <f t="shared" si="42"/>
        <v>-8.0685807896050399E-3</v>
      </c>
      <c r="L605" s="7"/>
    </row>
    <row r="606" spans="1:12" x14ac:dyDescent="0.25">
      <c r="A606" s="2" t="s">
        <v>728</v>
      </c>
      <c r="B606" s="7">
        <v>7.9413191076624923E-3</v>
      </c>
      <c r="C606" s="7">
        <v>-1.277028007546066E-2</v>
      </c>
      <c r="D606" s="7">
        <v>1.3020833333333481E-2</v>
      </c>
      <c r="E606" s="7">
        <v>3.7008677896885889E-3</v>
      </c>
      <c r="F606" s="7">
        <v>-4.8003132530701764E-3</v>
      </c>
      <c r="G606" s="7"/>
      <c r="H606" s="7">
        <f t="shared" si="39"/>
        <v>1.2741632360732669E-2</v>
      </c>
      <c r="I606" s="7">
        <f t="shared" si="40"/>
        <v>-7.969966822390484E-3</v>
      </c>
      <c r="J606" s="7">
        <f t="shared" si="41"/>
        <v>1.7821146586403658E-2</v>
      </c>
      <c r="K606" s="7">
        <f t="shared" si="42"/>
        <v>8.5011810427587653E-3</v>
      </c>
      <c r="L606" s="7"/>
    </row>
    <row r="607" spans="1:12" x14ac:dyDescent="0.25">
      <c r="A607" s="2" t="s">
        <v>729</v>
      </c>
      <c r="B607" s="7">
        <v>-2.4597918637653704E-2</v>
      </c>
      <c r="C607" s="7">
        <v>-8.3465246798100079E-3</v>
      </c>
      <c r="D607" s="7">
        <v>2.9490616621983934E-2</v>
      </c>
      <c r="E607" s="7">
        <v>1.8323586744639409E-2</v>
      </c>
      <c r="F607" s="7">
        <v>-1.183251050332379E-2</v>
      </c>
      <c r="G607" s="7"/>
      <c r="H607" s="7">
        <f t="shared" si="39"/>
        <v>-1.2765408134329914E-2</v>
      </c>
      <c r="I607" s="7">
        <f t="shared" si="40"/>
        <v>3.4859858235137819E-3</v>
      </c>
      <c r="J607" s="7">
        <f t="shared" si="41"/>
        <v>4.1323127125307724E-2</v>
      </c>
      <c r="K607" s="7">
        <f t="shared" si="42"/>
        <v>3.0156097247963198E-2</v>
      </c>
      <c r="L607" s="7"/>
    </row>
    <row r="608" spans="1:12" x14ac:dyDescent="0.25">
      <c r="A608" s="2" t="s">
        <v>730</v>
      </c>
      <c r="B608" s="7">
        <v>-1.3474887709269079E-2</v>
      </c>
      <c r="C608" s="7">
        <v>-8.1358835284043307E-3</v>
      </c>
      <c r="D608" s="7">
        <v>6.876790830945545E-2</v>
      </c>
      <c r="E608" s="7">
        <v>-2.2236340533672183E-2</v>
      </c>
      <c r="F608" s="7">
        <v>-1.4339592436341642E-2</v>
      </c>
      <c r="G608" s="7"/>
      <c r="H608" s="7">
        <f t="shared" si="39"/>
        <v>8.6470472707256274E-4</v>
      </c>
      <c r="I608" s="7">
        <f t="shared" si="40"/>
        <v>6.2037089079373109E-3</v>
      </c>
      <c r="J608" s="7">
        <f t="shared" si="41"/>
        <v>8.3107500745797092E-2</v>
      </c>
      <c r="K608" s="7">
        <f t="shared" si="42"/>
        <v>-7.8967480973305415E-3</v>
      </c>
      <c r="L608" s="7"/>
    </row>
    <row r="609" spans="1:12" x14ac:dyDescent="0.25">
      <c r="A609" s="2" t="s">
        <v>731</v>
      </c>
      <c r="B609" s="7">
        <v>2.5146198830410249E-3</v>
      </c>
      <c r="C609" s="7">
        <v>5.2900510970844472E-2</v>
      </c>
      <c r="D609" s="7">
        <v>3.2544378698224907E-2</v>
      </c>
      <c r="E609" s="7">
        <v>2.9296364111954132E-2</v>
      </c>
      <c r="F609" s="7">
        <v>7.2657598694820802E-3</v>
      </c>
      <c r="G609" s="7"/>
      <c r="H609" s="7">
        <f t="shared" si="39"/>
        <v>-4.7511399864410553E-3</v>
      </c>
      <c r="I609" s="7">
        <f t="shared" si="40"/>
        <v>4.5634751101362392E-2</v>
      </c>
      <c r="J609" s="7">
        <f t="shared" si="41"/>
        <v>2.5278618828742827E-2</v>
      </c>
      <c r="K609" s="7">
        <f t="shared" si="42"/>
        <v>2.2030604242472052E-2</v>
      </c>
      <c r="L609" s="7"/>
    </row>
    <row r="610" spans="1:12" x14ac:dyDescent="0.25">
      <c r="A610" s="2" t="s">
        <v>119</v>
      </c>
      <c r="B610" s="7">
        <v>7.0224719101119604E-4</v>
      </c>
      <c r="C610" s="7">
        <v>-1.0998810939357839E-2</v>
      </c>
      <c r="D610" s="7">
        <v>5.9523809523809312E-3</v>
      </c>
      <c r="E610" s="7">
        <v>7.1127502634351636E-3</v>
      </c>
      <c r="F610" s="7">
        <v>-1.685542214310054E-3</v>
      </c>
      <c r="G610" s="7"/>
      <c r="H610" s="7">
        <f t="shared" si="39"/>
        <v>2.3877894053212501E-3</v>
      </c>
      <c r="I610" s="7">
        <f t="shared" si="40"/>
        <v>-9.3132687250477852E-3</v>
      </c>
      <c r="J610" s="7">
        <f t="shared" si="41"/>
        <v>7.6379231666909853E-3</v>
      </c>
      <c r="K610" s="7">
        <f t="shared" si="42"/>
        <v>8.7982924777452176E-3</v>
      </c>
      <c r="L610" s="7"/>
    </row>
    <row r="611" spans="1:12" x14ac:dyDescent="0.25">
      <c r="A611" s="2" t="s">
        <v>732</v>
      </c>
      <c r="B611" s="7">
        <v>-1.4703338522746967E-2</v>
      </c>
      <c r="C611" s="7">
        <v>-5.9101654846336338E-3</v>
      </c>
      <c r="D611" s="7">
        <v>-5.9171597633136397E-3</v>
      </c>
      <c r="E611" s="7">
        <v>-2.0387096774193481E-2</v>
      </c>
      <c r="F611" s="7">
        <v>-1.2585320243104325E-2</v>
      </c>
      <c r="G611" s="7"/>
      <c r="H611" s="7">
        <f t="shared" si="39"/>
        <v>-2.1180182796426417E-3</v>
      </c>
      <c r="I611" s="7">
        <f t="shared" si="40"/>
        <v>6.6751547584706916E-3</v>
      </c>
      <c r="J611" s="7">
        <f t="shared" si="41"/>
        <v>6.6681604797906857E-3</v>
      </c>
      <c r="K611" s="7">
        <f t="shared" si="42"/>
        <v>-7.8017765310891551E-3</v>
      </c>
      <c r="L611" s="7"/>
    </row>
    <row r="612" spans="1:12" x14ac:dyDescent="0.25">
      <c r="A612" s="2" t="s">
        <v>733</v>
      </c>
      <c r="B612" s="7">
        <v>-2.1288837744534161E-3</v>
      </c>
      <c r="C612" s="7">
        <v>-1.5133876600698426E-2</v>
      </c>
      <c r="D612" s="7">
        <v>-1.4577259475218707E-2</v>
      </c>
      <c r="E612" s="7">
        <v>-1.6871749334009922E-2</v>
      </c>
      <c r="F612" s="7">
        <v>-8.4828257544152796E-3</v>
      </c>
      <c r="G612" s="7"/>
      <c r="H612" s="7">
        <f t="shared" si="39"/>
        <v>6.3539419799618635E-3</v>
      </c>
      <c r="I612" s="7">
        <f t="shared" si="40"/>
        <v>-6.6510508462831464E-3</v>
      </c>
      <c r="J612" s="7">
        <f t="shared" si="41"/>
        <v>-6.0944337208034272E-3</v>
      </c>
      <c r="K612" s="7">
        <f t="shared" si="42"/>
        <v>-8.3889235795946426E-3</v>
      </c>
      <c r="L612" s="7"/>
    </row>
    <row r="613" spans="1:12" x14ac:dyDescent="0.25">
      <c r="A613" s="2" t="s">
        <v>734</v>
      </c>
      <c r="B613" s="7">
        <v>-7.424328954882875E-3</v>
      </c>
      <c r="C613" s="7">
        <v>-2.3724960931950534E-2</v>
      </c>
      <c r="D613" s="7">
        <v>2.9239766081872176E-3</v>
      </c>
      <c r="E613" s="7">
        <v>-1.0791818295896594E-2</v>
      </c>
      <c r="F613" s="7">
        <v>-1.3399798774352711E-2</v>
      </c>
      <c r="G613" s="7"/>
      <c r="H613" s="7">
        <f t="shared" si="39"/>
        <v>5.9754698194698364E-3</v>
      </c>
      <c r="I613" s="7">
        <f t="shared" si="40"/>
        <v>-1.0325162157597823E-2</v>
      </c>
      <c r="J613" s="7">
        <f t="shared" si="41"/>
        <v>1.6323775382539929E-2</v>
      </c>
      <c r="K613" s="7">
        <f t="shared" si="42"/>
        <v>2.6079804784561178E-3</v>
      </c>
      <c r="L613" s="7"/>
    </row>
    <row r="614" spans="1:12" x14ac:dyDescent="0.25">
      <c r="A614" s="2" t="s">
        <v>735</v>
      </c>
      <c r="B614" s="7">
        <v>-8.7744126804416567E-3</v>
      </c>
      <c r="C614" s="7">
        <v>6.7219679633867546E-3</v>
      </c>
      <c r="D614" s="7">
        <v>-2.9154518950438302E-3</v>
      </c>
      <c r="E614" s="7">
        <v>-4.7458473835393367E-3</v>
      </c>
      <c r="F614" s="7">
        <v>-9.831650139591197E-5</v>
      </c>
      <c r="G614" s="7"/>
      <c r="H614" s="7">
        <f t="shared" si="39"/>
        <v>-8.6760961790457447E-3</v>
      </c>
      <c r="I614" s="7">
        <f t="shared" si="40"/>
        <v>6.8202844647826666E-3</v>
      </c>
      <c r="J614" s="7">
        <f t="shared" si="41"/>
        <v>-2.8171353936479182E-3</v>
      </c>
      <c r="K614" s="7">
        <f t="shared" si="42"/>
        <v>-4.6475308821434247E-3</v>
      </c>
      <c r="L614" s="7"/>
    </row>
    <row r="615" spans="1:12" x14ac:dyDescent="0.25">
      <c r="A615" s="2" t="s">
        <v>120</v>
      </c>
      <c r="B615" s="7">
        <v>-7.3537730512496235E-4</v>
      </c>
      <c r="C615" s="7">
        <v>1.4215259646069178E-2</v>
      </c>
      <c r="D615" s="7">
        <v>8.8235294117646745E-3</v>
      </c>
      <c r="E615" s="7">
        <v>3.5092116806616502E-3</v>
      </c>
      <c r="F615" s="7">
        <v>1.0594346293018697E-2</v>
      </c>
      <c r="G615" s="7"/>
      <c r="H615" s="7">
        <f t="shared" si="39"/>
        <v>-1.1329723598143659E-2</v>
      </c>
      <c r="I615" s="7">
        <f t="shared" si="40"/>
        <v>3.6209133530504811E-3</v>
      </c>
      <c r="J615" s="7">
        <f t="shared" si="41"/>
        <v>-1.7708168812540226E-3</v>
      </c>
      <c r="K615" s="7">
        <f t="shared" si="42"/>
        <v>-7.0851346123570469E-3</v>
      </c>
      <c r="L615" s="7"/>
    </row>
    <row r="616" spans="1:12" x14ac:dyDescent="0.25">
      <c r="A616" s="2" t="s">
        <v>736</v>
      </c>
      <c r="B616" s="7">
        <v>-1.0301198074123885E-2</v>
      </c>
      <c r="C616" s="7">
        <v>-3.7572254335260791E-3</v>
      </c>
      <c r="D616" s="7">
        <v>1.4925373134328401E-2</v>
      </c>
      <c r="E616" s="7">
        <v>-5.8559681036630673E-3</v>
      </c>
      <c r="F616" s="7">
        <v>-5.0188407696322157E-3</v>
      </c>
      <c r="G616" s="7"/>
      <c r="H616" s="7">
        <f t="shared" si="39"/>
        <v>-5.2823573044916694E-3</v>
      </c>
      <c r="I616" s="7">
        <f t="shared" si="40"/>
        <v>1.2616153361061366E-3</v>
      </c>
      <c r="J616" s="7">
        <f t="shared" si="41"/>
        <v>1.9944213903960617E-2</v>
      </c>
      <c r="K616" s="7">
        <f t="shared" si="42"/>
        <v>-8.371273340308516E-4</v>
      </c>
      <c r="L616" s="7"/>
    </row>
    <row r="617" spans="1:12" x14ac:dyDescent="0.25">
      <c r="A617" s="2" t="s">
        <v>737</v>
      </c>
      <c r="B617" s="7">
        <v>5.0641458474003365E-3</v>
      </c>
      <c r="C617" s="7">
        <v>-1.5226981642237014E-2</v>
      </c>
      <c r="D617" s="7">
        <v>6.0060060060060927E-3</v>
      </c>
      <c r="E617" s="7">
        <v>-3.718809980806137E-2</v>
      </c>
      <c r="F617" s="7">
        <v>-6.2463587658072584E-3</v>
      </c>
      <c r="G617" s="7"/>
      <c r="H617" s="7">
        <f t="shared" si="39"/>
        <v>1.1310504613207595E-2</v>
      </c>
      <c r="I617" s="7">
        <f t="shared" si="40"/>
        <v>-8.9806228764297558E-3</v>
      </c>
      <c r="J617" s="7">
        <f t="shared" si="41"/>
        <v>1.2252364771813351E-2</v>
      </c>
      <c r="K617" s="7">
        <f t="shared" si="42"/>
        <v>-3.0941741042254112E-2</v>
      </c>
      <c r="L617" s="7"/>
    </row>
    <row r="618" spans="1:12" x14ac:dyDescent="0.25">
      <c r="A618" s="2" t="s">
        <v>738</v>
      </c>
      <c r="B618" s="7">
        <v>7.9401088929220709E-3</v>
      </c>
      <c r="C618" s="7">
        <v>-2.6965654271926542E-3</v>
      </c>
      <c r="D618" s="7">
        <v>6.0422960725075026E-3</v>
      </c>
      <c r="E618" s="7">
        <v>7.0065233148102202E-3</v>
      </c>
      <c r="F618" s="7">
        <v>4.2930173648079162E-3</v>
      </c>
      <c r="G618" s="7"/>
      <c r="H618" s="7">
        <f t="shared" si="39"/>
        <v>3.6470915281141547E-3</v>
      </c>
      <c r="I618" s="7">
        <f t="shared" si="40"/>
        <v>-6.9895827920005704E-3</v>
      </c>
      <c r="J618" s="7">
        <f t="shared" si="41"/>
        <v>1.7492787076995864E-3</v>
      </c>
      <c r="K618" s="7">
        <f t="shared" si="42"/>
        <v>2.713505950002304E-3</v>
      </c>
      <c r="L618" s="7"/>
    </row>
    <row r="619" spans="1:12" x14ac:dyDescent="0.25">
      <c r="A619" s="2" t="s">
        <v>739</v>
      </c>
      <c r="B619" s="7">
        <v>-3.3913633280578948E-3</v>
      </c>
      <c r="C619" s="7">
        <v>1.7913897717422689E-2</v>
      </c>
      <c r="D619" s="7">
        <v>-8.9820359281436168E-3</v>
      </c>
      <c r="E619" s="7">
        <v>2.7302060064532174E-2</v>
      </c>
      <c r="F619" s="7">
        <v>5.2079729499083793E-3</v>
      </c>
      <c r="G619" s="7"/>
      <c r="H619" s="7">
        <f t="shared" si="39"/>
        <v>-8.5993362779662741E-3</v>
      </c>
      <c r="I619" s="7">
        <f t="shared" si="40"/>
        <v>1.2705924767514309E-2</v>
      </c>
      <c r="J619" s="7">
        <f t="shared" si="41"/>
        <v>-1.4190008878051996E-2</v>
      </c>
      <c r="K619" s="7">
        <f t="shared" si="42"/>
        <v>2.2094087114623795E-2</v>
      </c>
      <c r="L619" s="7"/>
    </row>
    <row r="620" spans="1:12" x14ac:dyDescent="0.25">
      <c r="A620" s="2" t="s">
        <v>121</v>
      </c>
      <c r="B620" s="7">
        <v>8.493416177392632E-3</v>
      </c>
      <c r="C620" s="7">
        <v>7.2759022118742411E-3</v>
      </c>
      <c r="D620" s="7">
        <v>1.2121212121212199E-2</v>
      </c>
      <c r="E620" s="7">
        <v>-1.4070720665606329E-2</v>
      </c>
      <c r="F620" s="7">
        <v>6.3038180341186134E-3</v>
      </c>
      <c r="G620" s="7"/>
      <c r="H620" s="7">
        <f t="shared" si="39"/>
        <v>2.1895981432740186E-3</v>
      </c>
      <c r="I620" s="7">
        <f t="shared" si="40"/>
        <v>9.7208417775562772E-4</v>
      </c>
      <c r="J620" s="7">
        <f t="shared" si="41"/>
        <v>5.8173940870935859E-3</v>
      </c>
      <c r="K620" s="7">
        <f t="shared" si="42"/>
        <v>-2.0374538699724942E-2</v>
      </c>
      <c r="L620" s="7"/>
    </row>
    <row r="621" spans="1:12" x14ac:dyDescent="0.25">
      <c r="A621" s="2" t="s">
        <v>740</v>
      </c>
      <c r="B621" s="7">
        <v>1.4750115687181875E-2</v>
      </c>
      <c r="C621" s="7">
        <v>6.444053895723556E-3</v>
      </c>
      <c r="D621" s="7">
        <v>1.2269938650306678E-2</v>
      </c>
      <c r="E621" s="7">
        <v>2.8567832871885246E-2</v>
      </c>
      <c r="F621" s="7">
        <v>1.1814879091820885E-2</v>
      </c>
      <c r="G621" s="7"/>
      <c r="H621" s="7">
        <f t="shared" si="39"/>
        <v>2.9352365953609905E-3</v>
      </c>
      <c r="I621" s="7">
        <f t="shared" si="40"/>
        <v>-5.3708251960973286E-3</v>
      </c>
      <c r="J621" s="7">
        <f t="shared" si="41"/>
        <v>4.5505955848579305E-4</v>
      </c>
      <c r="K621" s="7">
        <f t="shared" si="42"/>
        <v>1.6752953780064361E-2</v>
      </c>
      <c r="L621" s="7"/>
    </row>
    <row r="622" spans="1:12" x14ac:dyDescent="0.25">
      <c r="A622" s="2" t="s">
        <v>741</v>
      </c>
      <c r="B622" s="7">
        <v>7.1657442470141053E-3</v>
      </c>
      <c r="C622" s="7">
        <v>-2.0461853259281515E-3</v>
      </c>
      <c r="D622" s="7">
        <v>3.8216560509554132E-2</v>
      </c>
      <c r="E622" s="7">
        <v>-4.8841577958672611E-3</v>
      </c>
      <c r="F622" s="7">
        <v>-1.3040164174730196E-3</v>
      </c>
      <c r="G622" s="7"/>
      <c r="H622" s="7">
        <f t="shared" si="39"/>
        <v>8.4697606644871248E-3</v>
      </c>
      <c r="I622" s="7">
        <f t="shared" si="40"/>
        <v>-7.4216890845513195E-4</v>
      </c>
      <c r="J622" s="7">
        <f t="shared" si="41"/>
        <v>3.9520576927027151E-2</v>
      </c>
      <c r="K622" s="7">
        <f t="shared" si="42"/>
        <v>-3.5801413783942415E-3</v>
      </c>
      <c r="L622" s="7"/>
    </row>
    <row r="623" spans="1:12" x14ac:dyDescent="0.25">
      <c r="A623" s="2" t="s">
        <v>742</v>
      </c>
      <c r="B623" s="7">
        <v>7.3356807511737454E-3</v>
      </c>
      <c r="C623" s="7">
        <v>-8.6931324253838316E-3</v>
      </c>
      <c r="D623" s="7">
        <v>-1.5673981191222541E-2</v>
      </c>
      <c r="E623" s="7">
        <v>-5.4801345123927092E-3</v>
      </c>
      <c r="F623" s="7">
        <v>8.1098015108347354E-3</v>
      </c>
      <c r="G623" s="7"/>
      <c r="H623" s="7">
        <f t="shared" si="39"/>
        <v>-7.7412075966099003E-4</v>
      </c>
      <c r="I623" s="7">
        <f t="shared" si="40"/>
        <v>-1.6802933936218567E-2</v>
      </c>
      <c r="J623" s="7">
        <f t="shared" si="41"/>
        <v>-2.3783782702057277E-2</v>
      </c>
      <c r="K623" s="7">
        <f t="shared" si="42"/>
        <v>-1.3589936023227445E-2</v>
      </c>
      <c r="L623" s="7"/>
    </row>
    <row r="624" spans="1:12" x14ac:dyDescent="0.25">
      <c r="A624" s="2" t="s">
        <v>743</v>
      </c>
      <c r="B624" s="7">
        <v>-7.8024921392803037E-3</v>
      </c>
      <c r="C624" s="7">
        <v>-1.5827748467132419E-2</v>
      </c>
      <c r="D624" s="7">
        <v>-6.230529595015577E-3</v>
      </c>
      <c r="E624" s="7">
        <v>-2.2998296422487186E-2</v>
      </c>
      <c r="F624" s="7">
        <v>-1.374408577578079E-2</v>
      </c>
      <c r="G624" s="7"/>
      <c r="H624" s="7">
        <f t="shared" si="39"/>
        <v>5.9415936365004862E-3</v>
      </c>
      <c r="I624" s="7">
        <f t="shared" si="40"/>
        <v>-2.0836626913516287E-3</v>
      </c>
      <c r="J624" s="7">
        <f t="shared" si="41"/>
        <v>7.5135561807652129E-3</v>
      </c>
      <c r="K624" s="7">
        <f t="shared" si="42"/>
        <v>-9.2542106467063956E-3</v>
      </c>
      <c r="L624" s="7"/>
    </row>
    <row r="625" spans="1:12" x14ac:dyDescent="0.25">
      <c r="A625" s="2" t="s">
        <v>122</v>
      </c>
      <c r="B625" s="7">
        <v>1.483188559948001E-2</v>
      </c>
      <c r="C625" s="7">
        <v>-3.6411101951085545E-2</v>
      </c>
      <c r="D625" s="7">
        <v>-4.4642857142857095E-2</v>
      </c>
      <c r="E625" s="7">
        <v>-2.4277737314880588E-3</v>
      </c>
      <c r="F625" s="7">
        <v>7.9290120217789806E-5</v>
      </c>
      <c r="G625" s="7"/>
      <c r="H625" s="7">
        <f t="shared" si="39"/>
        <v>1.475259547926222E-2</v>
      </c>
      <c r="I625" s="7">
        <f t="shared" si="40"/>
        <v>-3.6490392071303335E-2</v>
      </c>
      <c r="J625" s="7">
        <f t="shared" si="41"/>
        <v>-4.4722147263074885E-2</v>
      </c>
      <c r="K625" s="7">
        <f t="shared" si="42"/>
        <v>-2.5070638517058486E-3</v>
      </c>
      <c r="L625" s="7"/>
    </row>
    <row r="626" spans="1:12" x14ac:dyDescent="0.25">
      <c r="A626" s="2" t="s">
        <v>744</v>
      </c>
      <c r="B626" s="7">
        <v>3.0822120799003372E-3</v>
      </c>
      <c r="C626" s="7">
        <v>3.862068965517329E-3</v>
      </c>
      <c r="D626" s="7">
        <v>1.8181818181818299E-2</v>
      </c>
      <c r="E626" s="7">
        <v>1.4032496307237796E-2</v>
      </c>
      <c r="F626" s="7">
        <v>-2.7094913598622039E-3</v>
      </c>
      <c r="G626" s="7"/>
      <c r="H626" s="7">
        <f t="shared" si="39"/>
        <v>5.7917034397625411E-3</v>
      </c>
      <c r="I626" s="7">
        <f t="shared" si="40"/>
        <v>6.5715603253795329E-3</v>
      </c>
      <c r="J626" s="7">
        <f t="shared" si="41"/>
        <v>2.0891309541680503E-2</v>
      </c>
      <c r="K626" s="7">
        <f t="shared" si="42"/>
        <v>1.67419876671E-2</v>
      </c>
      <c r="L626" s="7"/>
    </row>
    <row r="627" spans="1:12" x14ac:dyDescent="0.25">
      <c r="A627" s="2" t="s">
        <v>745</v>
      </c>
      <c r="B627" s="7">
        <v>1.4840318176421174E-3</v>
      </c>
      <c r="C627" s="7">
        <v>-2.0646937370957241E-3</v>
      </c>
      <c r="D627" s="7">
        <v>6.0975609756097615E-3</v>
      </c>
      <c r="E627" s="7">
        <v>-7.4526572999389362E-3</v>
      </c>
      <c r="F627" s="7">
        <v>5.8930731241708667E-3</v>
      </c>
      <c r="G627" s="7"/>
      <c r="H627" s="7">
        <f t="shared" si="39"/>
        <v>-4.4090413065287493E-3</v>
      </c>
      <c r="I627" s="7">
        <f t="shared" si="40"/>
        <v>-7.9577668612665908E-3</v>
      </c>
      <c r="J627" s="7">
        <f t="shared" si="41"/>
        <v>2.0448785143889481E-4</v>
      </c>
      <c r="K627" s="7">
        <f t="shared" si="42"/>
        <v>-1.3345730424109803E-2</v>
      </c>
      <c r="L627" s="7"/>
    </row>
    <row r="628" spans="1:12" x14ac:dyDescent="0.25">
      <c r="A628" s="2" t="s">
        <v>746</v>
      </c>
      <c r="B628" s="7">
        <v>-8.8839206918867042E-3</v>
      </c>
      <c r="C628" s="7">
        <v>-4.5217867909015386E-3</v>
      </c>
      <c r="D628" s="7">
        <v>6.1349693251533388E-3</v>
      </c>
      <c r="E628" s="7">
        <v>3.186665032479441E-3</v>
      </c>
      <c r="F628" s="7">
        <v>2.2931861950192811E-4</v>
      </c>
      <c r="G628" s="7"/>
      <c r="H628" s="7">
        <f t="shared" si="39"/>
        <v>-9.1132393113886323E-3</v>
      </c>
      <c r="I628" s="7">
        <f t="shared" si="40"/>
        <v>-4.7511054104034667E-3</v>
      </c>
      <c r="J628" s="7">
        <f t="shared" si="41"/>
        <v>5.9056507056514107E-3</v>
      </c>
      <c r="K628" s="7">
        <f t="shared" si="42"/>
        <v>2.9573464129775129E-3</v>
      </c>
      <c r="L628" s="7"/>
    </row>
    <row r="629" spans="1:12" x14ac:dyDescent="0.25">
      <c r="A629" s="2" t="s">
        <v>747</v>
      </c>
      <c r="B629" s="7">
        <v>-2.3385428637094918E-2</v>
      </c>
      <c r="C629" s="7">
        <v>-9.6349572533586114E-3</v>
      </c>
      <c r="D629" s="7">
        <v>3.0769230769229772E-3</v>
      </c>
      <c r="E629" s="7">
        <v>-1.4970421344923324E-2</v>
      </c>
      <c r="F629" s="7">
        <v>-1.473449776826885E-2</v>
      </c>
      <c r="G629" s="7"/>
      <c r="H629" s="7">
        <f t="shared" si="39"/>
        <v>-8.6509308688260678E-3</v>
      </c>
      <c r="I629" s="7">
        <f t="shared" si="40"/>
        <v>5.0995405149102391E-3</v>
      </c>
      <c r="J629" s="7">
        <f t="shared" si="41"/>
        <v>1.7811420845191828E-2</v>
      </c>
      <c r="K629" s="7">
        <f t="shared" si="42"/>
        <v>-2.3592357665447317E-4</v>
      </c>
      <c r="L629" s="7"/>
    </row>
    <row r="630" spans="1:12" x14ac:dyDescent="0.25">
      <c r="A630" s="2" t="s">
        <v>123</v>
      </c>
      <c r="B630" s="7">
        <v>7.3508132198876197E-3</v>
      </c>
      <c r="C630" s="7">
        <v>-2.3067744929073486E-2</v>
      </c>
      <c r="D630" s="7">
        <v>9.3167701863352548E-3</v>
      </c>
      <c r="E630" s="7">
        <v>-1.2282375387550726E-2</v>
      </c>
      <c r="F630" s="7">
        <v>4.0230922718664797E-3</v>
      </c>
      <c r="G630" s="7"/>
      <c r="H630" s="7">
        <f t="shared" si="39"/>
        <v>3.32772094802114E-3</v>
      </c>
      <c r="I630" s="7">
        <f t="shared" si="40"/>
        <v>-2.7090837200939966E-2</v>
      </c>
      <c r="J630" s="7">
        <f t="shared" si="41"/>
        <v>5.2936779144687751E-3</v>
      </c>
      <c r="K630" s="7">
        <f t="shared" si="42"/>
        <v>-1.6305467659417205E-2</v>
      </c>
      <c r="L630" s="7"/>
    </row>
    <row r="631" spans="1:12" x14ac:dyDescent="0.25">
      <c r="A631" s="2" t="s">
        <v>748</v>
      </c>
      <c r="B631" s="7">
        <v>4.9441600744533076E-3</v>
      </c>
      <c r="C631" s="7">
        <v>-4.6186328846660185E-3</v>
      </c>
      <c r="D631" s="7">
        <v>2.2222222222222365E-2</v>
      </c>
      <c r="E631" s="7">
        <v>4.9824737105658601E-2</v>
      </c>
      <c r="F631" s="7">
        <v>-2.2956120092377796E-3</v>
      </c>
      <c r="G631" s="7"/>
      <c r="H631" s="7">
        <f t="shared" si="39"/>
        <v>7.2397720836910873E-3</v>
      </c>
      <c r="I631" s="7">
        <f t="shared" si="40"/>
        <v>-2.3230208754282389E-3</v>
      </c>
      <c r="J631" s="7">
        <f t="shared" si="41"/>
        <v>2.4517834231460145E-2</v>
      </c>
      <c r="K631" s="7">
        <f t="shared" si="42"/>
        <v>5.212034911489638E-2</v>
      </c>
      <c r="L631" s="7"/>
    </row>
    <row r="632" spans="1:12" x14ac:dyDescent="0.25">
      <c r="A632" s="2" t="s">
        <v>749</v>
      </c>
      <c r="B632" s="7">
        <v>-8.8781275221954115E-3</v>
      </c>
      <c r="C632" s="7">
        <v>-1.520467836257311E-2</v>
      </c>
      <c r="D632" s="7">
        <v>-3.1645569620254443E-3</v>
      </c>
      <c r="E632" s="7">
        <v>-1.9034753776249635E-2</v>
      </c>
      <c r="F632" s="7">
        <v>-1.6400890463858953E-2</v>
      </c>
      <c r="G632" s="7"/>
      <c r="H632" s="7">
        <f t="shared" si="39"/>
        <v>7.5227629416635411E-3</v>
      </c>
      <c r="I632" s="7">
        <f t="shared" si="40"/>
        <v>1.1962121012858429E-3</v>
      </c>
      <c r="J632" s="7">
        <f t="shared" si="41"/>
        <v>1.3236333501833508E-2</v>
      </c>
      <c r="K632" s="7">
        <f t="shared" si="42"/>
        <v>-2.6338633123906829E-3</v>
      </c>
      <c r="L632" s="7"/>
    </row>
    <row r="633" spans="1:12" x14ac:dyDescent="0.25">
      <c r="A633" s="2" t="s">
        <v>750</v>
      </c>
      <c r="B633" s="7">
        <v>-1.9999999999999907E-2</v>
      </c>
      <c r="C633" s="7">
        <v>-1.2321909896033767E-2</v>
      </c>
      <c r="D633" s="7">
        <v>-1.5576323987538832E-2</v>
      </c>
      <c r="E633" s="7">
        <v>-1.5713767677988599E-2</v>
      </c>
      <c r="F633" s="7">
        <v>-9.3947951709627553E-3</v>
      </c>
      <c r="G633" s="7"/>
      <c r="H633" s="7">
        <f t="shared" si="39"/>
        <v>-1.0605204829037151E-2</v>
      </c>
      <c r="I633" s="7">
        <f t="shared" si="40"/>
        <v>-2.9271147250710117E-3</v>
      </c>
      <c r="J633" s="7">
        <f t="shared" si="41"/>
        <v>-6.1815288165760762E-3</v>
      </c>
      <c r="K633" s="7">
        <f t="shared" si="42"/>
        <v>-6.318972507025844E-3</v>
      </c>
      <c r="L633" s="7"/>
    </row>
    <row r="634" spans="1:12" x14ac:dyDescent="0.25">
      <c r="A634" s="2" t="s">
        <v>751</v>
      </c>
      <c r="B634" s="7">
        <v>6.19635040645794E-3</v>
      </c>
      <c r="C634" s="7">
        <v>-8.0213903743316939E-3</v>
      </c>
      <c r="D634" s="7">
        <v>0</v>
      </c>
      <c r="E634" s="7">
        <v>1.0890609874152357E-3</v>
      </c>
      <c r="F634" s="7">
        <v>-2.1511026084926055E-3</v>
      </c>
      <c r="G634" s="7"/>
      <c r="H634" s="7">
        <f t="shared" si="39"/>
        <v>8.3474530149505455E-3</v>
      </c>
      <c r="I634" s="7">
        <f t="shared" si="40"/>
        <v>-5.8702877658390884E-3</v>
      </c>
      <c r="J634" s="7">
        <f t="shared" si="41"/>
        <v>2.1511026084926055E-3</v>
      </c>
      <c r="K634" s="7">
        <f t="shared" si="42"/>
        <v>3.2401635959078412E-3</v>
      </c>
      <c r="L634" s="7"/>
    </row>
    <row r="635" spans="1:12" x14ac:dyDescent="0.25">
      <c r="A635" s="2" t="s">
        <v>124</v>
      </c>
      <c r="B635" s="7">
        <v>1.6938374378540955E-2</v>
      </c>
      <c r="C635" s="7">
        <v>-2.5458248472498557E-4</v>
      </c>
      <c r="D635" s="7">
        <v>4.2207792207792139E-2</v>
      </c>
      <c r="E635" s="7">
        <v>-6.0466803724756879E-4</v>
      </c>
      <c r="F635" s="7">
        <v>7.2129644609830734E-4</v>
      </c>
      <c r="G635" s="7"/>
      <c r="H635" s="7">
        <f t="shared" si="39"/>
        <v>1.6217077932442647E-2</v>
      </c>
      <c r="I635" s="7">
        <f t="shared" si="40"/>
        <v>-9.7587893082329291E-4</v>
      </c>
      <c r="J635" s="7">
        <f t="shared" si="41"/>
        <v>4.1486495761693831E-2</v>
      </c>
      <c r="K635" s="7">
        <f t="shared" si="42"/>
        <v>-1.3259644833458761E-3</v>
      </c>
      <c r="L635" s="7"/>
    </row>
    <row r="636" spans="1:12" x14ac:dyDescent="0.25">
      <c r="A636" s="2" t="s">
        <v>752</v>
      </c>
      <c r="B636" s="7">
        <v>-4.1450777202072242E-3</v>
      </c>
      <c r="C636" s="7">
        <v>-1.2320844857933166E-2</v>
      </c>
      <c r="D636" s="7">
        <v>0</v>
      </c>
      <c r="E636" s="7">
        <v>-1.0530094531530421E-2</v>
      </c>
      <c r="F636" s="7">
        <v>-1.2159552507158722E-2</v>
      </c>
      <c r="G636" s="7"/>
      <c r="H636" s="7">
        <f t="shared" si="39"/>
        <v>8.0144747869514976E-3</v>
      </c>
      <c r="I636" s="7">
        <f t="shared" si="40"/>
        <v>-1.6129235077444459E-4</v>
      </c>
      <c r="J636" s="7">
        <f t="shared" si="41"/>
        <v>1.2159552507158722E-2</v>
      </c>
      <c r="K636" s="7">
        <f t="shared" si="42"/>
        <v>1.6294579756283012E-3</v>
      </c>
      <c r="L636" s="7"/>
    </row>
    <row r="637" spans="1:12" x14ac:dyDescent="0.25">
      <c r="A637" s="2" t="s">
        <v>753</v>
      </c>
      <c r="B637" s="7">
        <v>8.7693826586909829E-3</v>
      </c>
      <c r="C637" s="7">
        <v>1.2603437301082154E-2</v>
      </c>
      <c r="D637" s="7">
        <v>1.9867549668874274E-2</v>
      </c>
      <c r="E637" s="7">
        <v>4.0850654811965814E-3</v>
      </c>
      <c r="F637" s="7">
        <v>8.4298837813157057E-3</v>
      </c>
      <c r="G637" s="7"/>
      <c r="H637" s="7">
        <f t="shared" si="39"/>
        <v>3.3949887737527717E-4</v>
      </c>
      <c r="I637" s="7">
        <f t="shared" si="40"/>
        <v>4.1735535197664486E-3</v>
      </c>
      <c r="J637" s="7">
        <f t="shared" si="41"/>
        <v>1.1437665887558568E-2</v>
      </c>
      <c r="K637" s="7">
        <f t="shared" si="42"/>
        <v>-4.3448183001191243E-3</v>
      </c>
      <c r="L637" s="7"/>
    </row>
    <row r="638" spans="1:12" x14ac:dyDescent="0.25">
      <c r="A638" s="2" t="s">
        <v>754</v>
      </c>
      <c r="B638" s="7">
        <v>-1.1878801790428106E-2</v>
      </c>
      <c r="C638" s="7">
        <v>-5.7022809123649432E-2</v>
      </c>
      <c r="D638" s="7">
        <v>3.3222591362127574E-3</v>
      </c>
      <c r="E638" s="7">
        <v>-7.5125208681134925E-3</v>
      </c>
      <c r="F638" s="7">
        <v>1.2416235236110129E-3</v>
      </c>
      <c r="G638" s="7"/>
      <c r="H638" s="7">
        <f t="shared" si="39"/>
        <v>-1.3120425314039119E-2</v>
      </c>
      <c r="I638" s="7">
        <f t="shared" si="40"/>
        <v>-5.8264432647260445E-2</v>
      </c>
      <c r="J638" s="7">
        <f t="shared" si="41"/>
        <v>2.0806356126017445E-3</v>
      </c>
      <c r="K638" s="7">
        <f t="shared" si="42"/>
        <v>-8.7541443917245054E-3</v>
      </c>
      <c r="L638" s="7"/>
    </row>
    <row r="639" spans="1:12" x14ac:dyDescent="0.25">
      <c r="A639" s="2" t="s">
        <v>755</v>
      </c>
      <c r="B639" s="7">
        <v>-1.7035198555956699E-2</v>
      </c>
      <c r="C639" s="7">
        <v>-6.7962322642185491E-3</v>
      </c>
      <c r="D639" s="7">
        <v>-6.6006600660065695E-3</v>
      </c>
      <c r="E639" s="7">
        <v>-4.6290801186943398E-3</v>
      </c>
      <c r="F639" s="7">
        <v>-5.6958724980279429E-3</v>
      </c>
      <c r="G639" s="7"/>
      <c r="H639" s="7">
        <f t="shared" si="39"/>
        <v>-1.1339326057928756E-2</v>
      </c>
      <c r="I639" s="7">
        <f t="shared" si="40"/>
        <v>-1.1003597661906062E-3</v>
      </c>
      <c r="J639" s="7">
        <f t="shared" si="41"/>
        <v>-9.0478756797862658E-4</v>
      </c>
      <c r="K639" s="7">
        <f t="shared" si="42"/>
        <v>1.0667923793336032E-3</v>
      </c>
      <c r="L639" s="7"/>
    </row>
    <row r="640" spans="1:12" x14ac:dyDescent="0.25">
      <c r="A640" s="2" t="s">
        <v>125</v>
      </c>
      <c r="B640" s="7">
        <v>6.5864183511241681E-3</v>
      </c>
      <c r="C640" s="7">
        <v>1.5498244339508416E-2</v>
      </c>
      <c r="D640" s="7">
        <v>-1.9417475728155331E-2</v>
      </c>
      <c r="E640" s="7">
        <v>-1.4850327408793218E-2</v>
      </c>
      <c r="F640" s="7">
        <v>6.7235148031741243E-3</v>
      </c>
      <c r="G640" s="7"/>
      <c r="H640" s="7">
        <f t="shared" si="39"/>
        <v>-1.3709645204995624E-4</v>
      </c>
      <c r="I640" s="7">
        <f t="shared" si="40"/>
        <v>8.7747295363342914E-3</v>
      </c>
      <c r="J640" s="7">
        <f t="shared" si="41"/>
        <v>-2.6140990531329455E-2</v>
      </c>
      <c r="K640" s="7">
        <f t="shared" si="42"/>
        <v>-2.1573842211967342E-2</v>
      </c>
      <c r="L640" s="7"/>
    </row>
    <row r="641" spans="1:12" x14ac:dyDescent="0.25">
      <c r="A641" s="2" t="s">
        <v>756</v>
      </c>
      <c r="B641" s="7">
        <v>3.5327635327635498E-3</v>
      </c>
      <c r="C641" s="7">
        <v>2.7926177756192327E-3</v>
      </c>
      <c r="D641" s="7">
        <v>4.7457627118643986E-2</v>
      </c>
      <c r="E641" s="7">
        <v>9.3632958801492805E-4</v>
      </c>
      <c r="F641" s="7">
        <v>1.4266008258556617E-3</v>
      </c>
      <c r="G641" s="7"/>
      <c r="H641" s="7">
        <f t="shared" si="39"/>
        <v>2.1061627069078881E-3</v>
      </c>
      <c r="I641" s="7">
        <f t="shared" si="40"/>
        <v>1.366016949763571E-3</v>
      </c>
      <c r="J641" s="7">
        <f t="shared" si="41"/>
        <v>4.6031026292788324E-2</v>
      </c>
      <c r="K641" s="7">
        <f t="shared" si="42"/>
        <v>-4.9027123784073368E-4</v>
      </c>
      <c r="L641" s="7"/>
    </row>
    <row r="642" spans="1:12" x14ac:dyDescent="0.25">
      <c r="A642" s="2" t="s">
        <v>757</v>
      </c>
      <c r="B642" s="7">
        <v>-2.9260467946235935E-2</v>
      </c>
      <c r="C642" s="7">
        <v>-3.9908090458338208E-3</v>
      </c>
      <c r="D642" s="7">
        <v>-1.9933554817275656E-2</v>
      </c>
      <c r="E642" s="7">
        <v>-4.7491638795986724E-2</v>
      </c>
      <c r="F642" s="7">
        <v>-3.2113009127796577E-3</v>
      </c>
      <c r="G642" s="7"/>
      <c r="H642" s="7">
        <f t="shared" si="39"/>
        <v>-2.6049167033456277E-2</v>
      </c>
      <c r="I642" s="7">
        <f t="shared" si="40"/>
        <v>-7.7950813305416311E-4</v>
      </c>
      <c r="J642" s="7">
        <f t="shared" si="41"/>
        <v>-1.6722253904495998E-2</v>
      </c>
      <c r="K642" s="7">
        <f t="shared" si="42"/>
        <v>-4.4280337883207066E-2</v>
      </c>
      <c r="L642" s="7"/>
    </row>
    <row r="643" spans="1:12" x14ac:dyDescent="0.25">
      <c r="A643" s="2" t="s">
        <v>758</v>
      </c>
      <c r="B643" s="7">
        <v>-3.5786666666666744E-2</v>
      </c>
      <c r="C643" s="7">
        <v>-4.4546111244884168E-3</v>
      </c>
      <c r="D643" s="7">
        <v>3.3333333333331883E-3</v>
      </c>
      <c r="E643" s="7">
        <v>-2.1136945155189046E-3</v>
      </c>
      <c r="F643" s="7">
        <v>-6.9715777558858605E-3</v>
      </c>
      <c r="G643" s="7"/>
      <c r="H643" s="7">
        <f t="shared" ref="H643:H706" si="43">B643-$F643</f>
        <v>-2.8815088910780884E-2</v>
      </c>
      <c r="I643" s="7">
        <f t="shared" ref="I643:I706" si="44">C643-$F643</f>
        <v>2.5169666313974437E-3</v>
      </c>
      <c r="J643" s="7">
        <f t="shared" ref="J643:J706" si="45">D643-$F643</f>
        <v>1.0304911089219049E-2</v>
      </c>
      <c r="K643" s="7">
        <f t="shared" ref="K643:K706" si="46">E643-$F643</f>
        <v>4.8578832403669558E-3</v>
      </c>
      <c r="L643" s="7"/>
    </row>
    <row r="644" spans="1:12" x14ac:dyDescent="0.25">
      <c r="A644" s="2" t="s">
        <v>759</v>
      </c>
      <c r="B644" s="7">
        <v>1.2281732258236921E-3</v>
      </c>
      <c r="C644" s="7">
        <v>-9.6223237911952086E-4</v>
      </c>
      <c r="D644" s="7">
        <v>-2.9126213592232997E-2</v>
      </c>
      <c r="E644" s="7">
        <v>-3.7681480660534117E-3</v>
      </c>
      <c r="F644" s="7">
        <v>-4.1941905810084501E-3</v>
      </c>
      <c r="G644" s="7"/>
      <c r="H644" s="7">
        <f t="shared" si="43"/>
        <v>5.4223638068321423E-3</v>
      </c>
      <c r="I644" s="7">
        <f t="shared" si="44"/>
        <v>3.2319582018889292E-3</v>
      </c>
      <c r="J644" s="7">
        <f t="shared" si="45"/>
        <v>-2.4932023011224547E-2</v>
      </c>
      <c r="K644" s="7">
        <f t="shared" si="46"/>
        <v>4.2604251495503842E-4</v>
      </c>
      <c r="L644" s="7"/>
    </row>
    <row r="645" spans="1:12" x14ac:dyDescent="0.25">
      <c r="A645" s="2" t="s">
        <v>760</v>
      </c>
      <c r="B645" s="7">
        <v>8.5088049975767799E-3</v>
      </c>
      <c r="C645" s="7">
        <v>2.6531596719729933E-3</v>
      </c>
      <c r="D645" s="7">
        <v>3.2467532467532756E-3</v>
      </c>
      <c r="E645" s="7">
        <v>2.2668026748271508E-2</v>
      </c>
      <c r="F645" s="7">
        <v>1.7991596526802933E-3</v>
      </c>
      <c r="G645" s="7"/>
      <c r="H645" s="7">
        <f t="shared" si="43"/>
        <v>6.7096453448964866E-3</v>
      </c>
      <c r="I645" s="7">
        <f t="shared" si="44"/>
        <v>8.5400001929269997E-4</v>
      </c>
      <c r="J645" s="7">
        <f t="shared" si="45"/>
        <v>1.4475935940729823E-3</v>
      </c>
      <c r="K645" s="7">
        <f t="shared" si="46"/>
        <v>2.0868867095591215E-2</v>
      </c>
      <c r="L645" s="7"/>
    </row>
    <row r="646" spans="1:12" x14ac:dyDescent="0.25">
      <c r="A646" s="2" t="s">
        <v>761</v>
      </c>
      <c r="B646" s="7">
        <v>1.1321975415139462E-3</v>
      </c>
      <c r="C646" s="7">
        <v>2.118226600985218E-2</v>
      </c>
      <c r="D646" s="7">
        <v>-2.5316455696202556E-2</v>
      </c>
      <c r="E646" s="7">
        <v>-7.9829098268494603E-3</v>
      </c>
      <c r="F646" s="7">
        <v>-1.5969452055097921E-3</v>
      </c>
      <c r="G646" s="7"/>
      <c r="H646" s="7">
        <f t="shared" si="43"/>
        <v>2.7291427470237384E-3</v>
      </c>
      <c r="I646" s="7">
        <f t="shared" si="44"/>
        <v>2.2779211215361972E-2</v>
      </c>
      <c r="J646" s="7">
        <f t="shared" si="45"/>
        <v>-2.3719510490692763E-2</v>
      </c>
      <c r="K646" s="7">
        <f t="shared" si="46"/>
        <v>-6.3859646213396681E-3</v>
      </c>
      <c r="L646" s="7"/>
    </row>
    <row r="647" spans="1:12" x14ac:dyDescent="0.25">
      <c r="A647" s="2" t="s">
        <v>762</v>
      </c>
      <c r="B647" s="7">
        <v>1.9176877850431318E-2</v>
      </c>
      <c r="C647" s="7">
        <v>-1.0600706713780772E-2</v>
      </c>
      <c r="D647" s="7">
        <v>-2.7692307692307683E-2</v>
      </c>
      <c r="E647" s="7">
        <v>-4.0313549832027284E-3</v>
      </c>
      <c r="F647" s="7">
        <v>3.8331298928546698E-3</v>
      </c>
      <c r="G647" s="7"/>
      <c r="H647" s="7">
        <f t="shared" si="43"/>
        <v>1.5343747957576648E-2</v>
      </c>
      <c r="I647" s="7">
        <f t="shared" si="44"/>
        <v>-1.4433836606635442E-2</v>
      </c>
      <c r="J647" s="7">
        <f t="shared" si="45"/>
        <v>-3.1525437585162353E-2</v>
      </c>
      <c r="K647" s="7">
        <f t="shared" si="46"/>
        <v>-7.8644848760573982E-3</v>
      </c>
      <c r="L647" s="7"/>
    </row>
    <row r="648" spans="1:12" x14ac:dyDescent="0.25">
      <c r="A648" s="2" t="s">
        <v>763</v>
      </c>
      <c r="B648" s="7">
        <v>2.1841661987647365E-2</v>
      </c>
      <c r="C648" s="7">
        <v>1.3960958734865248E-2</v>
      </c>
      <c r="D648" s="7">
        <v>3.833865814696491E-2</v>
      </c>
      <c r="E648" s="7">
        <v>1.9406392694063967E-2</v>
      </c>
      <c r="F648" s="7">
        <v>1.4508347036412905E-2</v>
      </c>
      <c r="G648" s="7"/>
      <c r="H648" s="7">
        <f t="shared" si="43"/>
        <v>7.3333149512344598E-3</v>
      </c>
      <c r="I648" s="7">
        <f t="shared" si="44"/>
        <v>-5.4738830154765772E-4</v>
      </c>
      <c r="J648" s="7">
        <f t="shared" si="45"/>
        <v>2.3830311110552005E-2</v>
      </c>
      <c r="K648" s="7">
        <f t="shared" si="46"/>
        <v>4.8980456576510623E-3</v>
      </c>
      <c r="L648" s="7"/>
    </row>
    <row r="649" spans="1:12" x14ac:dyDescent="0.25">
      <c r="A649" s="2" t="s">
        <v>126</v>
      </c>
      <c r="B649" s="7">
        <v>8.8365243004417948E-3</v>
      </c>
      <c r="C649" s="7">
        <v>5.2262090483619295E-2</v>
      </c>
      <c r="D649" s="7">
        <v>-3.0959752321981449E-2</v>
      </c>
      <c r="E649" s="7">
        <v>2.6963657678780839E-2</v>
      </c>
      <c r="F649" s="7">
        <v>6.2645975336552695E-3</v>
      </c>
      <c r="G649" s="7"/>
      <c r="H649" s="7">
        <f t="shared" si="43"/>
        <v>2.5719267667865253E-3</v>
      </c>
      <c r="I649" s="7">
        <f t="shared" si="44"/>
        <v>4.5997492949964025E-2</v>
      </c>
      <c r="J649" s="7">
        <f t="shared" si="45"/>
        <v>-3.7224349855636718E-2</v>
      </c>
      <c r="K649" s="7">
        <f t="shared" si="46"/>
        <v>2.069906014512557E-2</v>
      </c>
      <c r="L649" s="7"/>
    </row>
    <row r="650" spans="1:12" x14ac:dyDescent="0.25">
      <c r="A650" s="2" t="s">
        <v>764</v>
      </c>
      <c r="B650" s="7">
        <v>1.261902030515083E-2</v>
      </c>
      <c r="C650" s="7">
        <v>4.5709808018807863E-3</v>
      </c>
      <c r="D650" s="7">
        <v>-2.4169184290030232E-2</v>
      </c>
      <c r="E650" s="7">
        <v>7.9168143684273939E-3</v>
      </c>
      <c r="F650" s="7">
        <v>6.7179884423178571E-3</v>
      </c>
      <c r="G650" s="7"/>
      <c r="H650" s="7">
        <f t="shared" si="43"/>
        <v>5.9010318628329728E-3</v>
      </c>
      <c r="I650" s="7">
        <f t="shared" si="44"/>
        <v>-2.1470076404370708E-3</v>
      </c>
      <c r="J650" s="7">
        <f t="shared" si="45"/>
        <v>-3.0887172732348089E-2</v>
      </c>
      <c r="K650" s="7">
        <f t="shared" si="46"/>
        <v>1.1988259261095369E-3</v>
      </c>
      <c r="L650" s="7"/>
    </row>
    <row r="651" spans="1:12" x14ac:dyDescent="0.25">
      <c r="A651" s="2" t="s">
        <v>765</v>
      </c>
      <c r="B651" s="7">
        <v>-2.6142330465869779E-2</v>
      </c>
      <c r="C651" s="7">
        <v>-1.1489801187709814E-2</v>
      </c>
      <c r="D651" s="7">
        <v>-3.0120481927710108E-3</v>
      </c>
      <c r="E651" s="7">
        <v>-8.0872011251758025E-3</v>
      </c>
      <c r="F651" s="7">
        <v>-1.3458039995401183E-2</v>
      </c>
      <c r="G651" s="7"/>
      <c r="H651" s="7">
        <f t="shared" si="43"/>
        <v>-1.2684290470468595E-2</v>
      </c>
      <c r="I651" s="7">
        <f t="shared" si="44"/>
        <v>1.9682388076913693E-3</v>
      </c>
      <c r="J651" s="7">
        <f t="shared" si="45"/>
        <v>1.0445991802630172E-2</v>
      </c>
      <c r="K651" s="7">
        <f t="shared" si="46"/>
        <v>5.3708388702253806E-3</v>
      </c>
      <c r="L651" s="7"/>
    </row>
    <row r="652" spans="1:12" x14ac:dyDescent="0.25">
      <c r="A652" s="2" t="s">
        <v>766</v>
      </c>
      <c r="B652" s="7">
        <v>2.1920310537732579E-2</v>
      </c>
      <c r="C652" s="7">
        <v>1.1491250979367873E-2</v>
      </c>
      <c r="D652" s="7">
        <v>6.0606060606060996E-3</v>
      </c>
      <c r="E652" s="7">
        <v>1.9964136282127676E-2</v>
      </c>
      <c r="F652" s="7">
        <v>1.1044888377340412E-2</v>
      </c>
      <c r="G652" s="7"/>
      <c r="H652" s="7">
        <f t="shared" si="43"/>
        <v>1.0875422160392167E-2</v>
      </c>
      <c r="I652" s="7">
        <f t="shared" si="44"/>
        <v>4.4636260202746136E-4</v>
      </c>
      <c r="J652" s="7">
        <f t="shared" si="45"/>
        <v>-4.984282316734312E-3</v>
      </c>
      <c r="K652" s="7">
        <f t="shared" si="46"/>
        <v>8.9192479047872641E-3</v>
      </c>
      <c r="L652" s="7"/>
    </row>
    <row r="653" spans="1:12" x14ac:dyDescent="0.25">
      <c r="A653" s="2" t="s">
        <v>767</v>
      </c>
      <c r="B653" s="7">
        <v>7.9401611047180687E-3</v>
      </c>
      <c r="C653" s="7">
        <v>-6.8732978861366645E-3</v>
      </c>
      <c r="D653" s="7">
        <v>6.0975609756097615E-3</v>
      </c>
      <c r="E653" s="7">
        <v>-5.4690286529543997E-3</v>
      </c>
      <c r="F653" s="7">
        <v>-2.7774179104816943E-3</v>
      </c>
      <c r="G653" s="7"/>
      <c r="H653" s="7">
        <f t="shared" si="43"/>
        <v>1.0717579015199763E-2</v>
      </c>
      <c r="I653" s="7">
        <f t="shared" si="44"/>
        <v>-4.0958799756549702E-3</v>
      </c>
      <c r="J653" s="7">
        <f t="shared" si="45"/>
        <v>8.8749788860914558E-3</v>
      </c>
      <c r="K653" s="7">
        <f t="shared" si="46"/>
        <v>-2.6916107424727054E-3</v>
      </c>
      <c r="L653" s="7"/>
    </row>
    <row r="654" spans="1:12" x14ac:dyDescent="0.25">
      <c r="A654" s="2" t="s">
        <v>127</v>
      </c>
      <c r="B654" s="7">
        <v>7.7114860555460574E-3</v>
      </c>
      <c r="C654" s="7">
        <v>-8.1039361975816515E-3</v>
      </c>
      <c r="D654" s="7">
        <v>-3.0395136778116338E-3</v>
      </c>
      <c r="E654" s="7">
        <v>6.1004784688996061E-3</v>
      </c>
      <c r="F654" s="7">
        <v>6.8791750482297687E-3</v>
      </c>
      <c r="G654" s="7"/>
      <c r="H654" s="7">
        <f t="shared" si="43"/>
        <v>8.3231100731628871E-4</v>
      </c>
      <c r="I654" s="7">
        <f t="shared" si="44"/>
        <v>-1.498311124581142E-2</v>
      </c>
      <c r="J654" s="7">
        <f t="shared" si="45"/>
        <v>-9.9186887260414025E-3</v>
      </c>
      <c r="K654" s="7">
        <f t="shared" si="46"/>
        <v>-7.7869657933016256E-4</v>
      </c>
      <c r="L654" s="7"/>
    </row>
    <row r="655" spans="1:12" x14ac:dyDescent="0.25">
      <c r="A655" s="2" t="s">
        <v>768</v>
      </c>
      <c r="B655" s="7">
        <v>2.8491685079661266E-3</v>
      </c>
      <c r="C655" s="7">
        <v>-2.9498525073746729E-3</v>
      </c>
      <c r="D655" s="7">
        <v>9.2024539877302303E-3</v>
      </c>
      <c r="E655" s="7">
        <v>-2.8923219886165752E-2</v>
      </c>
      <c r="F655" s="7">
        <v>-1.4872916647590273E-4</v>
      </c>
      <c r="G655" s="7"/>
      <c r="H655" s="7">
        <f t="shared" si="43"/>
        <v>2.9978976744420294E-3</v>
      </c>
      <c r="I655" s="7">
        <f t="shared" si="44"/>
        <v>-2.8011233408987701E-3</v>
      </c>
      <c r="J655" s="7">
        <f t="shared" si="45"/>
        <v>9.351183154206133E-3</v>
      </c>
      <c r="K655" s="7">
        <f t="shared" si="46"/>
        <v>-2.8774490719689849E-2</v>
      </c>
      <c r="L655" s="7"/>
    </row>
    <row r="656" spans="1:12" x14ac:dyDescent="0.25">
      <c r="A656" s="2" t="s">
        <v>769</v>
      </c>
      <c r="B656" s="7">
        <v>-1.4554205821682431E-2</v>
      </c>
      <c r="C656" s="7">
        <v>9.9740932642486957E-3</v>
      </c>
      <c r="D656" s="7">
        <v>3.0769230769229772E-3</v>
      </c>
      <c r="E656" s="7">
        <v>1.7131379962192828E-2</v>
      </c>
      <c r="F656" s="7">
        <v>-7.7128643857296009E-3</v>
      </c>
      <c r="G656" s="7"/>
      <c r="H656" s="7">
        <f t="shared" si="43"/>
        <v>-6.8413414359528302E-3</v>
      </c>
      <c r="I656" s="7">
        <f t="shared" si="44"/>
        <v>1.7686957649978297E-2</v>
      </c>
      <c r="J656" s="7">
        <f t="shared" si="45"/>
        <v>1.0789787462652578E-2</v>
      </c>
      <c r="K656" s="7">
        <f t="shared" si="46"/>
        <v>2.4844244347922428E-2</v>
      </c>
      <c r="L656" s="7"/>
    </row>
    <row r="657" spans="1:12" x14ac:dyDescent="0.25">
      <c r="A657" s="2" t="s">
        <v>770</v>
      </c>
      <c r="B657" s="7">
        <v>-4.9603740236043858E-3</v>
      </c>
      <c r="C657" s="7">
        <v>-3.3565711334880843E-3</v>
      </c>
      <c r="D657" s="7">
        <v>0</v>
      </c>
      <c r="E657" s="7">
        <v>-2.6902736261209537E-2</v>
      </c>
      <c r="F657" s="7">
        <v>-7.5554433893813E-3</v>
      </c>
      <c r="G657" s="7"/>
      <c r="H657" s="7">
        <f t="shared" si="43"/>
        <v>2.5950693657769142E-3</v>
      </c>
      <c r="I657" s="7">
        <f t="shared" si="44"/>
        <v>4.1988722558932157E-3</v>
      </c>
      <c r="J657" s="7">
        <f t="shared" si="45"/>
        <v>7.5554433893813E-3</v>
      </c>
      <c r="K657" s="7">
        <f t="shared" si="46"/>
        <v>-1.9347292871828237E-2</v>
      </c>
      <c r="L657" s="7"/>
    </row>
    <row r="658" spans="1:12" x14ac:dyDescent="0.25">
      <c r="A658" s="2" t="s">
        <v>771</v>
      </c>
      <c r="B658" s="7">
        <v>-1.1218852181756778E-2</v>
      </c>
      <c r="C658" s="7">
        <v>-2.2093170054286126E-2</v>
      </c>
      <c r="D658" s="7">
        <v>0</v>
      </c>
      <c r="E658" s="7">
        <v>-2.0054078413699883E-2</v>
      </c>
      <c r="F658" s="7">
        <v>-1.1550831677699436E-2</v>
      </c>
      <c r="G658" s="7"/>
      <c r="H658" s="7">
        <f t="shared" si="43"/>
        <v>3.3197949594265808E-4</v>
      </c>
      <c r="I658" s="7">
        <f t="shared" si="44"/>
        <v>-1.0542338376586691E-2</v>
      </c>
      <c r="J658" s="7">
        <f t="shared" si="45"/>
        <v>1.1550831677699436E-2</v>
      </c>
      <c r="K658" s="7">
        <f t="shared" si="46"/>
        <v>-8.5032467360004471E-3</v>
      </c>
      <c r="L658" s="7"/>
    </row>
    <row r="659" spans="1:12" x14ac:dyDescent="0.25">
      <c r="A659" s="2" t="s">
        <v>128</v>
      </c>
      <c r="B659" s="7">
        <v>9.3894041996245292E-3</v>
      </c>
      <c r="C659" s="7">
        <v>-1.0864135864135926E-2</v>
      </c>
      <c r="D659" s="7">
        <v>0</v>
      </c>
      <c r="E659" s="7">
        <v>-2.3542354235423502E-2</v>
      </c>
      <c r="F659" s="7">
        <v>5.7503836202552616E-3</v>
      </c>
      <c r="G659" s="7"/>
      <c r="H659" s="7">
        <f t="shared" si="43"/>
        <v>3.6390205793692676E-3</v>
      </c>
      <c r="I659" s="7">
        <f t="shared" si="44"/>
        <v>-1.6614519484391188E-2</v>
      </c>
      <c r="J659" s="7">
        <f t="shared" si="45"/>
        <v>-5.7503836202552616E-3</v>
      </c>
      <c r="K659" s="7">
        <f t="shared" si="46"/>
        <v>-2.9292737855678763E-2</v>
      </c>
      <c r="L659" s="7"/>
    </row>
    <row r="660" spans="1:12" x14ac:dyDescent="0.25">
      <c r="A660" s="2" t="s">
        <v>772</v>
      </c>
      <c r="B660" s="7">
        <v>3.4154949621445496E-4</v>
      </c>
      <c r="C660" s="7">
        <v>6.2829856747925739E-3</v>
      </c>
      <c r="D660" s="7">
        <v>-6.6091954022988508E-2</v>
      </c>
      <c r="E660" s="7">
        <v>-3.5236680110379837E-2</v>
      </c>
      <c r="F660" s="7">
        <v>-1.0696312010077813E-3</v>
      </c>
      <c r="G660" s="7"/>
      <c r="H660" s="7">
        <f t="shared" si="43"/>
        <v>1.4111806972222363E-3</v>
      </c>
      <c r="I660" s="7">
        <f t="shared" si="44"/>
        <v>7.3526168758003552E-3</v>
      </c>
      <c r="J660" s="7">
        <f t="shared" si="45"/>
        <v>-6.5022322821980727E-2</v>
      </c>
      <c r="K660" s="7">
        <f t="shared" si="46"/>
        <v>-3.4167048909372055E-2</v>
      </c>
      <c r="L660" s="7"/>
    </row>
    <row r="661" spans="1:12" x14ac:dyDescent="0.25">
      <c r="A661" s="2" t="s">
        <v>773</v>
      </c>
      <c r="B661" s="7">
        <v>-1.2507817385866149E-3</v>
      </c>
      <c r="C661" s="7">
        <v>1.8884552436106983E-3</v>
      </c>
      <c r="D661" s="7">
        <v>-2.8653295128940881E-3</v>
      </c>
      <c r="E661" s="7">
        <v>4.5959147424511571E-2</v>
      </c>
      <c r="F661" s="7">
        <v>2.5068771249703303E-4</v>
      </c>
      <c r="G661" s="7"/>
      <c r="H661" s="7">
        <f t="shared" si="43"/>
        <v>-1.5014694510836479E-3</v>
      </c>
      <c r="I661" s="7">
        <f t="shared" si="44"/>
        <v>1.6377675311136652E-3</v>
      </c>
      <c r="J661" s="7">
        <f t="shared" si="45"/>
        <v>-3.1160172253911211E-3</v>
      </c>
      <c r="K661" s="7">
        <f t="shared" si="46"/>
        <v>4.5708459712014538E-2</v>
      </c>
      <c r="L661" s="7"/>
    </row>
    <row r="662" spans="1:12" x14ac:dyDescent="0.25">
      <c r="A662" s="2" t="s">
        <v>774</v>
      </c>
      <c r="B662" s="7">
        <v>-8.9587559161595776E-3</v>
      </c>
      <c r="C662" s="7">
        <v>-4.0125391849529235E-3</v>
      </c>
      <c r="D662" s="7">
        <v>2.9498525073746285E-2</v>
      </c>
      <c r="E662" s="7">
        <v>6.7054090299507596E-3</v>
      </c>
      <c r="F662" s="7">
        <v>-7.0387475607750494E-3</v>
      </c>
      <c r="G662" s="7"/>
      <c r="H662" s="7">
        <f t="shared" si="43"/>
        <v>-1.9200083553845282E-3</v>
      </c>
      <c r="I662" s="7">
        <f t="shared" si="44"/>
        <v>3.0262083758221259E-3</v>
      </c>
      <c r="J662" s="7">
        <f t="shared" si="45"/>
        <v>3.6537272634521334E-2</v>
      </c>
      <c r="K662" s="7">
        <f t="shared" si="46"/>
        <v>1.3744156590725809E-2</v>
      </c>
      <c r="L662" s="7"/>
    </row>
    <row r="663" spans="1:12" x14ac:dyDescent="0.25">
      <c r="A663" s="2" t="s">
        <v>775</v>
      </c>
      <c r="B663" s="7">
        <v>5.3245723348815943E-3</v>
      </c>
      <c r="C663" s="7">
        <v>-1.0545905707195935E-2</v>
      </c>
      <c r="D663" s="7">
        <v>-8.7719298245613198E-3</v>
      </c>
      <c r="E663" s="7">
        <v>-2.4209378407851645E-2</v>
      </c>
      <c r="F663" s="7">
        <v>-4.2182700223970526E-3</v>
      </c>
      <c r="G663" s="7"/>
      <c r="H663" s="7">
        <f t="shared" si="43"/>
        <v>9.5428423572786469E-3</v>
      </c>
      <c r="I663" s="7">
        <f t="shared" si="44"/>
        <v>-6.3276356847988824E-3</v>
      </c>
      <c r="J663" s="7">
        <f t="shared" si="45"/>
        <v>-4.5536598021642671E-3</v>
      </c>
      <c r="K663" s="7">
        <f t="shared" si="46"/>
        <v>-1.9991108385454592E-2</v>
      </c>
      <c r="L663" s="7"/>
    </row>
    <row r="664" spans="1:12" x14ac:dyDescent="0.25">
      <c r="A664" s="2" t="s">
        <v>129</v>
      </c>
      <c r="B664" s="7">
        <v>-1.7256735693609415E-2</v>
      </c>
      <c r="C664" s="7">
        <v>-2.598688281153394E-3</v>
      </c>
      <c r="D664" s="7">
        <v>2.9325513196480912E-3</v>
      </c>
      <c r="E664" s="7">
        <v>-3.5857872432901727E-3</v>
      </c>
      <c r="F664" s="7">
        <v>9.02405745383561E-3</v>
      </c>
      <c r="G664" s="7"/>
      <c r="H664" s="7">
        <f t="shared" si="43"/>
        <v>-2.6280793147445025E-2</v>
      </c>
      <c r="I664" s="7">
        <f t="shared" si="44"/>
        <v>-1.1622745734989004E-2</v>
      </c>
      <c r="J664" s="7">
        <f t="shared" si="45"/>
        <v>-6.0915061341875187E-3</v>
      </c>
      <c r="K664" s="7">
        <f t="shared" si="46"/>
        <v>-1.2609844697125783E-2</v>
      </c>
      <c r="L664" s="7"/>
    </row>
    <row r="665" spans="1:12" x14ac:dyDescent="0.25">
      <c r="A665" s="2" t="s">
        <v>776</v>
      </c>
      <c r="B665" s="7">
        <v>-4.8012718600953908E-2</v>
      </c>
      <c r="C665" s="7">
        <v>-1.5712545676004774E-2</v>
      </c>
      <c r="D665" s="7">
        <v>-1.729106628242072E-2</v>
      </c>
      <c r="E665" s="7">
        <v>-6.9062263947340385E-3</v>
      </c>
      <c r="F665" s="7">
        <v>-5.2999962238083898E-3</v>
      </c>
      <c r="G665" s="7"/>
      <c r="H665" s="7">
        <f t="shared" si="43"/>
        <v>-4.2712722377145518E-2</v>
      </c>
      <c r="I665" s="7">
        <f t="shared" si="44"/>
        <v>-1.0412549452196385E-2</v>
      </c>
      <c r="J665" s="7">
        <f t="shared" si="45"/>
        <v>-1.199107005861233E-2</v>
      </c>
      <c r="K665" s="7">
        <f t="shared" si="46"/>
        <v>-1.6062301709256488E-3</v>
      </c>
      <c r="L665" s="7"/>
    </row>
    <row r="666" spans="1:12" x14ac:dyDescent="0.25">
      <c r="A666" s="2" t="s">
        <v>777</v>
      </c>
      <c r="B666" s="7">
        <v>-7.3123257404388298E-3</v>
      </c>
      <c r="C666" s="7">
        <v>-1.5705550893178266E-2</v>
      </c>
      <c r="D666" s="7">
        <v>2.0588235294117796E-2</v>
      </c>
      <c r="E666" s="7">
        <v>2.6359508251190489E-2</v>
      </c>
      <c r="F666" s="7">
        <v>-2.5479739176096361E-3</v>
      </c>
      <c r="G666" s="7"/>
      <c r="H666" s="7">
        <f t="shared" si="43"/>
        <v>-4.7643518228291937E-3</v>
      </c>
      <c r="I666" s="7">
        <f t="shared" si="44"/>
        <v>-1.315757697556863E-2</v>
      </c>
      <c r="J666" s="7">
        <f t="shared" si="45"/>
        <v>2.3136209211727432E-2</v>
      </c>
      <c r="K666" s="7">
        <f t="shared" si="46"/>
        <v>2.8907482168800125E-2</v>
      </c>
      <c r="L666" s="7"/>
    </row>
    <row r="667" spans="1:12" x14ac:dyDescent="0.25">
      <c r="A667" s="2" t="s">
        <v>778</v>
      </c>
      <c r="B667" s="7">
        <v>-1.5485808991091865E-2</v>
      </c>
      <c r="C667" s="7">
        <v>-1.4997638167217886E-2</v>
      </c>
      <c r="D667" s="7">
        <v>-1.1627906976744207E-2</v>
      </c>
      <c r="E667" s="7">
        <v>-5.0178834420366081E-2</v>
      </c>
      <c r="F667" s="7">
        <v>-1.383957541738301E-2</v>
      </c>
      <c r="G667" s="7"/>
      <c r="H667" s="7">
        <f t="shared" si="43"/>
        <v>-1.6462335737088551E-3</v>
      </c>
      <c r="I667" s="7">
        <f t="shared" si="44"/>
        <v>-1.1580627498348761E-3</v>
      </c>
      <c r="J667" s="7">
        <f t="shared" si="45"/>
        <v>2.2116684406388032E-3</v>
      </c>
      <c r="K667" s="7">
        <f t="shared" si="46"/>
        <v>-3.6339259002983071E-2</v>
      </c>
      <c r="L667" s="7"/>
    </row>
    <row r="668" spans="1:12" x14ac:dyDescent="0.25">
      <c r="A668" s="2" t="s">
        <v>779</v>
      </c>
      <c r="B668" s="7">
        <v>-4.2803362384610244E-3</v>
      </c>
      <c r="C668" s="7">
        <v>-8.4309133489460786E-3</v>
      </c>
      <c r="D668" s="7">
        <v>-5.7803468208093012E-3</v>
      </c>
      <c r="E668" s="7">
        <v>-2.020202020202011E-2</v>
      </c>
      <c r="F668" s="7">
        <v>-2.6650918726683903E-3</v>
      </c>
      <c r="G668" s="7"/>
      <c r="H668" s="7">
        <f t="shared" si="43"/>
        <v>-1.6152443657926341E-3</v>
      </c>
      <c r="I668" s="7">
        <f t="shared" si="44"/>
        <v>-5.7658214762776883E-3</v>
      </c>
      <c r="J668" s="7">
        <f t="shared" si="45"/>
        <v>-3.1152549481409109E-3</v>
      </c>
      <c r="K668" s="7">
        <f t="shared" si="46"/>
        <v>-1.753692832935172E-2</v>
      </c>
      <c r="L668" s="7"/>
    </row>
    <row r="669" spans="1:12" x14ac:dyDescent="0.25">
      <c r="A669" s="2" t="s">
        <v>130</v>
      </c>
      <c r="B669" s="7">
        <v>3.155716502845296E-3</v>
      </c>
      <c r="C669" s="7">
        <v>-3.3842922161277933E-3</v>
      </c>
      <c r="D669" s="7">
        <v>3.2835820895522394E-2</v>
      </c>
      <c r="E669" s="7">
        <v>1.6022620169651391E-2</v>
      </c>
      <c r="F669" s="7">
        <v>1.4687171966489831E-3</v>
      </c>
      <c r="G669" s="7"/>
      <c r="H669" s="7">
        <f t="shared" si="43"/>
        <v>1.6869993061963129E-3</v>
      </c>
      <c r="I669" s="7">
        <f t="shared" si="44"/>
        <v>-4.8530094127767764E-3</v>
      </c>
      <c r="J669" s="7">
        <f t="shared" si="45"/>
        <v>3.1367103698873411E-2</v>
      </c>
      <c r="K669" s="7">
        <f t="shared" si="46"/>
        <v>1.4553902973002408E-2</v>
      </c>
      <c r="L669" s="7"/>
    </row>
    <row r="670" spans="1:12" x14ac:dyDescent="0.25">
      <c r="A670" s="2" t="s">
        <v>780</v>
      </c>
      <c r="B670" s="7">
        <v>1.3527684563758413E-2</v>
      </c>
      <c r="C670" s="7">
        <v>6.2235791451386024E-3</v>
      </c>
      <c r="D670" s="7">
        <v>3.7151702786377694E-2</v>
      </c>
      <c r="E670" s="7">
        <v>5.3508384819064281E-2</v>
      </c>
      <c r="F670" s="7">
        <v>9.8778818753428865E-3</v>
      </c>
      <c r="G670" s="7"/>
      <c r="H670" s="7">
        <f t="shared" si="43"/>
        <v>3.6498026884155266E-3</v>
      </c>
      <c r="I670" s="7">
        <f t="shared" si="44"/>
        <v>-3.6543027302042841E-3</v>
      </c>
      <c r="J670" s="7">
        <f t="shared" si="45"/>
        <v>2.7273820911034807E-2</v>
      </c>
      <c r="K670" s="7">
        <f t="shared" si="46"/>
        <v>4.3630502943721394E-2</v>
      </c>
      <c r="L670" s="7"/>
    </row>
    <row r="671" spans="1:12" x14ac:dyDescent="0.25">
      <c r="A671" s="2" t="s">
        <v>781</v>
      </c>
      <c r="B671" s="7">
        <v>-6.6149278608261808E-3</v>
      </c>
      <c r="C671" s="7">
        <v>-1.2866581662223209E-2</v>
      </c>
      <c r="D671" s="7">
        <v>6.230529595015577E-3</v>
      </c>
      <c r="E671" s="7">
        <v>-1.7452574525745224E-2</v>
      </c>
      <c r="F671" s="7">
        <v>-6.4247002791920638E-3</v>
      </c>
      <c r="G671" s="7"/>
      <c r="H671" s="7">
        <f t="shared" si="43"/>
        <v>-1.9022758163411702E-4</v>
      </c>
      <c r="I671" s="7">
        <f t="shared" si="44"/>
        <v>-6.441881383031145E-3</v>
      </c>
      <c r="J671" s="7">
        <f t="shared" si="45"/>
        <v>1.2655229874207641E-2</v>
      </c>
      <c r="K671" s="7">
        <f t="shared" si="46"/>
        <v>-1.102787424655316E-2</v>
      </c>
      <c r="L671" s="7"/>
    </row>
    <row r="672" spans="1:12" x14ac:dyDescent="0.25">
      <c r="A672" s="2" t="s">
        <v>782</v>
      </c>
      <c r="B672" s="7">
        <v>4.5521138551696261E-3</v>
      </c>
      <c r="C672" s="7">
        <v>2.5558725630052237E-2</v>
      </c>
      <c r="D672" s="7">
        <v>6.2695924764890609E-3</v>
      </c>
      <c r="E672" s="7">
        <v>2.2727272727272707E-2</v>
      </c>
      <c r="F672" s="7">
        <v>-1.5544744781559316E-4</v>
      </c>
      <c r="G672" s="7"/>
      <c r="H672" s="7">
        <f t="shared" si="43"/>
        <v>4.7075613029852192E-3</v>
      </c>
      <c r="I672" s="7">
        <f t="shared" si="44"/>
        <v>2.571417307786783E-2</v>
      </c>
      <c r="J672" s="7">
        <f t="shared" si="45"/>
        <v>6.4250399243046541E-3</v>
      </c>
      <c r="K672" s="7">
        <f t="shared" si="46"/>
        <v>2.28827201750883E-2</v>
      </c>
      <c r="L672" s="7"/>
    </row>
    <row r="673" spans="1:12" x14ac:dyDescent="0.25">
      <c r="A673" s="2" t="s">
        <v>783</v>
      </c>
      <c r="B673" s="7">
        <v>4.5201303479449617E-3</v>
      </c>
      <c r="C673" s="7">
        <v>5.3343350864011985E-2</v>
      </c>
      <c r="D673" s="7">
        <v>1.2698412698412653E-2</v>
      </c>
      <c r="E673" s="7">
        <v>-1.4207650273224015E-2</v>
      </c>
      <c r="F673" s="7">
        <v>2.8147120299297779E-3</v>
      </c>
      <c r="G673" s="7"/>
      <c r="H673" s="7">
        <f t="shared" si="43"/>
        <v>1.7054183180151838E-3</v>
      </c>
      <c r="I673" s="7">
        <f t="shared" si="44"/>
        <v>5.0528638834082207E-2</v>
      </c>
      <c r="J673" s="7">
        <f t="shared" si="45"/>
        <v>9.8837006684828754E-3</v>
      </c>
      <c r="K673" s="7">
        <f t="shared" si="46"/>
        <v>-1.7022362303153793E-2</v>
      </c>
      <c r="L673" s="7"/>
    </row>
    <row r="674" spans="1:12" x14ac:dyDescent="0.25">
      <c r="A674" s="2" t="s">
        <v>131</v>
      </c>
      <c r="B674" s="7">
        <v>4.2225271825186983E-3</v>
      </c>
      <c r="C674" s="7">
        <v>-6.2570391690652816E-4</v>
      </c>
      <c r="D674" s="7">
        <v>3.9603960396039639E-2</v>
      </c>
      <c r="E674" s="7">
        <v>4.5355877984690984E-2</v>
      </c>
      <c r="F674" s="7">
        <v>4.0340891555747938E-3</v>
      </c>
      <c r="G674" s="7"/>
      <c r="H674" s="7">
        <f t="shared" si="43"/>
        <v>1.8843802694390455E-4</v>
      </c>
      <c r="I674" s="7">
        <f t="shared" si="44"/>
        <v>-4.6597930724813219E-3</v>
      </c>
      <c r="J674" s="7">
        <f t="shared" si="45"/>
        <v>3.5569871240464845E-2</v>
      </c>
      <c r="K674" s="7">
        <f t="shared" si="46"/>
        <v>4.1321788829116191E-2</v>
      </c>
      <c r="L674" s="7"/>
    </row>
    <row r="675" spans="1:12" x14ac:dyDescent="0.25">
      <c r="A675" s="2" t="s">
        <v>784</v>
      </c>
      <c r="B675" s="7">
        <v>-6.1896768778848532E-3</v>
      </c>
      <c r="C675" s="7">
        <v>3.7556334501753774E-4</v>
      </c>
      <c r="D675" s="7">
        <v>1.6778523489932917E-2</v>
      </c>
      <c r="E675" s="7">
        <v>2.8643446379468251E-3</v>
      </c>
      <c r="F675" s="7">
        <v>3.2415482692993436E-4</v>
      </c>
      <c r="G675" s="7"/>
      <c r="H675" s="7">
        <f t="shared" si="43"/>
        <v>-6.5138317048147876E-3</v>
      </c>
      <c r="I675" s="7">
        <f t="shared" si="44"/>
        <v>5.1408518087603383E-5</v>
      </c>
      <c r="J675" s="7">
        <f t="shared" si="45"/>
        <v>1.6454368663002983E-2</v>
      </c>
      <c r="K675" s="7">
        <f t="shared" si="46"/>
        <v>2.5401898110168908E-3</v>
      </c>
      <c r="L675" s="7"/>
    </row>
    <row r="676" spans="1:12" x14ac:dyDescent="0.25">
      <c r="A676" s="2" t="s">
        <v>785</v>
      </c>
      <c r="B676" s="7">
        <v>-1.0073735590404143E-2</v>
      </c>
      <c r="C676" s="7">
        <v>7.8223568004036625E-3</v>
      </c>
      <c r="D676" s="7">
        <v>3.3670033670032407E-3</v>
      </c>
      <c r="E676" s="7">
        <v>-2.0580836954035009E-3</v>
      </c>
      <c r="F676" s="7">
        <v>-6.7568751478409572E-3</v>
      </c>
      <c r="G676" s="7"/>
      <c r="H676" s="7">
        <f t="shared" si="43"/>
        <v>-3.3168604425631854E-3</v>
      </c>
      <c r="I676" s="7">
        <f t="shared" si="44"/>
        <v>1.457923194824462E-2</v>
      </c>
      <c r="J676" s="7">
        <f t="shared" si="45"/>
        <v>1.0123878514844198E-2</v>
      </c>
      <c r="K676" s="7">
        <f t="shared" si="46"/>
        <v>4.6987914524374563E-3</v>
      </c>
      <c r="L676" s="7"/>
    </row>
    <row r="677" spans="1:12" x14ac:dyDescent="0.25">
      <c r="A677" s="2" t="s">
        <v>786</v>
      </c>
      <c r="B677" s="7">
        <v>7.0595617842390546E-3</v>
      </c>
      <c r="C677" s="7">
        <v>4.5627376425856347E-3</v>
      </c>
      <c r="D677" s="7">
        <v>3.3783783783785104E-3</v>
      </c>
      <c r="E677" s="7">
        <v>9.8141092252626017E-3</v>
      </c>
      <c r="F677" s="7">
        <v>2.3578588709500803E-3</v>
      </c>
      <c r="G677" s="7"/>
      <c r="H677" s="7">
        <f t="shared" si="43"/>
        <v>4.7017029132889743E-3</v>
      </c>
      <c r="I677" s="7">
        <f t="shared" si="44"/>
        <v>2.2048787716355545E-3</v>
      </c>
      <c r="J677" s="7">
        <f t="shared" si="45"/>
        <v>1.0205195074284301E-3</v>
      </c>
      <c r="K677" s="7">
        <f t="shared" si="46"/>
        <v>7.4562503543125214E-3</v>
      </c>
      <c r="L677" s="7"/>
    </row>
    <row r="678" spans="1:12" x14ac:dyDescent="0.25">
      <c r="A678" s="2" t="s">
        <v>787</v>
      </c>
      <c r="B678" s="7">
        <v>-1.3056193858366205E-3</v>
      </c>
      <c r="C678" s="7">
        <v>1.2967004750289002E-2</v>
      </c>
      <c r="D678" s="7">
        <v>3.3898305084745228E-3</v>
      </c>
      <c r="E678" s="7">
        <v>-2.3672641190395582E-2</v>
      </c>
      <c r="F678" s="7">
        <v>7.1172882225352119E-3</v>
      </c>
      <c r="G678" s="7"/>
      <c r="H678" s="7">
        <f t="shared" si="43"/>
        <v>-8.4229076083718324E-3</v>
      </c>
      <c r="I678" s="7">
        <f t="shared" si="44"/>
        <v>5.8497165277537899E-3</v>
      </c>
      <c r="J678" s="7">
        <f t="shared" si="45"/>
        <v>-3.727457714060689E-3</v>
      </c>
      <c r="K678" s="7">
        <f t="shared" si="46"/>
        <v>-3.0789929412930794E-2</v>
      </c>
      <c r="L678" s="7"/>
    </row>
    <row r="679" spans="1:12" x14ac:dyDescent="0.25">
      <c r="A679" s="2" t="s">
        <v>132</v>
      </c>
      <c r="B679" s="7">
        <v>1.7266110609360785E-2</v>
      </c>
      <c r="C679" s="7">
        <v>-5.8710912571792173E-3</v>
      </c>
      <c r="D679" s="7">
        <v>2.430555555555558E-2</v>
      </c>
      <c r="E679" s="7">
        <v>-1.2138084632516755E-2</v>
      </c>
      <c r="F679" s="7">
        <v>3.8553564373575711E-3</v>
      </c>
      <c r="G679" s="7"/>
      <c r="H679" s="7">
        <f t="shared" si="43"/>
        <v>1.3410754172003214E-2</v>
      </c>
      <c r="I679" s="7">
        <f t="shared" si="44"/>
        <v>-9.7264476945367884E-3</v>
      </c>
      <c r="J679" s="7">
        <f t="shared" si="45"/>
        <v>2.0450199118198009E-2</v>
      </c>
      <c r="K679" s="7">
        <f t="shared" si="46"/>
        <v>-1.5993441069874326E-2</v>
      </c>
      <c r="L679" s="7"/>
    </row>
    <row r="680" spans="1:12" x14ac:dyDescent="0.25">
      <c r="A680" s="2" t="s">
        <v>788</v>
      </c>
      <c r="B680" s="7">
        <v>7.9753296469564638E-4</v>
      </c>
      <c r="C680" s="7">
        <v>-5.4582381315055883E-3</v>
      </c>
      <c r="D680" s="7">
        <v>-3.6789297658862963E-2</v>
      </c>
      <c r="E680" s="7">
        <v>-2.1253405994550389E-2</v>
      </c>
      <c r="F680" s="7">
        <v>-1.0243811584819129E-3</v>
      </c>
      <c r="G680" s="7"/>
      <c r="H680" s="7">
        <f t="shared" si="43"/>
        <v>1.8219141231775593E-3</v>
      </c>
      <c r="I680" s="7">
        <f t="shared" si="44"/>
        <v>-4.4338569730236754E-3</v>
      </c>
      <c r="J680" s="7">
        <f t="shared" si="45"/>
        <v>-3.576491650038105E-2</v>
      </c>
      <c r="K680" s="7">
        <f t="shared" si="46"/>
        <v>-2.0229024836068477E-2</v>
      </c>
      <c r="L680" s="7"/>
    </row>
    <row r="681" spans="1:12" x14ac:dyDescent="0.25">
      <c r="A681" s="2" t="s">
        <v>789</v>
      </c>
      <c r="B681" s="7">
        <v>4.0572282724751219E-3</v>
      </c>
      <c r="C681" s="7">
        <v>1.2726571538758114E-2</v>
      </c>
      <c r="D681" s="7">
        <v>1.0135135135135309E-2</v>
      </c>
      <c r="E681" s="7">
        <v>2.7780889436540779E-2</v>
      </c>
      <c r="F681" s="7">
        <v>8.4701799577833192E-3</v>
      </c>
      <c r="G681" s="7"/>
      <c r="H681" s="7">
        <f t="shared" si="43"/>
        <v>-4.4129516853081974E-3</v>
      </c>
      <c r="I681" s="7">
        <f t="shared" si="44"/>
        <v>4.2563915809747943E-3</v>
      </c>
      <c r="J681" s="7">
        <f t="shared" si="45"/>
        <v>1.6649551773519899E-3</v>
      </c>
      <c r="K681" s="7">
        <f t="shared" si="46"/>
        <v>1.931070947875746E-2</v>
      </c>
      <c r="L681" s="7"/>
    </row>
    <row r="682" spans="1:12" x14ac:dyDescent="0.25">
      <c r="A682" s="2" t="s">
        <v>790</v>
      </c>
      <c r="B682" s="7">
        <v>8.9954214920549003E-3</v>
      </c>
      <c r="C682" s="7">
        <v>-3.4588777863181486E-3</v>
      </c>
      <c r="D682" s="7">
        <v>3.3898305084745228E-3</v>
      </c>
      <c r="E682" s="7">
        <v>2.4090856946197059E-2</v>
      </c>
      <c r="F682" s="7">
        <v>7.4111451007599083E-3</v>
      </c>
      <c r="G682" s="7"/>
      <c r="H682" s="7">
        <f t="shared" si="43"/>
        <v>1.584276391294992E-3</v>
      </c>
      <c r="I682" s="7">
        <f t="shared" si="44"/>
        <v>-1.0870022887078057E-2</v>
      </c>
      <c r="J682" s="7">
        <f t="shared" si="45"/>
        <v>-4.0213145922853855E-3</v>
      </c>
      <c r="K682" s="7">
        <f t="shared" si="46"/>
        <v>1.6679711845437151E-2</v>
      </c>
      <c r="L682" s="7"/>
    </row>
    <row r="683" spans="1:12" x14ac:dyDescent="0.25">
      <c r="A683" s="2" t="s">
        <v>791</v>
      </c>
      <c r="B683" s="7">
        <v>-2.7931460493096916E-3</v>
      </c>
      <c r="C683" s="7">
        <v>4.8629768941429452E-2</v>
      </c>
      <c r="D683" s="7">
        <v>1.3745704467353903E-2</v>
      </c>
      <c r="E683" s="7">
        <v>1.3604651162790748E-2</v>
      </c>
      <c r="F683" s="7">
        <v>6.7422151567175792E-3</v>
      </c>
      <c r="G683" s="7"/>
      <c r="H683" s="7">
        <f t="shared" si="43"/>
        <v>-9.5353612060272708E-3</v>
      </c>
      <c r="I683" s="7">
        <f t="shared" si="44"/>
        <v>4.1887553784711873E-2</v>
      </c>
      <c r="J683" s="7">
        <f t="shared" si="45"/>
        <v>7.0034893106363239E-3</v>
      </c>
      <c r="K683" s="7">
        <f t="shared" si="46"/>
        <v>6.8624360060731693E-3</v>
      </c>
      <c r="L683" s="7"/>
    </row>
    <row r="684" spans="1:12" x14ac:dyDescent="0.25">
      <c r="A684" s="2" t="s">
        <v>133</v>
      </c>
      <c r="B684" s="7">
        <v>-1.0891509935182286E-2</v>
      </c>
      <c r="C684" s="7">
        <v>-9.3947121191795269E-4</v>
      </c>
      <c r="D684" s="7">
        <v>-1.0204081632652962E-2</v>
      </c>
      <c r="E684" s="7">
        <v>1.162925921618374E-4</v>
      </c>
      <c r="F684" s="7">
        <v>2.4051194034939716E-3</v>
      </c>
      <c r="G684" s="7"/>
      <c r="H684" s="7">
        <f t="shared" si="43"/>
        <v>-1.3296629338676258E-2</v>
      </c>
      <c r="I684" s="7">
        <f t="shared" si="44"/>
        <v>-3.3445906154119243E-3</v>
      </c>
      <c r="J684" s="7">
        <f t="shared" si="45"/>
        <v>-1.2609201036146933E-2</v>
      </c>
      <c r="K684" s="7">
        <f t="shared" si="46"/>
        <v>-2.2888268113321342E-3</v>
      </c>
      <c r="L684" s="7"/>
    </row>
    <row r="685" spans="1:12" x14ac:dyDescent="0.25">
      <c r="A685" s="2" t="s">
        <v>792</v>
      </c>
      <c r="B685" s="7">
        <v>-5.8627792742830254E-3</v>
      </c>
      <c r="C685" s="7">
        <v>1.0168112798264684E-2</v>
      </c>
      <c r="D685" s="7">
        <v>2.7972027972027913E-2</v>
      </c>
      <c r="E685" s="7">
        <v>8.0005023863350733E-2</v>
      </c>
      <c r="F685" s="7">
        <v>-2.8651801277997935E-3</v>
      </c>
      <c r="G685" s="7"/>
      <c r="H685" s="7">
        <f t="shared" si="43"/>
        <v>-2.9975991464832319E-3</v>
      </c>
      <c r="I685" s="7">
        <f t="shared" si="44"/>
        <v>1.3033292926064477E-2</v>
      </c>
      <c r="J685" s="7">
        <f t="shared" si="45"/>
        <v>3.0837208099827706E-2</v>
      </c>
      <c r="K685" s="7">
        <f t="shared" si="46"/>
        <v>8.2870203991150526E-2</v>
      </c>
      <c r="L685" s="7"/>
    </row>
    <row r="686" spans="1:12" x14ac:dyDescent="0.25">
      <c r="A686" s="2" t="s">
        <v>793</v>
      </c>
      <c r="B686" s="7">
        <v>2.488615905962055E-3</v>
      </c>
      <c r="C686" s="7">
        <v>-2.3563674874238827E-2</v>
      </c>
      <c r="D686" s="7">
        <v>-3.0508474576271261E-2</v>
      </c>
      <c r="E686" s="7">
        <v>-5.4958780914313721E-3</v>
      </c>
      <c r="F686" s="7">
        <v>-7.9225154155103672E-3</v>
      </c>
      <c r="G686" s="7"/>
      <c r="H686" s="7">
        <f t="shared" si="43"/>
        <v>1.0411131321472422E-2</v>
      </c>
      <c r="I686" s="7">
        <f t="shared" si="44"/>
        <v>-1.564115945872846E-2</v>
      </c>
      <c r="J686" s="7">
        <f t="shared" si="45"/>
        <v>-2.2585959160760893E-2</v>
      </c>
      <c r="K686" s="7">
        <f t="shared" si="46"/>
        <v>2.4266373240789951E-3</v>
      </c>
      <c r="L686" s="7"/>
    </row>
    <row r="687" spans="1:12" x14ac:dyDescent="0.25">
      <c r="A687" s="2" t="s">
        <v>794</v>
      </c>
      <c r="B687" s="7">
        <v>-5.8430278465020358E-3</v>
      </c>
      <c r="C687" s="7">
        <v>-2.4786986831913049E-2</v>
      </c>
      <c r="D687" s="7">
        <v>2.076124567474058E-2</v>
      </c>
      <c r="E687" s="7">
        <v>2.7555110220440771E-3</v>
      </c>
      <c r="F687" s="7">
        <v>-1.9683139606652134E-3</v>
      </c>
      <c r="G687" s="7"/>
      <c r="H687" s="7">
        <f t="shared" si="43"/>
        <v>-3.8747138858368224E-3</v>
      </c>
      <c r="I687" s="7">
        <f t="shared" si="44"/>
        <v>-2.2818672871247836E-2</v>
      </c>
      <c r="J687" s="7">
        <f t="shared" si="45"/>
        <v>2.2729559635405794E-2</v>
      </c>
      <c r="K687" s="7">
        <f t="shared" si="46"/>
        <v>4.7238249827092904E-3</v>
      </c>
      <c r="L687" s="7"/>
    </row>
    <row r="688" spans="1:12" x14ac:dyDescent="0.25">
      <c r="A688" s="2" t="s">
        <v>134</v>
      </c>
      <c r="B688" s="7">
        <v>-7.7823043977854889E-3</v>
      </c>
      <c r="C688" s="7">
        <v>1.0435690060005109E-2</v>
      </c>
      <c r="D688" s="7">
        <v>0</v>
      </c>
      <c r="E688" s="7">
        <v>8.5901970692270346E-3</v>
      </c>
      <c r="F688" s="7">
        <v>1.1706865481149187E-3</v>
      </c>
      <c r="G688" s="7"/>
      <c r="H688" s="7">
        <f t="shared" si="43"/>
        <v>-8.9529909459004076E-3</v>
      </c>
      <c r="I688" s="7">
        <f t="shared" si="44"/>
        <v>9.2650035118901908E-3</v>
      </c>
      <c r="J688" s="7">
        <f t="shared" si="45"/>
        <v>-1.1706865481149187E-3</v>
      </c>
      <c r="K688" s="7">
        <f t="shared" si="46"/>
        <v>7.419510521112116E-3</v>
      </c>
      <c r="L688" s="7"/>
    </row>
    <row r="689" spans="1:12" x14ac:dyDescent="0.25">
      <c r="A689" s="2" t="s">
        <v>795</v>
      </c>
      <c r="B689" s="7">
        <v>2.3084321898044324E-2</v>
      </c>
      <c r="C689" s="7">
        <v>8.5515063807393155E-3</v>
      </c>
      <c r="D689" s="7">
        <v>2.4822695035461084E-2</v>
      </c>
      <c r="E689" s="7">
        <v>-2.3944549464397502E-3</v>
      </c>
      <c r="F689" s="7">
        <v>1.2269017659743087E-2</v>
      </c>
      <c r="G689" s="7"/>
      <c r="H689" s="7">
        <f t="shared" si="43"/>
        <v>1.0815304238301238E-2</v>
      </c>
      <c r="I689" s="7">
        <f t="shared" si="44"/>
        <v>-3.7175112790037712E-3</v>
      </c>
      <c r="J689" s="7">
        <f t="shared" si="45"/>
        <v>1.2553677375717998E-2</v>
      </c>
      <c r="K689" s="7">
        <f t="shared" si="46"/>
        <v>-1.4663472606182837E-2</v>
      </c>
      <c r="L689" s="7"/>
    </row>
    <row r="690" spans="1:12" x14ac:dyDescent="0.25">
      <c r="A690" s="2" t="s">
        <v>796</v>
      </c>
      <c r="B690" s="7">
        <v>1.7665007226592699E-3</v>
      </c>
      <c r="C690" s="7">
        <v>6.7549668874173907E-3</v>
      </c>
      <c r="D690" s="7">
        <v>2.5454545454545396E-2</v>
      </c>
      <c r="E690" s="7">
        <v>-1.2199676335117648E-2</v>
      </c>
      <c r="F690" s="7">
        <v>4.4735266835127518E-3</v>
      </c>
      <c r="G690" s="7"/>
      <c r="H690" s="7">
        <f t="shared" si="43"/>
        <v>-2.7070259608534819E-3</v>
      </c>
      <c r="I690" s="7">
        <f t="shared" si="44"/>
        <v>2.2814402039046389E-3</v>
      </c>
      <c r="J690" s="7">
        <f t="shared" si="45"/>
        <v>2.0981018771032645E-2</v>
      </c>
      <c r="K690" s="7">
        <f t="shared" si="46"/>
        <v>-1.66732030186304E-2</v>
      </c>
      <c r="L690" s="7"/>
    </row>
    <row r="691" spans="1:12" x14ac:dyDescent="0.25">
      <c r="A691" s="2" t="s">
        <v>797</v>
      </c>
      <c r="B691" s="7">
        <v>6.356731131821336E-3</v>
      </c>
      <c r="C691" s="7">
        <v>3.1889449906987721E-3</v>
      </c>
      <c r="D691" s="7">
        <v>-7.2202166064981865E-3</v>
      </c>
      <c r="E691" s="7">
        <v>-2.9244712990936561E-2</v>
      </c>
      <c r="F691" s="7">
        <v>-3.5400978894173374E-4</v>
      </c>
      <c r="G691" s="7"/>
      <c r="H691" s="7">
        <f t="shared" si="43"/>
        <v>6.7107409207630697E-3</v>
      </c>
      <c r="I691" s="7">
        <f t="shared" si="44"/>
        <v>3.5429547796405059E-3</v>
      </c>
      <c r="J691" s="7">
        <f t="shared" si="45"/>
        <v>-6.8662068175564528E-3</v>
      </c>
      <c r="K691" s="7">
        <f t="shared" si="46"/>
        <v>-2.8890703201994827E-2</v>
      </c>
      <c r="L691" s="7"/>
    </row>
    <row r="692" spans="1:12" x14ac:dyDescent="0.25">
      <c r="A692" s="2" t="s">
        <v>798</v>
      </c>
      <c r="B692" s="7">
        <v>1.5037182852143394E-2</v>
      </c>
      <c r="C692" s="7">
        <v>-2.132639791937585E-2</v>
      </c>
      <c r="D692" s="7">
        <v>-3.597122302158251E-3</v>
      </c>
      <c r="E692" s="7">
        <v>1.9465319699396355E-2</v>
      </c>
      <c r="F692" s="7">
        <v>1.1455777787018118E-2</v>
      </c>
      <c r="G692" s="7"/>
      <c r="H692" s="7">
        <f t="shared" si="43"/>
        <v>3.581405065125276E-3</v>
      </c>
      <c r="I692" s="7">
        <f t="shared" si="44"/>
        <v>-3.2782175706393968E-2</v>
      </c>
      <c r="J692" s="7">
        <f t="shared" si="45"/>
        <v>-1.5052900089176369E-2</v>
      </c>
      <c r="K692" s="7">
        <f t="shared" si="46"/>
        <v>8.0095419123782374E-3</v>
      </c>
      <c r="L692" s="7"/>
    </row>
    <row r="693" spans="1:12" x14ac:dyDescent="0.25">
      <c r="A693" s="2" t="s">
        <v>135</v>
      </c>
      <c r="B693" s="7">
        <v>-7.5432788842459964E-3</v>
      </c>
      <c r="C693" s="7">
        <v>-3.1112263417163444E-3</v>
      </c>
      <c r="D693" s="7">
        <v>-4.1379310344827669E-2</v>
      </c>
      <c r="E693" s="7">
        <v>6.4476131432114059E-3</v>
      </c>
      <c r="F693" s="7">
        <v>-4.4867799822001508E-3</v>
      </c>
      <c r="G693" s="7"/>
      <c r="H693" s="7">
        <f t="shared" si="43"/>
        <v>-3.0564989020458455E-3</v>
      </c>
      <c r="I693" s="7">
        <f t="shared" si="44"/>
        <v>1.3755536404838065E-3</v>
      </c>
      <c r="J693" s="7">
        <f t="shared" si="45"/>
        <v>-3.6892530362627518E-2</v>
      </c>
      <c r="K693" s="7">
        <f t="shared" si="46"/>
        <v>1.0934393125411557E-2</v>
      </c>
      <c r="L693" s="7"/>
    </row>
    <row r="694" spans="1:12" x14ac:dyDescent="0.25">
      <c r="A694" s="2" t="s">
        <v>799</v>
      </c>
      <c r="B694" s="7">
        <v>-1.6794885686423067E-3</v>
      </c>
      <c r="C694" s="7">
        <v>2.8601144045761195E-3</v>
      </c>
      <c r="D694" s="7">
        <v>-1.6949152542372947E-2</v>
      </c>
      <c r="E694" s="7">
        <v>-2.2661173048957761E-2</v>
      </c>
      <c r="F694" s="7">
        <v>-7.6587956338476371E-3</v>
      </c>
      <c r="G694" s="7"/>
      <c r="H694" s="7">
        <f t="shared" si="43"/>
        <v>5.9793070652053304E-3</v>
      </c>
      <c r="I694" s="7">
        <f t="shared" si="44"/>
        <v>1.0518910038423757E-2</v>
      </c>
      <c r="J694" s="7">
        <f t="shared" si="45"/>
        <v>-9.2903569085253102E-3</v>
      </c>
      <c r="K694" s="7">
        <f t="shared" si="46"/>
        <v>-1.5002377415110124E-2</v>
      </c>
      <c r="L694" s="7"/>
    </row>
    <row r="695" spans="1:12" x14ac:dyDescent="0.25">
      <c r="A695" s="2" t="s">
        <v>800</v>
      </c>
      <c r="B695" s="7">
        <v>1.6521643352792159E-2</v>
      </c>
      <c r="C695" s="7">
        <v>-1.0293360782295369E-2</v>
      </c>
      <c r="D695" s="7">
        <v>-3.3783783783782884E-3</v>
      </c>
      <c r="E695" s="7">
        <v>1.3347894672977034E-3</v>
      </c>
      <c r="F695" s="7">
        <v>3.7107536265745811E-3</v>
      </c>
      <c r="G695" s="7"/>
      <c r="H695" s="7">
        <f t="shared" si="43"/>
        <v>1.2810889726217578E-2</v>
      </c>
      <c r="I695" s="7">
        <f t="shared" si="44"/>
        <v>-1.400411440886995E-2</v>
      </c>
      <c r="J695" s="7">
        <f t="shared" si="45"/>
        <v>-7.0891320049528694E-3</v>
      </c>
      <c r="K695" s="7">
        <f t="shared" si="46"/>
        <v>-2.3759641592768777E-3</v>
      </c>
      <c r="L695" s="7"/>
    </row>
    <row r="696" spans="1:12" x14ac:dyDescent="0.25">
      <c r="A696" s="2" t="s">
        <v>801</v>
      </c>
      <c r="B696" s="7">
        <v>-5.6948855547037658E-3</v>
      </c>
      <c r="C696" s="7">
        <v>-8.0408423739629642E-3</v>
      </c>
      <c r="D696" s="7">
        <v>6.8027210884353817E-3</v>
      </c>
      <c r="E696" s="7">
        <v>-1.317207520057484E-2</v>
      </c>
      <c r="F696" s="7">
        <v>-5.245277085977551E-3</v>
      </c>
      <c r="G696" s="7"/>
      <c r="H696" s="7">
        <f t="shared" si="43"/>
        <v>-4.4960846872621474E-4</v>
      </c>
      <c r="I696" s="7">
        <f t="shared" si="44"/>
        <v>-2.7955652879854131E-3</v>
      </c>
      <c r="J696" s="7">
        <f t="shared" si="45"/>
        <v>1.2047998174412933E-2</v>
      </c>
      <c r="K696" s="7">
        <f t="shared" si="46"/>
        <v>-7.9267981145972888E-3</v>
      </c>
      <c r="L696" s="7"/>
    </row>
    <row r="697" spans="1:12" x14ac:dyDescent="0.25">
      <c r="A697" s="2" t="s">
        <v>802</v>
      </c>
      <c r="B697" s="7">
        <v>4.9306963238926471E-4</v>
      </c>
      <c r="C697" s="7">
        <v>-2.1481203946546734E-2</v>
      </c>
      <c r="D697" s="7">
        <v>-1.6722408026755953E-2</v>
      </c>
      <c r="E697" s="7">
        <v>-4.5272664913684646E-2</v>
      </c>
      <c r="F697" s="7">
        <v>-4.7351341054383544E-3</v>
      </c>
      <c r="G697" s="7"/>
      <c r="H697" s="7">
        <f t="shared" si="43"/>
        <v>5.2282037378276192E-3</v>
      </c>
      <c r="I697" s="7">
        <f t="shared" si="44"/>
        <v>-1.674606984110838E-2</v>
      </c>
      <c r="J697" s="7">
        <f t="shared" si="45"/>
        <v>-1.1987273921317598E-2</v>
      </c>
      <c r="K697" s="7">
        <f t="shared" si="46"/>
        <v>-4.0537530808246292E-2</v>
      </c>
      <c r="L697" s="7"/>
    </row>
    <row r="698" spans="1:12" x14ac:dyDescent="0.25">
      <c r="A698" s="2" t="s">
        <v>803</v>
      </c>
      <c r="B698" s="7">
        <v>-5.8820325690323028E-3</v>
      </c>
      <c r="C698" s="7">
        <v>7.0431392277698901E-3</v>
      </c>
      <c r="D698" s="7">
        <v>3.3557046979866278E-3</v>
      </c>
      <c r="E698" s="7">
        <v>-1.0278666057560448E-3</v>
      </c>
      <c r="F698" s="7">
        <v>-3.6716193988033385E-3</v>
      </c>
      <c r="G698" s="7"/>
      <c r="H698" s="7">
        <f t="shared" si="43"/>
        <v>-2.2104131702289642E-3</v>
      </c>
      <c r="I698" s="7">
        <f t="shared" si="44"/>
        <v>1.0714758626573229E-2</v>
      </c>
      <c r="J698" s="7">
        <f t="shared" si="45"/>
        <v>7.0273240967899664E-3</v>
      </c>
      <c r="K698" s="7">
        <f t="shared" si="46"/>
        <v>2.6437527930472937E-3</v>
      </c>
      <c r="L698" s="7"/>
    </row>
    <row r="699" spans="1:12" x14ac:dyDescent="0.25">
      <c r="A699" s="2" t="s">
        <v>804</v>
      </c>
      <c r="B699" s="7">
        <v>1.1235336233959448E-2</v>
      </c>
      <c r="C699" s="7">
        <v>1.8314549180328044E-2</v>
      </c>
      <c r="D699" s="7">
        <v>2.0547945205479534E-2</v>
      </c>
      <c r="E699" s="7">
        <v>3.1817110534998916E-2</v>
      </c>
      <c r="F699" s="7">
        <v>1.2178136985173449E-2</v>
      </c>
      <c r="G699" s="7"/>
      <c r="H699" s="7">
        <f t="shared" si="43"/>
        <v>-9.4280075121400131E-4</v>
      </c>
      <c r="I699" s="7">
        <f t="shared" si="44"/>
        <v>6.1364121951545947E-3</v>
      </c>
      <c r="J699" s="7">
        <f t="shared" si="45"/>
        <v>8.3698082203060853E-3</v>
      </c>
      <c r="K699" s="7">
        <f t="shared" si="46"/>
        <v>1.9638973549825467E-2</v>
      </c>
      <c r="L699" s="7"/>
    </row>
    <row r="700" spans="1:12" x14ac:dyDescent="0.25">
      <c r="A700" s="2" t="s">
        <v>805</v>
      </c>
      <c r="B700" s="7">
        <v>3.4818171769646078E-3</v>
      </c>
      <c r="C700" s="7">
        <v>-7.7519379844961378E-3</v>
      </c>
      <c r="D700" s="7">
        <v>5.4151624548736343E-2</v>
      </c>
      <c r="E700" s="7">
        <v>2.105643123571177E-2</v>
      </c>
      <c r="F700" s="7">
        <v>8.1940760034870941E-4</v>
      </c>
      <c r="G700" s="7"/>
      <c r="H700" s="7">
        <f t="shared" si="43"/>
        <v>2.6624095766158984E-3</v>
      </c>
      <c r="I700" s="7">
        <f t="shared" si="44"/>
        <v>-8.5713455848448472E-3</v>
      </c>
      <c r="J700" s="7">
        <f t="shared" si="45"/>
        <v>5.3332216948387634E-2</v>
      </c>
      <c r="K700" s="7">
        <f t="shared" si="46"/>
        <v>2.0237023635363061E-2</v>
      </c>
      <c r="L700" s="7"/>
    </row>
    <row r="701" spans="1:12" x14ac:dyDescent="0.25">
      <c r="A701" s="2" t="s">
        <v>806</v>
      </c>
      <c r="B701" s="7">
        <v>-2.6457942894939634E-3</v>
      </c>
      <c r="C701" s="7">
        <v>1.4569365652398192E-2</v>
      </c>
      <c r="D701" s="7">
        <v>0</v>
      </c>
      <c r="E701" s="7">
        <v>1.9254353691439796E-2</v>
      </c>
      <c r="F701" s="7">
        <v>6.9325847616807934E-3</v>
      </c>
      <c r="G701" s="7"/>
      <c r="H701" s="7">
        <f t="shared" si="43"/>
        <v>-9.5783790511747569E-3</v>
      </c>
      <c r="I701" s="7">
        <f t="shared" si="44"/>
        <v>7.6367808907173984E-3</v>
      </c>
      <c r="J701" s="7">
        <f t="shared" si="45"/>
        <v>-6.9325847616807934E-3</v>
      </c>
      <c r="K701" s="7">
        <f t="shared" si="46"/>
        <v>1.2321768929759003E-2</v>
      </c>
      <c r="L701" s="7"/>
    </row>
    <row r="702" spans="1:12" x14ac:dyDescent="0.25">
      <c r="A702" s="2" t="s">
        <v>136</v>
      </c>
      <c r="B702" s="7">
        <v>1.5675736199753487E-2</v>
      </c>
      <c r="C702" s="7">
        <v>1.3723696248856276E-2</v>
      </c>
      <c r="D702" s="7">
        <v>-1.4234875444839923E-2</v>
      </c>
      <c r="E702" s="7">
        <v>4.1871921182266014E-3</v>
      </c>
      <c r="F702" s="7">
        <v>9.3210758201012212E-3</v>
      </c>
      <c r="G702" s="7"/>
      <c r="H702" s="7">
        <f t="shared" si="43"/>
        <v>6.354660379652266E-3</v>
      </c>
      <c r="I702" s="7">
        <f t="shared" si="44"/>
        <v>4.4026204287550552E-3</v>
      </c>
      <c r="J702" s="7">
        <f t="shared" si="45"/>
        <v>-2.3555951264941144E-2</v>
      </c>
      <c r="K702" s="7">
        <f t="shared" si="46"/>
        <v>-5.1338837018746197E-3</v>
      </c>
      <c r="L702" s="7"/>
    </row>
    <row r="703" spans="1:12" x14ac:dyDescent="0.25">
      <c r="A703" s="2" t="s">
        <v>807</v>
      </c>
      <c r="B703" s="7">
        <v>2.1319569120286097E-3</v>
      </c>
      <c r="C703" s="7">
        <v>-8.5525463262925427E-3</v>
      </c>
      <c r="D703" s="7">
        <v>2.1818181818181737E-2</v>
      </c>
      <c r="E703" s="7">
        <v>-7.4563011856740857E-3</v>
      </c>
      <c r="F703" s="7">
        <v>1.1481323635922358E-3</v>
      </c>
      <c r="G703" s="7"/>
      <c r="H703" s="7">
        <f t="shared" si="43"/>
        <v>9.838245484363739E-4</v>
      </c>
      <c r="I703" s="7">
        <f t="shared" si="44"/>
        <v>-9.7006786898847785E-3</v>
      </c>
      <c r="J703" s="7">
        <f t="shared" si="45"/>
        <v>2.0670049454589501E-2</v>
      </c>
      <c r="K703" s="7">
        <f t="shared" si="46"/>
        <v>-8.6044335492663215E-3</v>
      </c>
      <c r="L703" s="7"/>
    </row>
    <row r="704" spans="1:12" x14ac:dyDescent="0.25">
      <c r="A704" s="2" t="s">
        <v>808</v>
      </c>
      <c r="B704" s="7">
        <v>1.5496809480401108E-2</v>
      </c>
      <c r="C704" s="7">
        <v>-2.4560496380557906E-3</v>
      </c>
      <c r="D704" s="7">
        <v>-7.2202166064981865E-3</v>
      </c>
      <c r="E704" s="7">
        <v>1.0124706753920298E-2</v>
      </c>
      <c r="F704" s="7">
        <v>6.1886060287941191E-3</v>
      </c>
      <c r="G704" s="7"/>
      <c r="H704" s="7">
        <f t="shared" si="43"/>
        <v>9.3082034516069889E-3</v>
      </c>
      <c r="I704" s="7">
        <f t="shared" si="44"/>
        <v>-8.6446556668499097E-3</v>
      </c>
      <c r="J704" s="7">
        <f t="shared" si="45"/>
        <v>-1.3408822635292306E-2</v>
      </c>
      <c r="K704" s="7">
        <f t="shared" si="46"/>
        <v>3.9361007251261793E-3</v>
      </c>
      <c r="L704" s="7"/>
    </row>
    <row r="705" spans="1:12" x14ac:dyDescent="0.25">
      <c r="A705" s="2" t="s">
        <v>809</v>
      </c>
      <c r="B705" s="7">
        <v>-7.8010175240248447E-3</v>
      </c>
      <c r="C705" s="7">
        <v>2.763018065887346E-2</v>
      </c>
      <c r="D705" s="7">
        <v>2.2140221402213944E-2</v>
      </c>
      <c r="E705" s="7">
        <v>-1.6395433568132223E-2</v>
      </c>
      <c r="F705" s="7">
        <v>-3.8119915496573897E-3</v>
      </c>
      <c r="G705" s="7"/>
      <c r="H705" s="7">
        <f t="shared" si="43"/>
        <v>-3.989025974367455E-3</v>
      </c>
      <c r="I705" s="7">
        <f t="shared" si="44"/>
        <v>3.144217220853085E-2</v>
      </c>
      <c r="J705" s="7">
        <f t="shared" si="45"/>
        <v>2.5952212951871334E-2</v>
      </c>
      <c r="K705" s="7">
        <f t="shared" si="46"/>
        <v>-1.2583442018474833E-2</v>
      </c>
      <c r="L705" s="7"/>
    </row>
    <row r="706" spans="1:12" x14ac:dyDescent="0.25">
      <c r="A706" s="2" t="s">
        <v>810</v>
      </c>
      <c r="B706" s="7">
        <v>-2.0309150400540377E-3</v>
      </c>
      <c r="C706" s="7">
        <v>3.1982942430703876E-3</v>
      </c>
      <c r="D706" s="7">
        <v>1.4981273408239737E-2</v>
      </c>
      <c r="E706" s="7">
        <v>2.7323767935121701E-2</v>
      </c>
      <c r="F706" s="7">
        <v>2.3538826194080542E-3</v>
      </c>
      <c r="G706" s="7"/>
      <c r="H706" s="7">
        <f t="shared" si="43"/>
        <v>-4.3847976594620919E-3</v>
      </c>
      <c r="I706" s="7">
        <f t="shared" si="44"/>
        <v>8.4441162366233335E-4</v>
      </c>
      <c r="J706" s="7">
        <f t="shared" si="45"/>
        <v>1.2627390788831683E-2</v>
      </c>
      <c r="K706" s="7">
        <f t="shared" si="46"/>
        <v>2.4969885315713647E-2</v>
      </c>
      <c r="L706" s="7"/>
    </row>
    <row r="707" spans="1:12" x14ac:dyDescent="0.25">
      <c r="A707" s="2" t="s">
        <v>137</v>
      </c>
      <c r="B707" s="7">
        <v>-7.5583673926432615E-3</v>
      </c>
      <c r="C707" s="7">
        <v>-4.4441614669552987E-2</v>
      </c>
      <c r="D707" s="7">
        <v>-4.3010752688172116E-2</v>
      </c>
      <c r="E707" s="7">
        <v>1.4994377108585866E-3</v>
      </c>
      <c r="F707" s="7">
        <v>-2.0035634473434261E-3</v>
      </c>
      <c r="G707" s="7"/>
      <c r="H707" s="7">
        <f t="shared" ref="H707:H770" si="47">B707-$F707</f>
        <v>-5.5548039452998355E-3</v>
      </c>
      <c r="I707" s="7">
        <f t="shared" ref="I707:I770" si="48">C707-$F707</f>
        <v>-4.2438051222209561E-2</v>
      </c>
      <c r="J707" s="7">
        <f t="shared" ref="J707:J770" si="49">D707-$F707</f>
        <v>-4.100718924082869E-2</v>
      </c>
      <c r="K707" s="7">
        <f t="shared" ref="K707:K770" si="50">E707-$F707</f>
        <v>3.5030011582020126E-3</v>
      </c>
      <c r="L707" s="7"/>
    </row>
    <row r="708" spans="1:12" x14ac:dyDescent="0.25">
      <c r="A708" s="2" t="s">
        <v>811</v>
      </c>
      <c r="B708" s="7">
        <v>4.7817281728173011E-3</v>
      </c>
      <c r="C708" s="7">
        <v>8.7522503808336927E-2</v>
      </c>
      <c r="D708" s="7">
        <v>4.1044776119402826E-2</v>
      </c>
      <c r="E708" s="7">
        <v>1.5351433646282775E-2</v>
      </c>
      <c r="F708" s="7">
        <v>1.4534401637518846E-2</v>
      </c>
      <c r="G708" s="7"/>
      <c r="H708" s="7">
        <f t="shared" si="47"/>
        <v>-9.7526734647015445E-3</v>
      </c>
      <c r="I708" s="7">
        <f t="shared" si="48"/>
        <v>7.2988102170818081E-2</v>
      </c>
      <c r="J708" s="7">
        <f t="shared" si="49"/>
        <v>2.651037448188398E-2</v>
      </c>
      <c r="K708" s="7">
        <f t="shared" si="50"/>
        <v>8.1703200876392934E-4</v>
      </c>
      <c r="L708" s="7"/>
    </row>
    <row r="709" spans="1:12" x14ac:dyDescent="0.25">
      <c r="A709" s="2" t="s">
        <v>812</v>
      </c>
      <c r="B709" s="7">
        <v>1.6003657978966412E-2</v>
      </c>
      <c r="C709" s="7">
        <v>1.0353994683083734E-2</v>
      </c>
      <c r="D709" s="7">
        <v>1.132075471698113E-2</v>
      </c>
      <c r="E709" s="7">
        <v>4.3282594308404976E-2</v>
      </c>
      <c r="F709" s="7">
        <v>9.8544677654355262E-3</v>
      </c>
      <c r="G709" s="7"/>
      <c r="H709" s="7">
        <f t="shared" si="47"/>
        <v>6.1491902135308862E-3</v>
      </c>
      <c r="I709" s="7">
        <f t="shared" si="48"/>
        <v>4.9952691764820756E-4</v>
      </c>
      <c r="J709" s="7">
        <f t="shared" si="49"/>
        <v>1.4662869515456034E-3</v>
      </c>
      <c r="K709" s="7">
        <f t="shared" si="50"/>
        <v>3.342812654296945E-2</v>
      </c>
      <c r="L709" s="7"/>
    </row>
    <row r="710" spans="1:12" x14ac:dyDescent="0.25">
      <c r="A710" s="2" t="s">
        <v>813</v>
      </c>
      <c r="B710" s="7">
        <v>-2.8569796011645998E-4</v>
      </c>
      <c r="C710" s="7">
        <v>-2.8544243577545148E-2</v>
      </c>
      <c r="D710" s="7">
        <v>-3.284671532846728E-2</v>
      </c>
      <c r="E710" s="7">
        <v>1.1243474769107253E-2</v>
      </c>
      <c r="F710" s="7">
        <v>-6.1086381707852189E-3</v>
      </c>
      <c r="G710" s="7"/>
      <c r="H710" s="7">
        <f t="shared" si="47"/>
        <v>5.8229402106687589E-3</v>
      </c>
      <c r="I710" s="7">
        <f t="shared" si="48"/>
        <v>-2.2435605406759929E-2</v>
      </c>
      <c r="J710" s="7">
        <f t="shared" si="49"/>
        <v>-2.6738077157682061E-2</v>
      </c>
      <c r="K710" s="7">
        <f t="shared" si="50"/>
        <v>1.7352112939892472E-2</v>
      </c>
      <c r="L710" s="7"/>
    </row>
    <row r="711" spans="1:12" x14ac:dyDescent="0.25">
      <c r="A711" s="2" t="s">
        <v>814</v>
      </c>
      <c r="B711" s="7">
        <v>1.0683760683760646E-2</v>
      </c>
      <c r="C711" s="7">
        <v>-9.1582491582492542E-3</v>
      </c>
      <c r="D711" s="7">
        <v>-4.8611111111111049E-2</v>
      </c>
      <c r="E711" s="7">
        <v>-2.8478543563069114E-2</v>
      </c>
      <c r="F711" s="7">
        <v>1.6645067709930572E-5</v>
      </c>
      <c r="G711" s="7"/>
      <c r="H711" s="7">
        <f t="shared" si="47"/>
        <v>1.0667115616050715E-2</v>
      </c>
      <c r="I711" s="7">
        <f t="shared" si="48"/>
        <v>-9.1748942259591848E-3</v>
      </c>
      <c r="J711" s="7">
        <f t="shared" si="49"/>
        <v>-4.862775617882098E-2</v>
      </c>
      <c r="K711" s="7">
        <f t="shared" si="50"/>
        <v>-2.8495188630779045E-2</v>
      </c>
      <c r="L711" s="7"/>
    </row>
    <row r="712" spans="1:12" x14ac:dyDescent="0.25">
      <c r="A712" s="2" t="s">
        <v>815</v>
      </c>
      <c r="B712" s="7">
        <v>1.4054813773717534E-2</v>
      </c>
      <c r="C712" s="7">
        <v>-1.0762814475985261E-3</v>
      </c>
      <c r="D712" s="7">
        <v>2.8571428571428692E-2</v>
      </c>
      <c r="E712" s="7">
        <v>2.7800053461641383E-2</v>
      </c>
      <c r="F712" s="7">
        <v>1.3048987300302572E-2</v>
      </c>
      <c r="G712" s="7"/>
      <c r="H712" s="7">
        <f t="shared" si="47"/>
        <v>1.0058264734149613E-3</v>
      </c>
      <c r="I712" s="7">
        <f t="shared" si="48"/>
        <v>-1.4125268747901099E-2</v>
      </c>
      <c r="J712" s="7">
        <f t="shared" si="49"/>
        <v>1.5522441271126119E-2</v>
      </c>
      <c r="K712" s="7">
        <f t="shared" si="50"/>
        <v>1.4751066161338811E-2</v>
      </c>
      <c r="L712" s="7"/>
    </row>
    <row r="713" spans="1:12" x14ac:dyDescent="0.25">
      <c r="A713" s="2" t="s">
        <v>816</v>
      </c>
      <c r="B713" s="7">
        <v>6.720905553590395E-3</v>
      </c>
      <c r="C713" s="7">
        <v>5.3843047516477505E-4</v>
      </c>
      <c r="D713" s="7">
        <v>-3.4482758620689724E-2</v>
      </c>
      <c r="E713" s="7">
        <v>-2.9823651452282274E-2</v>
      </c>
      <c r="F713" s="7">
        <v>8.7576909244662104E-3</v>
      </c>
      <c r="G713" s="7"/>
      <c r="H713" s="7">
        <f t="shared" si="47"/>
        <v>-2.0367853708758155E-3</v>
      </c>
      <c r="I713" s="7">
        <f t="shared" si="48"/>
        <v>-8.2192604493014354E-3</v>
      </c>
      <c r="J713" s="7">
        <f t="shared" si="49"/>
        <v>-4.3240449545155935E-2</v>
      </c>
      <c r="K713" s="7">
        <f t="shared" si="50"/>
        <v>-3.8581342376748484E-2</v>
      </c>
      <c r="L713" s="7"/>
    </row>
    <row r="714" spans="1:12" x14ac:dyDescent="0.25">
      <c r="A714" s="2" t="s">
        <v>817</v>
      </c>
      <c r="B714" s="7">
        <v>1.6534782095192213E-3</v>
      </c>
      <c r="C714" s="7">
        <v>-3.6820951640088029E-2</v>
      </c>
      <c r="D714" s="7">
        <v>3.4602076124565784E-3</v>
      </c>
      <c r="E714" s="7">
        <v>-2.0200736882225789E-2</v>
      </c>
      <c r="F714" s="7">
        <v>-7.3186381640205633E-3</v>
      </c>
      <c r="G714" s="7"/>
      <c r="H714" s="7">
        <f t="shared" si="47"/>
        <v>8.9721163735397846E-3</v>
      </c>
      <c r="I714" s="7">
        <f t="shared" si="48"/>
        <v>-2.9502313476067465E-2</v>
      </c>
      <c r="J714" s="7">
        <f t="shared" si="49"/>
        <v>1.0778845776477142E-2</v>
      </c>
      <c r="K714" s="7">
        <f t="shared" si="50"/>
        <v>-1.2882098718205226E-2</v>
      </c>
      <c r="L714" s="7"/>
    </row>
    <row r="715" spans="1:12" x14ac:dyDescent="0.25">
      <c r="A715" s="2" t="s">
        <v>818</v>
      </c>
      <c r="B715" s="7">
        <v>-1.5178831055539299E-2</v>
      </c>
      <c r="C715" s="7">
        <v>-9.8844672657254495E-3</v>
      </c>
      <c r="D715" s="7">
        <v>-4.6204620462046098E-2</v>
      </c>
      <c r="E715" s="7">
        <v>-3.7422037422037424E-2</v>
      </c>
      <c r="F715" s="7">
        <v>-1.1222073018606449E-2</v>
      </c>
      <c r="G715" s="7"/>
      <c r="H715" s="7">
        <f t="shared" si="47"/>
        <v>-3.9567580369328503E-3</v>
      </c>
      <c r="I715" s="7">
        <f t="shared" si="48"/>
        <v>1.3376057528809993E-3</v>
      </c>
      <c r="J715" s="7">
        <f t="shared" si="49"/>
        <v>-3.4982547443439649E-2</v>
      </c>
      <c r="K715" s="7">
        <f t="shared" si="50"/>
        <v>-2.6199964403430975E-2</v>
      </c>
      <c r="L715" s="7"/>
    </row>
    <row r="716" spans="1:12" x14ac:dyDescent="0.25">
      <c r="A716" s="2" t="s">
        <v>138</v>
      </c>
      <c r="B716" s="7">
        <v>-5.494505494505586E-3</v>
      </c>
      <c r="C716" s="7">
        <v>2.7027027027027195E-2</v>
      </c>
      <c r="D716" s="7">
        <v>8.2142857142857073E-2</v>
      </c>
      <c r="E716" s="7">
        <v>2.5200601805416056E-2</v>
      </c>
      <c r="F716" s="7">
        <v>1.5505799168891166E-4</v>
      </c>
      <c r="G716" s="7"/>
      <c r="H716" s="7">
        <f t="shared" si="47"/>
        <v>-5.6495634861944977E-3</v>
      </c>
      <c r="I716" s="7">
        <f t="shared" si="48"/>
        <v>2.6871969035338283E-2</v>
      </c>
      <c r="J716" s="7">
        <f t="shared" si="49"/>
        <v>8.1987799151168161E-2</v>
      </c>
      <c r="K716" s="7">
        <f t="shared" si="50"/>
        <v>2.5045543813727145E-2</v>
      </c>
      <c r="L716" s="7"/>
    </row>
    <row r="717" spans="1:12" x14ac:dyDescent="0.25">
      <c r="A717" s="2" t="s">
        <v>819</v>
      </c>
      <c r="B717" s="7">
        <v>6.3661091498357081E-4</v>
      </c>
      <c r="C717" s="7">
        <v>-6.0280435067489035E-3</v>
      </c>
      <c r="D717" s="7">
        <v>2.9411764705882248E-2</v>
      </c>
      <c r="E717" s="7">
        <v>-2.0869138227350703E-2</v>
      </c>
      <c r="F717" s="7">
        <v>-1.445909410321633E-3</v>
      </c>
      <c r="G717" s="7"/>
      <c r="H717" s="7">
        <f t="shared" si="47"/>
        <v>2.0825203253052038E-3</v>
      </c>
      <c r="I717" s="7">
        <f t="shared" si="48"/>
        <v>-4.5821340964272705E-3</v>
      </c>
      <c r="J717" s="7">
        <f t="shared" si="49"/>
        <v>3.0857674116203881E-2</v>
      </c>
      <c r="K717" s="7">
        <f t="shared" si="50"/>
        <v>-1.942322881702907E-2</v>
      </c>
      <c r="L717" s="7"/>
    </row>
    <row r="718" spans="1:12" x14ac:dyDescent="0.25">
      <c r="A718" s="2" t="s">
        <v>820</v>
      </c>
      <c r="B718" s="7">
        <v>1.3668895928663494E-2</v>
      </c>
      <c r="C718" s="7">
        <v>9.6586398518128114E-3</v>
      </c>
      <c r="D718" s="7">
        <v>-1.4492753623188248E-2</v>
      </c>
      <c r="E718" s="7">
        <v>-5.4110543427775326E-2</v>
      </c>
      <c r="F718" s="7">
        <v>9.4451003541911049E-3</v>
      </c>
      <c r="G718" s="7"/>
      <c r="H718" s="7">
        <f t="shared" si="47"/>
        <v>4.2237955744723887E-3</v>
      </c>
      <c r="I718" s="7">
        <f t="shared" si="48"/>
        <v>2.1353949762170643E-4</v>
      </c>
      <c r="J718" s="7">
        <f t="shared" si="49"/>
        <v>-2.3937853977379353E-2</v>
      </c>
      <c r="K718" s="7">
        <f t="shared" si="50"/>
        <v>-6.3555643781966431E-2</v>
      </c>
      <c r="L718" s="7"/>
    </row>
    <row r="719" spans="1:12" x14ac:dyDescent="0.25">
      <c r="A719" s="2" t="s">
        <v>821</v>
      </c>
      <c r="B719" s="7">
        <v>3.5914041801590191E-3</v>
      </c>
      <c r="C719" s="7">
        <v>2.218014606437646E-2</v>
      </c>
      <c r="D719" s="7">
        <v>1.098901098901095E-2</v>
      </c>
      <c r="E719" s="7">
        <v>2.1710760469806578E-2</v>
      </c>
      <c r="F719" s="7">
        <v>1.1890800262780221E-2</v>
      </c>
      <c r="G719" s="7"/>
      <c r="H719" s="7">
        <f t="shared" si="47"/>
        <v>-8.2993960826212021E-3</v>
      </c>
      <c r="I719" s="7">
        <f t="shared" si="48"/>
        <v>1.0289345801596239E-2</v>
      </c>
      <c r="J719" s="7">
        <f t="shared" si="49"/>
        <v>-9.017892737692712E-4</v>
      </c>
      <c r="K719" s="7">
        <f t="shared" si="50"/>
        <v>9.819960207026357E-3</v>
      </c>
      <c r="L719" s="7"/>
    </row>
    <row r="720" spans="1:12" x14ac:dyDescent="0.25">
      <c r="A720" s="2" t="s">
        <v>822</v>
      </c>
      <c r="B720" s="7">
        <v>0</v>
      </c>
      <c r="C720" s="7">
        <v>-2.4666930484105065E-2</v>
      </c>
      <c r="D720" s="7">
        <v>1.4869888475836479E-2</v>
      </c>
      <c r="E720" s="7">
        <v>4.6483909415970803E-3</v>
      </c>
      <c r="F720" s="7">
        <v>-6.3777113735047353E-3</v>
      </c>
      <c r="G720" s="7"/>
      <c r="H720" s="7">
        <f t="shared" si="47"/>
        <v>6.3777113735047353E-3</v>
      </c>
      <c r="I720" s="7">
        <f t="shared" si="48"/>
        <v>-1.828921911060033E-2</v>
      </c>
      <c r="J720" s="7">
        <f t="shared" si="49"/>
        <v>2.1247599849341214E-2</v>
      </c>
      <c r="K720" s="7">
        <f t="shared" si="50"/>
        <v>1.1026102315101816E-2</v>
      </c>
      <c r="L720" s="7"/>
    </row>
    <row r="721" spans="1:12" x14ac:dyDescent="0.25">
      <c r="A721" s="2" t="s">
        <v>139</v>
      </c>
      <c r="B721" s="7">
        <v>-2.8765997416931866E-3</v>
      </c>
      <c r="C721" s="7">
        <v>2.1150033046926087E-3</v>
      </c>
      <c r="D721" s="7">
        <v>0</v>
      </c>
      <c r="E721" s="7">
        <v>3.5163479333744752E-2</v>
      </c>
      <c r="F721" s="7">
        <v>2.958235533743192E-3</v>
      </c>
      <c r="G721" s="7"/>
      <c r="H721" s="7">
        <f t="shared" si="47"/>
        <v>-5.8348352754363786E-3</v>
      </c>
      <c r="I721" s="7">
        <f t="shared" si="48"/>
        <v>-8.4323222905058337E-4</v>
      </c>
      <c r="J721" s="7">
        <f t="shared" si="49"/>
        <v>-2.958235533743192E-3</v>
      </c>
      <c r="K721" s="7">
        <f t="shared" si="50"/>
        <v>3.220524380000156E-2</v>
      </c>
      <c r="L721" s="7"/>
    </row>
    <row r="722" spans="1:12" x14ac:dyDescent="0.25">
      <c r="A722" s="2" t="s">
        <v>823</v>
      </c>
      <c r="B722" s="7">
        <v>-5.4300227710633031E-3</v>
      </c>
      <c r="C722" s="7">
        <v>-4.9980270945678695E-3</v>
      </c>
      <c r="D722" s="7">
        <v>-2.1818181818181848E-2</v>
      </c>
      <c r="E722" s="7">
        <v>-2.8992452378099887E-2</v>
      </c>
      <c r="F722" s="7">
        <v>-1.5832974226629437E-3</v>
      </c>
      <c r="G722" s="7"/>
      <c r="H722" s="7">
        <f t="shared" si="47"/>
        <v>-3.8467253484003594E-3</v>
      </c>
      <c r="I722" s="7">
        <f t="shared" si="48"/>
        <v>-3.4147296719049258E-3</v>
      </c>
      <c r="J722" s="7">
        <f t="shared" si="49"/>
        <v>-2.0234884395518904E-2</v>
      </c>
      <c r="K722" s="7">
        <f t="shared" si="50"/>
        <v>-2.7409154955436943E-2</v>
      </c>
      <c r="L722" s="7"/>
    </row>
    <row r="723" spans="1:12" x14ac:dyDescent="0.25">
      <c r="A723" s="2" t="s">
        <v>824</v>
      </c>
      <c r="B723" s="7">
        <v>1.110591536123362E-3</v>
      </c>
      <c r="C723" s="7">
        <v>-1.1823436678928267E-3</v>
      </c>
      <c r="D723" s="7">
        <v>2.9962546816479474E-2</v>
      </c>
      <c r="E723" s="7">
        <v>5.9532876364559506E-2</v>
      </c>
      <c r="F723" s="7">
        <v>-1.6966193288928677E-3</v>
      </c>
      <c r="G723" s="7"/>
      <c r="H723" s="7">
        <f t="shared" si="47"/>
        <v>2.8072108650162297E-3</v>
      </c>
      <c r="I723" s="7">
        <f t="shared" si="48"/>
        <v>5.1427566100004096E-4</v>
      </c>
      <c r="J723" s="7">
        <f t="shared" si="49"/>
        <v>3.1659166145372342E-2</v>
      </c>
      <c r="K723" s="7">
        <f t="shared" si="50"/>
        <v>6.1229495693452374E-2</v>
      </c>
      <c r="L723" s="7"/>
    </row>
    <row r="724" spans="1:12" x14ac:dyDescent="0.25">
      <c r="A724" s="2" t="s">
        <v>825</v>
      </c>
      <c r="B724" s="7">
        <v>1.0394519253484669E-2</v>
      </c>
      <c r="C724" s="7">
        <v>9.2044707429339567E-4</v>
      </c>
      <c r="D724" s="7">
        <v>1.5209125475285079E-2</v>
      </c>
      <c r="E724" s="7">
        <v>8.9651639344263678E-3</v>
      </c>
      <c r="F724" s="7">
        <v>4.4839130213125689E-3</v>
      </c>
      <c r="G724" s="7"/>
      <c r="H724" s="7">
        <f t="shared" si="47"/>
        <v>5.9106062321720998E-3</v>
      </c>
      <c r="I724" s="7">
        <f t="shared" si="48"/>
        <v>-3.5634659470191732E-3</v>
      </c>
      <c r="J724" s="7">
        <f t="shared" si="49"/>
        <v>1.072521245397251E-2</v>
      </c>
      <c r="K724" s="7">
        <f t="shared" si="50"/>
        <v>4.481250913113799E-3</v>
      </c>
      <c r="L724" s="7"/>
    </row>
    <row r="725" spans="1:12" x14ac:dyDescent="0.25">
      <c r="A725" s="2" t="s">
        <v>826</v>
      </c>
      <c r="B725" s="7">
        <v>-9.9403578528828307E-3</v>
      </c>
      <c r="C725" s="7">
        <v>-1.5023960626861732E-2</v>
      </c>
      <c r="D725" s="7">
        <v>1.5444015444015413E-2</v>
      </c>
      <c r="E725" s="7">
        <v>-1.3144590495450026E-2</v>
      </c>
      <c r="F725" s="7">
        <v>-4.5793742085777911E-3</v>
      </c>
      <c r="G725" s="7"/>
      <c r="H725" s="7">
        <f t="shared" si="47"/>
        <v>-5.3609836443050396E-3</v>
      </c>
      <c r="I725" s="7">
        <f t="shared" si="48"/>
        <v>-1.0444586418283941E-2</v>
      </c>
      <c r="J725" s="7">
        <f t="shared" si="49"/>
        <v>2.0023389652593204E-2</v>
      </c>
      <c r="K725" s="7">
        <f t="shared" si="50"/>
        <v>-8.5652162868722348E-3</v>
      </c>
      <c r="L725" s="7"/>
    </row>
    <row r="726" spans="1:12" x14ac:dyDescent="0.25">
      <c r="A726" s="2" t="s">
        <v>140</v>
      </c>
      <c r="B726" s="7">
        <v>-4.0914138757375262E-4</v>
      </c>
      <c r="C726" s="7">
        <v>-9.7473387200205375E-3</v>
      </c>
      <c r="D726" s="7">
        <v>-1.1450381679389388E-2</v>
      </c>
      <c r="E726" s="7">
        <v>1.1388080475769335E-3</v>
      </c>
      <c r="F726" s="7">
        <v>4.5210033242670811E-4</v>
      </c>
      <c r="G726" s="7"/>
      <c r="H726" s="7">
        <f t="shared" si="47"/>
        <v>-8.6124172000046073E-4</v>
      </c>
      <c r="I726" s="7">
        <f t="shared" si="48"/>
        <v>-1.0199439052447246E-2</v>
      </c>
      <c r="J726" s="7">
        <f t="shared" si="49"/>
        <v>-1.1902482011816096E-2</v>
      </c>
      <c r="K726" s="7">
        <f t="shared" si="50"/>
        <v>6.8670771515022544E-4</v>
      </c>
      <c r="L726" s="7"/>
    </row>
    <row r="727" spans="1:12" x14ac:dyDescent="0.25">
      <c r="A727" s="2" t="s">
        <v>827</v>
      </c>
      <c r="B727" s="7">
        <v>4.6934279769918152E-2</v>
      </c>
      <c r="C727" s="7">
        <v>1.4837953924248248E-2</v>
      </c>
      <c r="D727" s="7">
        <v>3.9682539682539764E-2</v>
      </c>
      <c r="E727" s="7">
        <v>8.8077610416135155E-3</v>
      </c>
      <c r="F727" s="7">
        <v>1.8474744042430657E-2</v>
      </c>
      <c r="G727" s="7"/>
      <c r="H727" s="7">
        <f t="shared" si="47"/>
        <v>2.8459535727487495E-2</v>
      </c>
      <c r="I727" s="7">
        <f t="shared" si="48"/>
        <v>-3.6367901181824092E-3</v>
      </c>
      <c r="J727" s="7">
        <f t="shared" si="49"/>
        <v>2.1207795640109106E-2</v>
      </c>
      <c r="K727" s="7">
        <f t="shared" si="50"/>
        <v>-9.666983000817142E-3</v>
      </c>
      <c r="L727" s="7"/>
    </row>
    <row r="728" spans="1:12" x14ac:dyDescent="0.25">
      <c r="A728" s="2" t="s">
        <v>828</v>
      </c>
      <c r="B728" s="7">
        <v>-9.9357809281473974E-3</v>
      </c>
      <c r="C728" s="7">
        <v>-9.6674400618715906E-3</v>
      </c>
      <c r="D728" s="7">
        <v>-3.9525691699603405E-3</v>
      </c>
      <c r="E728" s="7">
        <v>1.240630653915753E-2</v>
      </c>
      <c r="F728" s="7">
        <v>-7.2187251726456569E-3</v>
      </c>
      <c r="G728" s="7"/>
      <c r="H728" s="7">
        <f t="shared" si="47"/>
        <v>-2.7170557555017405E-3</v>
      </c>
      <c r="I728" s="7">
        <f t="shared" si="48"/>
        <v>-2.4487148892259336E-3</v>
      </c>
      <c r="J728" s="7">
        <f t="shared" si="49"/>
        <v>3.2661560026853165E-3</v>
      </c>
      <c r="K728" s="7">
        <f t="shared" si="50"/>
        <v>1.9625031711803187E-2</v>
      </c>
      <c r="L728" s="7"/>
    </row>
    <row r="729" spans="1:12" x14ac:dyDescent="0.25">
      <c r="A729" s="2" t="s">
        <v>829</v>
      </c>
      <c r="B729" s="7">
        <v>-6.4407391801600822E-3</v>
      </c>
      <c r="C729" s="7">
        <v>-1.4158836401081398E-3</v>
      </c>
      <c r="D729" s="7">
        <v>-1.5564202334630406E-2</v>
      </c>
      <c r="E729" s="7">
        <v>-6.4574454345878163E-4</v>
      </c>
      <c r="F729" s="7">
        <v>-6.9982862330625339E-3</v>
      </c>
      <c r="G729" s="7"/>
      <c r="H729" s="7">
        <f t="shared" si="47"/>
        <v>5.5754705290245177E-4</v>
      </c>
      <c r="I729" s="7">
        <f t="shared" si="48"/>
        <v>5.5824025929543941E-3</v>
      </c>
      <c r="J729" s="7">
        <f t="shared" si="49"/>
        <v>-8.565916101567872E-3</v>
      </c>
      <c r="K729" s="7">
        <f t="shared" si="50"/>
        <v>6.3525416896037523E-3</v>
      </c>
      <c r="L729" s="7"/>
    </row>
    <row r="730" spans="1:12" x14ac:dyDescent="0.25">
      <c r="A730" s="2" t="s">
        <v>830</v>
      </c>
      <c r="B730" s="7">
        <v>-6.2212119399412957E-3</v>
      </c>
      <c r="C730" s="7">
        <v>-2.7172551965940372E-2</v>
      </c>
      <c r="D730" s="7">
        <v>-1.9083969465648942E-2</v>
      </c>
      <c r="E730" s="7">
        <v>-3.1277367696734615E-2</v>
      </c>
      <c r="F730" s="7">
        <v>-1.1586253889876552E-2</v>
      </c>
      <c r="G730" s="7"/>
      <c r="H730" s="7">
        <f t="shared" si="47"/>
        <v>5.3650419499352564E-3</v>
      </c>
      <c r="I730" s="7">
        <f t="shared" si="48"/>
        <v>-1.558629807606382E-2</v>
      </c>
      <c r="J730" s="7">
        <f t="shared" si="49"/>
        <v>-7.4977155757723901E-3</v>
      </c>
      <c r="K730" s="7">
        <f t="shared" si="50"/>
        <v>-1.9691113806858063E-2</v>
      </c>
      <c r="L730" s="7"/>
    </row>
    <row r="731" spans="1:12" x14ac:dyDescent="0.25">
      <c r="A731" s="2" t="s">
        <v>141</v>
      </c>
      <c r="B731" s="7">
        <v>-5.3808441946667784E-4</v>
      </c>
      <c r="C731" s="7">
        <v>-3.4938857000249568E-3</v>
      </c>
      <c r="D731" s="7">
        <v>-1.872659176029956E-2</v>
      </c>
      <c r="E731" s="7">
        <v>-6.2165858510505601E-3</v>
      </c>
      <c r="F731" s="7">
        <v>-3.861392787588569E-4</v>
      </c>
      <c r="G731" s="7"/>
      <c r="H731" s="7">
        <f t="shared" si="47"/>
        <v>-1.5194514070782095E-4</v>
      </c>
      <c r="I731" s="7">
        <f t="shared" si="48"/>
        <v>-3.1077464212660999E-3</v>
      </c>
      <c r="J731" s="7">
        <f t="shared" si="49"/>
        <v>-1.8340452481540703E-2</v>
      </c>
      <c r="K731" s="7">
        <f t="shared" si="50"/>
        <v>-5.8304465722917032E-3</v>
      </c>
      <c r="L731" s="7"/>
    </row>
    <row r="732" spans="1:12" x14ac:dyDescent="0.25">
      <c r="A732" s="2" t="s">
        <v>831</v>
      </c>
      <c r="B732" s="7">
        <v>7.5296668875368677E-3</v>
      </c>
      <c r="C732" s="7">
        <v>8.5577649131638456E-3</v>
      </c>
      <c r="D732" s="7">
        <v>1.1363636363636243E-2</v>
      </c>
      <c r="E732" s="7">
        <v>2.6178010471205049E-3</v>
      </c>
      <c r="F732" s="7">
        <v>8.2532312863479174E-3</v>
      </c>
      <c r="G732" s="7"/>
      <c r="H732" s="7">
        <f t="shared" si="47"/>
        <v>-7.2356439881104961E-4</v>
      </c>
      <c r="I732" s="7">
        <f t="shared" si="48"/>
        <v>3.0453362681592822E-4</v>
      </c>
      <c r="J732" s="7">
        <f t="shared" si="49"/>
        <v>3.1104050772883252E-3</v>
      </c>
      <c r="K732" s="7">
        <f t="shared" si="50"/>
        <v>-5.6354302392274125E-3</v>
      </c>
      <c r="L732" s="7"/>
    </row>
    <row r="733" spans="1:12" x14ac:dyDescent="0.25">
      <c r="A733" s="2" t="s">
        <v>832</v>
      </c>
      <c r="B733" s="7">
        <v>2.8435138148928285E-2</v>
      </c>
      <c r="C733" s="7">
        <v>2.3309723116548442E-2</v>
      </c>
      <c r="D733" s="7">
        <v>-3.7735849056602655E-3</v>
      </c>
      <c r="E733" s="7">
        <v>1.9961856325492633E-2</v>
      </c>
      <c r="F733" s="7">
        <v>1.9566123190639217E-2</v>
      </c>
      <c r="G733" s="7"/>
      <c r="H733" s="7">
        <f t="shared" si="47"/>
        <v>8.8690149582890676E-3</v>
      </c>
      <c r="I733" s="7">
        <f t="shared" si="48"/>
        <v>3.7435999259092245E-3</v>
      </c>
      <c r="J733" s="7">
        <f t="shared" si="49"/>
        <v>-2.3339708096299483E-2</v>
      </c>
      <c r="K733" s="7">
        <f t="shared" si="50"/>
        <v>3.9573313485341544E-4</v>
      </c>
      <c r="L733" s="7"/>
    </row>
    <row r="734" spans="1:12" x14ac:dyDescent="0.25">
      <c r="A734" s="2" t="s">
        <v>833</v>
      </c>
      <c r="B734" s="7">
        <v>-6.194635445710972E-5</v>
      </c>
      <c r="C734" s="7">
        <v>-1.3843027686055276E-2</v>
      </c>
      <c r="D734" s="7">
        <v>-3.284671532846728E-2</v>
      </c>
      <c r="E734" s="7">
        <v>-1.2698412698411987E-3</v>
      </c>
      <c r="F734" s="7">
        <v>-3.8412134697898281E-3</v>
      </c>
      <c r="G734" s="7"/>
      <c r="H734" s="7">
        <f t="shared" si="47"/>
        <v>3.7792671153327184E-3</v>
      </c>
      <c r="I734" s="7">
        <f t="shared" si="48"/>
        <v>-1.0001814216265448E-2</v>
      </c>
      <c r="J734" s="7">
        <f t="shared" si="49"/>
        <v>-2.9005501858677452E-2</v>
      </c>
      <c r="K734" s="7">
        <f t="shared" si="50"/>
        <v>2.5713721999486294E-3</v>
      </c>
      <c r="L734" s="7"/>
    </row>
    <row r="735" spans="1:12" x14ac:dyDescent="0.25">
      <c r="A735" s="2" t="s">
        <v>834</v>
      </c>
      <c r="B735" s="7">
        <v>-9.4495919494385072E-3</v>
      </c>
      <c r="C735" s="7">
        <v>-6.5606863487258638E-3</v>
      </c>
      <c r="D735" s="7">
        <v>-3.8596491228070184E-2</v>
      </c>
      <c r="E735" s="7">
        <v>-4.5685894328647558E-2</v>
      </c>
      <c r="F735" s="7">
        <v>-1.5810821263512076E-2</v>
      </c>
      <c r="G735" s="7"/>
      <c r="H735" s="7">
        <f t="shared" si="47"/>
        <v>6.3612293140735687E-3</v>
      </c>
      <c r="I735" s="7">
        <f t="shared" si="48"/>
        <v>9.2501349147862122E-3</v>
      </c>
      <c r="J735" s="7">
        <f t="shared" si="49"/>
        <v>-2.2785669964558108E-2</v>
      </c>
      <c r="K735" s="7">
        <f t="shared" si="50"/>
        <v>-2.9875073065135482E-2</v>
      </c>
      <c r="L735" s="7"/>
    </row>
    <row r="736" spans="1:12" x14ac:dyDescent="0.25">
      <c r="A736" s="2" t="s">
        <v>142</v>
      </c>
      <c r="B736" s="7">
        <v>1.905815812123457E-3</v>
      </c>
      <c r="C736" s="7">
        <v>5.5823395077392313E-3</v>
      </c>
      <c r="D736" s="7">
        <v>5.1660516605166018E-2</v>
      </c>
      <c r="E736" s="7">
        <v>-2.5162433549911545E-2</v>
      </c>
      <c r="F736" s="7">
        <v>8.5157444502503843E-4</v>
      </c>
      <c r="G736" s="7"/>
      <c r="H736" s="7">
        <f t="shared" si="47"/>
        <v>1.0542413670984185E-3</v>
      </c>
      <c r="I736" s="7">
        <f t="shared" si="48"/>
        <v>4.7307650627141928E-3</v>
      </c>
      <c r="J736" s="7">
        <f t="shared" si="49"/>
        <v>5.080894216014098E-2</v>
      </c>
      <c r="K736" s="7">
        <f t="shared" si="50"/>
        <v>-2.6014007994936583E-2</v>
      </c>
      <c r="L736" s="7"/>
    </row>
    <row r="737" spans="1:12" x14ac:dyDescent="0.25">
      <c r="A737" s="2" t="s">
        <v>835</v>
      </c>
      <c r="B737" s="7">
        <v>-9.8009374809765459E-3</v>
      </c>
      <c r="C737" s="7">
        <v>-2.404758891279779E-3</v>
      </c>
      <c r="D737" s="7">
        <v>-1.8115942028985477E-2</v>
      </c>
      <c r="E737" s="7">
        <v>-1.7753539104200522E-2</v>
      </c>
      <c r="F737" s="7">
        <v>9.0319362485757893E-4</v>
      </c>
      <c r="G737" s="7"/>
      <c r="H737" s="7">
        <f t="shared" si="47"/>
        <v>-1.0704131105834125E-2</v>
      </c>
      <c r="I737" s="7">
        <f t="shared" si="48"/>
        <v>-3.307952516137358E-3</v>
      </c>
      <c r="J737" s="7">
        <f t="shared" si="49"/>
        <v>-1.9019135653843056E-2</v>
      </c>
      <c r="K737" s="7">
        <f t="shared" si="50"/>
        <v>-1.8656732729058101E-2</v>
      </c>
      <c r="L737" s="7"/>
    </row>
    <row r="738" spans="1:12" x14ac:dyDescent="0.25">
      <c r="A738" s="2" t="s">
        <v>836</v>
      </c>
      <c r="B738" s="7">
        <v>-5.8702493343015805E-3</v>
      </c>
      <c r="C738" s="7">
        <v>-1.2745220542296543E-2</v>
      </c>
      <c r="D738" s="7">
        <v>-3.1578947368421151E-2</v>
      </c>
      <c r="E738" s="7">
        <v>-2.9395202162405654E-2</v>
      </c>
      <c r="F738" s="7">
        <v>-5.952552882162232E-3</v>
      </c>
      <c r="G738" s="7"/>
      <c r="H738" s="7">
        <f t="shared" si="47"/>
        <v>8.2303547860651527E-5</v>
      </c>
      <c r="I738" s="7">
        <f t="shared" si="48"/>
        <v>-6.7926676601343106E-3</v>
      </c>
      <c r="J738" s="7">
        <f t="shared" si="49"/>
        <v>-2.5626394486258919E-2</v>
      </c>
      <c r="K738" s="7">
        <f t="shared" si="50"/>
        <v>-2.3442649280243422E-2</v>
      </c>
      <c r="L738" s="7"/>
    </row>
    <row r="739" spans="1:12" x14ac:dyDescent="0.25">
      <c r="A739" s="2" t="s">
        <v>837</v>
      </c>
      <c r="B739" s="7">
        <v>7.0083490767263168E-3</v>
      </c>
      <c r="C739" s="7">
        <v>-1.7462891355868315E-3</v>
      </c>
      <c r="D739" s="7">
        <v>-3.7162162162162171E-2</v>
      </c>
      <c r="E739" s="7">
        <v>-2.0950490682544842E-2</v>
      </c>
      <c r="F739" s="7">
        <v>-8.4238496029787058E-5</v>
      </c>
      <c r="G739" s="7"/>
      <c r="H739" s="7">
        <f t="shared" si="47"/>
        <v>7.0925875727561039E-3</v>
      </c>
      <c r="I739" s="7">
        <f t="shared" si="48"/>
        <v>-1.6620506395570445E-3</v>
      </c>
      <c r="J739" s="7">
        <f t="shared" si="49"/>
        <v>-3.7077923666132384E-2</v>
      </c>
      <c r="K739" s="7">
        <f t="shared" si="50"/>
        <v>-2.0866252186515055E-2</v>
      </c>
      <c r="L739" s="7"/>
    </row>
    <row r="740" spans="1:12" x14ac:dyDescent="0.25">
      <c r="A740" s="2" t="s">
        <v>838</v>
      </c>
      <c r="B740" s="7">
        <v>7.4906367041198685E-3</v>
      </c>
      <c r="C740" s="7">
        <v>-4.8411122144985663E-3</v>
      </c>
      <c r="D740" s="7">
        <v>2.0689655172413834E-2</v>
      </c>
      <c r="E740" s="7">
        <v>-9.6101343234683556E-3</v>
      </c>
      <c r="F740" s="7">
        <v>8.5514968732836039E-4</v>
      </c>
      <c r="G740" s="7"/>
      <c r="H740" s="7">
        <f t="shared" si="47"/>
        <v>6.6354870167915081E-3</v>
      </c>
      <c r="I740" s="7">
        <f t="shared" si="48"/>
        <v>-5.6962619018269267E-3</v>
      </c>
      <c r="J740" s="7">
        <f t="shared" si="49"/>
        <v>1.9834505485085474E-2</v>
      </c>
      <c r="K740" s="7">
        <f t="shared" si="50"/>
        <v>-1.0465284010796716E-2</v>
      </c>
      <c r="L740" s="7"/>
    </row>
    <row r="741" spans="1:12" x14ac:dyDescent="0.25">
      <c r="A741" s="2" t="s">
        <v>143</v>
      </c>
      <c r="B741" s="7">
        <v>1.2281240405287441E-4</v>
      </c>
      <c r="C741" s="7">
        <v>9.52380952380949E-3</v>
      </c>
      <c r="D741" s="7">
        <v>7.4074074074073959E-2</v>
      </c>
      <c r="E741" s="7">
        <v>1.9824033856776779E-2</v>
      </c>
      <c r="F741" s="7">
        <v>3.3062325383550473E-3</v>
      </c>
      <c r="G741" s="7"/>
      <c r="H741" s="7">
        <f t="shared" si="47"/>
        <v>-3.1834201343021729E-3</v>
      </c>
      <c r="I741" s="7">
        <f t="shared" si="48"/>
        <v>6.2175769854544427E-3</v>
      </c>
      <c r="J741" s="7">
        <f t="shared" si="49"/>
        <v>7.0767841535718912E-2</v>
      </c>
      <c r="K741" s="7">
        <f t="shared" si="50"/>
        <v>1.6517801318421732E-2</v>
      </c>
      <c r="L741" s="7"/>
    </row>
    <row r="742" spans="1:12" x14ac:dyDescent="0.25">
      <c r="A742" s="2" t="s">
        <v>839</v>
      </c>
      <c r="B742" s="7">
        <v>-2.1446078431371918E-3</v>
      </c>
      <c r="C742" s="7">
        <v>-3.4965034965035446E-3</v>
      </c>
      <c r="D742" s="7">
        <v>0</v>
      </c>
      <c r="E742" s="7">
        <v>-1.6861929267491416E-2</v>
      </c>
      <c r="F742" s="7">
        <v>-2.0693547375681964E-3</v>
      </c>
      <c r="G742" s="7"/>
      <c r="H742" s="7">
        <f t="shared" si="47"/>
        <v>-7.5253105568995338E-5</v>
      </c>
      <c r="I742" s="7">
        <f t="shared" si="48"/>
        <v>-1.4271487589353482E-3</v>
      </c>
      <c r="J742" s="7">
        <f t="shared" si="49"/>
        <v>2.0693547375681964E-3</v>
      </c>
      <c r="K742" s="7">
        <f t="shared" si="50"/>
        <v>-1.4792574529923219E-2</v>
      </c>
      <c r="L742" s="7"/>
    </row>
    <row r="743" spans="1:12" x14ac:dyDescent="0.25">
      <c r="A743" s="2" t="s">
        <v>840</v>
      </c>
      <c r="B743" s="7">
        <v>3.4154996514796254E-2</v>
      </c>
      <c r="C743" s="7">
        <v>1.7018034036068164E-2</v>
      </c>
      <c r="D743" s="7">
        <v>2.6615969581749166E-2</v>
      </c>
      <c r="E743" s="7">
        <v>2.4798025134649793E-2</v>
      </c>
      <c r="F743" s="7">
        <v>1.3262625398648753E-2</v>
      </c>
      <c r="G743" s="7"/>
      <c r="H743" s="7">
        <f t="shared" si="47"/>
        <v>2.0892371116147501E-2</v>
      </c>
      <c r="I743" s="7">
        <f t="shared" si="48"/>
        <v>3.7554086374194107E-3</v>
      </c>
      <c r="J743" s="7">
        <f t="shared" si="49"/>
        <v>1.3353344183100413E-2</v>
      </c>
      <c r="K743" s="7">
        <f t="shared" si="50"/>
        <v>1.153539973600104E-2</v>
      </c>
      <c r="L743" s="7"/>
    </row>
    <row r="744" spans="1:12" x14ac:dyDescent="0.25">
      <c r="A744" s="2" t="s">
        <v>841</v>
      </c>
      <c r="B744" s="7">
        <v>-4.3533123028390852E-3</v>
      </c>
      <c r="C744" s="7">
        <v>-1.774847870182561E-3</v>
      </c>
      <c r="D744" s="7">
        <v>0</v>
      </c>
      <c r="E744" s="7">
        <v>-5.932024488072607E-2</v>
      </c>
      <c r="F744" s="7">
        <v>-4.1348863697205918E-3</v>
      </c>
      <c r="G744" s="7"/>
      <c r="H744" s="7">
        <f t="shared" si="47"/>
        <v>-2.1842593311849345E-4</v>
      </c>
      <c r="I744" s="7">
        <f t="shared" si="48"/>
        <v>2.3600384995380308E-3</v>
      </c>
      <c r="J744" s="7">
        <f t="shared" si="49"/>
        <v>4.1348863697205918E-3</v>
      </c>
      <c r="K744" s="7">
        <f t="shared" si="50"/>
        <v>-5.5185358511005478E-2</v>
      </c>
      <c r="L744" s="7"/>
    </row>
    <row r="745" spans="1:12" x14ac:dyDescent="0.25">
      <c r="A745" s="2" t="s">
        <v>842</v>
      </c>
      <c r="B745" s="7">
        <v>-7.6383671424993249E-3</v>
      </c>
      <c r="C745" s="7">
        <v>1.7412614471817189E-2</v>
      </c>
      <c r="D745" s="7">
        <v>-3.7878787878788955E-3</v>
      </c>
      <c r="E745" s="7">
        <v>-1.752566628642549E-2</v>
      </c>
      <c r="F745" s="7">
        <v>-4.1371489203245737E-5</v>
      </c>
      <c r="G745" s="7"/>
      <c r="H745" s="7">
        <f t="shared" si="47"/>
        <v>-7.5969956532960792E-3</v>
      </c>
      <c r="I745" s="7">
        <f t="shared" si="48"/>
        <v>1.7453985961020435E-2</v>
      </c>
      <c r="J745" s="7">
        <f t="shared" si="49"/>
        <v>-3.7465072986756498E-3</v>
      </c>
      <c r="K745" s="7">
        <f t="shared" si="50"/>
        <v>-1.7484294797222244E-2</v>
      </c>
      <c r="L745" s="7"/>
    </row>
    <row r="746" spans="1:12" x14ac:dyDescent="0.25">
      <c r="A746" s="2" t="s">
        <v>144</v>
      </c>
      <c r="B746" s="7">
        <v>-1.5957119093093497E-2</v>
      </c>
      <c r="C746" s="7">
        <v>1.1876794570608196E-2</v>
      </c>
      <c r="D746" s="7">
        <v>2.3255813953488413E-2</v>
      </c>
      <c r="E746" s="7">
        <v>-1.1683919237470364E-2</v>
      </c>
      <c r="F746" s="7">
        <v>9.9634106532953126E-4</v>
      </c>
      <c r="G746" s="7"/>
      <c r="H746" s="7">
        <f t="shared" si="47"/>
        <v>-1.6953460158423028E-2</v>
      </c>
      <c r="I746" s="7">
        <f t="shared" si="48"/>
        <v>1.0880453505278664E-2</v>
      </c>
      <c r="J746" s="7">
        <f t="shared" si="49"/>
        <v>2.2259472888158882E-2</v>
      </c>
      <c r="K746" s="7">
        <f t="shared" si="50"/>
        <v>-1.2680260302799895E-2</v>
      </c>
      <c r="L746" s="7"/>
    </row>
    <row r="747" spans="1:12" x14ac:dyDescent="0.25">
      <c r="A747" s="2" t="s">
        <v>843</v>
      </c>
      <c r="B747" s="7">
        <v>5.5135670920580804E-3</v>
      </c>
      <c r="C747" s="7">
        <v>-7.127121938577119E-3</v>
      </c>
      <c r="D747" s="7">
        <v>-3.7313432835820892E-2</v>
      </c>
      <c r="E747" s="7">
        <v>4.2525910887915241E-2</v>
      </c>
      <c r="F747" s="7">
        <v>3.5791295674241219E-3</v>
      </c>
      <c r="G747" s="7"/>
      <c r="H747" s="7">
        <f t="shared" si="47"/>
        <v>1.9344375246339585E-3</v>
      </c>
      <c r="I747" s="7">
        <f t="shared" si="48"/>
        <v>-1.0706251506001241E-2</v>
      </c>
      <c r="J747" s="7">
        <f t="shared" si="49"/>
        <v>-4.0892562403245014E-2</v>
      </c>
      <c r="K747" s="7">
        <f t="shared" si="50"/>
        <v>3.894678132049112E-2</v>
      </c>
      <c r="L747" s="7"/>
    </row>
    <row r="748" spans="1:12" x14ac:dyDescent="0.25">
      <c r="A748" s="2" t="s">
        <v>844</v>
      </c>
      <c r="B748" s="7">
        <v>-1.1270366286904365E-2</v>
      </c>
      <c r="C748" s="7">
        <v>3.8890329271445978E-4</v>
      </c>
      <c r="D748" s="7">
        <v>1.5151515151515138E-2</v>
      </c>
      <c r="E748" s="7">
        <v>-2.153685311029796E-2</v>
      </c>
      <c r="F748" s="7">
        <v>-2.4923181973370845E-3</v>
      </c>
      <c r="G748" s="7"/>
      <c r="H748" s="7">
        <f t="shared" si="47"/>
        <v>-8.7780480895672808E-3</v>
      </c>
      <c r="I748" s="7">
        <f t="shared" si="48"/>
        <v>2.8812214900515443E-3</v>
      </c>
      <c r="J748" s="7">
        <f t="shared" si="49"/>
        <v>1.7643833348852223E-2</v>
      </c>
      <c r="K748" s="7">
        <f t="shared" si="50"/>
        <v>-1.9044534912960875E-2</v>
      </c>
      <c r="L748" s="7"/>
    </row>
    <row r="749" spans="1:12" x14ac:dyDescent="0.25">
      <c r="A749" s="2" t="s">
        <v>845</v>
      </c>
      <c r="B749" s="7">
        <v>-3.296703296703396E-3</v>
      </c>
      <c r="C749" s="7">
        <v>-2.2182786157941448E-2</v>
      </c>
      <c r="D749" s="7">
        <v>3.8022813688214363E-3</v>
      </c>
      <c r="E749" s="7">
        <v>2.3651541095890405E-2</v>
      </c>
      <c r="F749" s="7">
        <v>-5.7970522559043225E-3</v>
      </c>
      <c r="G749" s="7"/>
      <c r="H749" s="7">
        <f t="shared" si="47"/>
        <v>2.5003489592009265E-3</v>
      </c>
      <c r="I749" s="7">
        <f t="shared" si="48"/>
        <v>-1.6385733902037125E-2</v>
      </c>
      <c r="J749" s="7">
        <f t="shared" si="49"/>
        <v>9.5993336247257588E-3</v>
      </c>
      <c r="K749" s="7">
        <f t="shared" si="50"/>
        <v>2.9448593351794727E-2</v>
      </c>
      <c r="L749" s="7"/>
    </row>
    <row r="750" spans="1:12" x14ac:dyDescent="0.25">
      <c r="A750" s="2" t="s">
        <v>145</v>
      </c>
      <c r="B750" s="7">
        <v>7.689941556444202E-3</v>
      </c>
      <c r="C750" s="7">
        <v>-5.1702395964691172E-3</v>
      </c>
      <c r="D750" s="7">
        <v>-0.12040133779264228</v>
      </c>
      <c r="E750" s="7">
        <v>-3.7098103874690924E-2</v>
      </c>
      <c r="F750" s="7">
        <v>3.6989178231867648E-3</v>
      </c>
      <c r="G750" s="7"/>
      <c r="H750" s="7">
        <f t="shared" si="47"/>
        <v>3.9910237332574372E-3</v>
      </c>
      <c r="I750" s="7">
        <f t="shared" si="48"/>
        <v>-8.869157419655882E-3</v>
      </c>
      <c r="J750" s="7">
        <f t="shared" si="49"/>
        <v>-0.12410025561582905</v>
      </c>
      <c r="K750" s="7">
        <f t="shared" si="50"/>
        <v>-4.0797021697877689E-2</v>
      </c>
      <c r="L750" s="7"/>
    </row>
    <row r="751" spans="1:12" x14ac:dyDescent="0.25">
      <c r="A751" s="2" t="s">
        <v>846</v>
      </c>
      <c r="B751" s="7">
        <v>1.5683579105223888E-2</v>
      </c>
      <c r="C751" s="7">
        <v>2.2697962342016931E-2</v>
      </c>
      <c r="D751" s="7">
        <v>3.3557046979866278E-3</v>
      </c>
      <c r="E751" s="7">
        <v>-1.1611326135669175E-2</v>
      </c>
      <c r="F751" s="7">
        <v>1.4436547571732294E-2</v>
      </c>
      <c r="G751" s="7"/>
      <c r="H751" s="7">
        <f t="shared" si="47"/>
        <v>1.2470315334915938E-3</v>
      </c>
      <c r="I751" s="7">
        <f t="shared" si="48"/>
        <v>8.2614147702846363E-3</v>
      </c>
      <c r="J751" s="7">
        <f t="shared" si="49"/>
        <v>-1.1080842873745667E-2</v>
      </c>
      <c r="K751" s="7">
        <f t="shared" si="50"/>
        <v>-2.604787370740147E-2</v>
      </c>
      <c r="L751" s="7"/>
    </row>
    <row r="752" spans="1:12" x14ac:dyDescent="0.25">
      <c r="A752" s="2" t="s">
        <v>847</v>
      </c>
      <c r="B752" s="7">
        <v>9.907237963021398E-3</v>
      </c>
      <c r="C752" s="7">
        <v>-3.9820166987795114E-3</v>
      </c>
      <c r="D752" s="7">
        <v>-6.6666666666667096E-3</v>
      </c>
      <c r="E752" s="7">
        <v>3.4671725155443145E-2</v>
      </c>
      <c r="F752" s="7">
        <v>5.7152646227105475E-3</v>
      </c>
      <c r="G752" s="7"/>
      <c r="H752" s="7">
        <f t="shared" si="47"/>
        <v>4.1919733403108506E-3</v>
      </c>
      <c r="I752" s="7">
        <f t="shared" si="48"/>
        <v>-9.6972813214900588E-3</v>
      </c>
      <c r="J752" s="7">
        <f t="shared" si="49"/>
        <v>-1.2381931289377257E-2</v>
      </c>
      <c r="K752" s="7">
        <f t="shared" si="50"/>
        <v>2.8956460532732597E-2</v>
      </c>
      <c r="L752" s="7"/>
    </row>
    <row r="753" spans="1:12" x14ac:dyDescent="0.25">
      <c r="A753" s="2" t="s">
        <v>848</v>
      </c>
      <c r="B753" s="7">
        <v>1.9755469755469601E-2</v>
      </c>
      <c r="C753" s="7">
        <v>1.4200104220948306E-2</v>
      </c>
      <c r="D753" s="7">
        <v>1.6949152542372836E-2</v>
      </c>
      <c r="E753" s="7">
        <v>1.5409309791332149E-2</v>
      </c>
      <c r="F753" s="7">
        <v>1.4237259113583312E-2</v>
      </c>
      <c r="G753" s="7"/>
      <c r="H753" s="7">
        <f t="shared" si="47"/>
        <v>5.5182106418862897E-3</v>
      </c>
      <c r="I753" s="7">
        <f t="shared" si="48"/>
        <v>-3.7154892635005154E-5</v>
      </c>
      <c r="J753" s="7">
        <f t="shared" si="49"/>
        <v>2.7118934287895247E-3</v>
      </c>
      <c r="K753" s="7">
        <f t="shared" si="50"/>
        <v>1.1720506777488371E-3</v>
      </c>
      <c r="L753" s="7"/>
    </row>
    <row r="754" spans="1:12" x14ac:dyDescent="0.25">
      <c r="A754" s="2" t="s">
        <v>849</v>
      </c>
      <c r="B754" s="7">
        <v>-3.9738495064735035E-3</v>
      </c>
      <c r="C754" s="7">
        <v>2.4813895781639062E-3</v>
      </c>
      <c r="D754" s="7">
        <v>-2.3178807947019764E-2</v>
      </c>
      <c r="E754" s="7">
        <v>0.14256021518523032</v>
      </c>
      <c r="F754" s="7">
        <v>-1.5738410521103363E-3</v>
      </c>
      <c r="G754" s="7"/>
      <c r="H754" s="7">
        <f t="shared" si="47"/>
        <v>-2.4000084543631672E-3</v>
      </c>
      <c r="I754" s="7">
        <f t="shared" si="48"/>
        <v>4.0552306302742425E-3</v>
      </c>
      <c r="J754" s="7">
        <f t="shared" si="49"/>
        <v>-2.1604966894909428E-2</v>
      </c>
      <c r="K754" s="7">
        <f t="shared" si="50"/>
        <v>0.14413405623734066</v>
      </c>
      <c r="L754" s="7"/>
    </row>
    <row r="755" spans="1:12" x14ac:dyDescent="0.25">
      <c r="A755" s="2" t="s">
        <v>146</v>
      </c>
      <c r="B755" s="7">
        <v>-1.2281590276019272E-2</v>
      </c>
      <c r="C755" s="7">
        <v>3.5386631716907146E-3</v>
      </c>
      <c r="D755" s="7">
        <v>-9.8360655737704805E-3</v>
      </c>
      <c r="E755" s="7">
        <v>-8.9664364473523994E-3</v>
      </c>
      <c r="F755" s="7">
        <v>1.6469444647304599E-3</v>
      </c>
      <c r="G755" s="7"/>
      <c r="H755" s="7">
        <f t="shared" si="47"/>
        <v>-1.3928534740749732E-2</v>
      </c>
      <c r="I755" s="7">
        <f t="shared" si="48"/>
        <v>1.8917187069602548E-3</v>
      </c>
      <c r="J755" s="7">
        <f t="shared" si="49"/>
        <v>-1.148301003850094E-2</v>
      </c>
      <c r="K755" s="7">
        <f t="shared" si="50"/>
        <v>-1.0613380912082859E-2</v>
      </c>
      <c r="L755" s="7"/>
    </row>
    <row r="756" spans="1:12" x14ac:dyDescent="0.25">
      <c r="A756" s="2" t="s">
        <v>850</v>
      </c>
      <c r="B756" s="7">
        <v>8.2982254564025748E-3</v>
      </c>
      <c r="C756" s="7">
        <v>1.312335958005173E-3</v>
      </c>
      <c r="D756" s="7">
        <v>0</v>
      </c>
      <c r="E756" s="7">
        <v>4.3811610076669449E-3</v>
      </c>
      <c r="F756" s="7">
        <v>5.6398022650376856E-3</v>
      </c>
      <c r="G756" s="7"/>
      <c r="H756" s="7">
        <f t="shared" si="47"/>
        <v>2.6584231913648892E-3</v>
      </c>
      <c r="I756" s="7">
        <f t="shared" si="48"/>
        <v>-4.3274663070325126E-3</v>
      </c>
      <c r="J756" s="7">
        <f t="shared" si="49"/>
        <v>-5.6398022650376856E-3</v>
      </c>
      <c r="K756" s="7">
        <f t="shared" si="50"/>
        <v>-1.2586412573707406E-3</v>
      </c>
      <c r="L756" s="7"/>
    </row>
    <row r="757" spans="1:12" x14ac:dyDescent="0.25">
      <c r="A757" s="2" t="s">
        <v>851</v>
      </c>
      <c r="B757" s="7">
        <v>6.9417662938680014E-3</v>
      </c>
      <c r="C757" s="7">
        <v>-5.3517817517294564E-3</v>
      </c>
      <c r="D757" s="7">
        <v>-1.6129032258064613E-2</v>
      </c>
      <c r="E757" s="7">
        <v>3.4365558912386795E-2</v>
      </c>
      <c r="F757" s="7">
        <v>2.9845287111662788E-3</v>
      </c>
      <c r="G757" s="7"/>
      <c r="H757" s="7">
        <f t="shared" si="47"/>
        <v>3.9572375827017225E-3</v>
      </c>
      <c r="I757" s="7">
        <f t="shared" si="48"/>
        <v>-8.3363104628957352E-3</v>
      </c>
      <c r="J757" s="7">
        <f t="shared" si="49"/>
        <v>-1.9113560969230892E-2</v>
      </c>
      <c r="K757" s="7">
        <f t="shared" si="50"/>
        <v>3.1381030201220517E-2</v>
      </c>
      <c r="L757" s="7"/>
    </row>
    <row r="758" spans="1:12" x14ac:dyDescent="0.25">
      <c r="A758" s="2" t="s">
        <v>852</v>
      </c>
      <c r="B758" s="7">
        <v>-9.1077001464873186E-3</v>
      </c>
      <c r="C758" s="7">
        <v>-2.630910015251664E-2</v>
      </c>
      <c r="D758" s="7">
        <v>-1.8987341772151889E-2</v>
      </c>
      <c r="E758" s="7">
        <v>-6.2900993835701691E-4</v>
      </c>
      <c r="F758" s="7">
        <v>-1.646318766285193E-2</v>
      </c>
      <c r="G758" s="7"/>
      <c r="H758" s="7">
        <f t="shared" si="47"/>
        <v>7.3554875163646116E-3</v>
      </c>
      <c r="I758" s="7">
        <f t="shared" si="48"/>
        <v>-9.8459124896647099E-3</v>
      </c>
      <c r="J758" s="7">
        <f t="shared" si="49"/>
        <v>-2.5241541092999586E-3</v>
      </c>
      <c r="K758" s="7">
        <f t="shared" si="50"/>
        <v>1.5834177724494913E-2</v>
      </c>
      <c r="L758" s="7"/>
    </row>
    <row r="759" spans="1:12" x14ac:dyDescent="0.25">
      <c r="A759" s="2" t="s">
        <v>853</v>
      </c>
      <c r="B759" s="7">
        <v>1.1988398324202398E-2</v>
      </c>
      <c r="C759" s="7">
        <v>-2.5412960609905166E-4</v>
      </c>
      <c r="D759" s="7">
        <v>7.8498293515358419E-2</v>
      </c>
      <c r="E759" s="7">
        <v>3.3277005069543675E-2</v>
      </c>
      <c r="F759" s="7">
        <v>1.2982181765728518E-2</v>
      </c>
      <c r="G759" s="7"/>
      <c r="H759" s="7">
        <f t="shared" si="47"/>
        <v>-9.937834415261193E-4</v>
      </c>
      <c r="I759" s="7">
        <f t="shared" si="48"/>
        <v>-1.3236311371827569E-2</v>
      </c>
      <c r="J759" s="7">
        <f t="shared" si="49"/>
        <v>6.5516111749629902E-2</v>
      </c>
      <c r="K759" s="7">
        <f t="shared" si="50"/>
        <v>2.0294823303815157E-2</v>
      </c>
      <c r="L759" s="7"/>
    </row>
    <row r="760" spans="1:12" x14ac:dyDescent="0.25">
      <c r="A760" s="2" t="s">
        <v>147</v>
      </c>
      <c r="B760" s="7">
        <v>1.5446037044309247E-2</v>
      </c>
      <c r="C760" s="7">
        <v>1.260936695831183E-2</v>
      </c>
      <c r="D760" s="7">
        <v>5.3956834532374209E-2</v>
      </c>
      <c r="E760" s="7">
        <v>-8.1227436823103627E-3</v>
      </c>
      <c r="F760" s="7">
        <v>8.9183585930798781E-3</v>
      </c>
      <c r="G760" s="7"/>
      <c r="H760" s="7">
        <f t="shared" si="47"/>
        <v>6.5276784512293684E-3</v>
      </c>
      <c r="I760" s="7">
        <f t="shared" si="48"/>
        <v>3.6910083652319514E-3</v>
      </c>
      <c r="J760" s="7">
        <f t="shared" si="49"/>
        <v>4.5038475939294331E-2</v>
      </c>
      <c r="K760" s="7">
        <f t="shared" si="50"/>
        <v>-1.7041102275390241E-2</v>
      </c>
      <c r="L760" s="7"/>
    </row>
    <row r="761" spans="1:12" x14ac:dyDescent="0.25">
      <c r="A761" s="2" t="s">
        <v>854</v>
      </c>
      <c r="B761" s="7">
        <v>-5.4029423252180964E-3</v>
      </c>
      <c r="C761" s="7">
        <v>-1.1447468837445962E-2</v>
      </c>
      <c r="D761" s="7">
        <v>-7.1428571428571175E-3</v>
      </c>
      <c r="E761" s="7">
        <v>-6.6598360655737432E-3</v>
      </c>
      <c r="F761" s="7">
        <v>-1.101942286909019E-2</v>
      </c>
      <c r="G761" s="7"/>
      <c r="H761" s="7">
        <f t="shared" si="47"/>
        <v>5.6164805438720933E-3</v>
      </c>
      <c r="I761" s="7">
        <f t="shared" si="48"/>
        <v>-4.2804596835577247E-4</v>
      </c>
      <c r="J761" s="7">
        <f t="shared" si="49"/>
        <v>3.8765657262330722E-3</v>
      </c>
      <c r="K761" s="7">
        <f t="shared" si="50"/>
        <v>4.3595868035164465E-3</v>
      </c>
      <c r="L761" s="7"/>
    </row>
    <row r="762" spans="1:12" x14ac:dyDescent="0.25">
      <c r="A762" s="2" t="s">
        <v>855</v>
      </c>
      <c r="B762" s="7">
        <v>1.8632716663351312E-2</v>
      </c>
      <c r="C762" s="7">
        <v>1.3928295073510455E-2</v>
      </c>
      <c r="D762" s="7">
        <v>-4.1095890410958957E-2</v>
      </c>
      <c r="E762" s="7">
        <v>8.6552125048444672E-3</v>
      </c>
      <c r="F762" s="7">
        <v>1.7561980816715783E-2</v>
      </c>
      <c r="G762" s="7"/>
      <c r="H762" s="7">
        <f t="shared" si="47"/>
        <v>1.0707358466355288E-3</v>
      </c>
      <c r="I762" s="7">
        <f t="shared" si="48"/>
        <v>-3.6336857432053282E-3</v>
      </c>
      <c r="J762" s="7">
        <f t="shared" si="49"/>
        <v>-5.865787122767474E-2</v>
      </c>
      <c r="K762" s="7">
        <f t="shared" si="50"/>
        <v>-8.9067683118713159E-3</v>
      </c>
      <c r="L762" s="7"/>
    </row>
    <row r="763" spans="1:12" x14ac:dyDescent="0.25">
      <c r="A763" s="2" t="s">
        <v>856</v>
      </c>
      <c r="B763" s="7">
        <v>2.6593976464330815E-3</v>
      </c>
      <c r="C763" s="7">
        <v>0</v>
      </c>
      <c r="D763" s="7">
        <v>-5.5016181229773475E-2</v>
      </c>
      <c r="E763" s="7">
        <v>-2.7878940097952998E-2</v>
      </c>
      <c r="F763" s="7">
        <v>-6.9808562265104568E-3</v>
      </c>
      <c r="G763" s="7"/>
      <c r="H763" s="7">
        <f t="shared" si="47"/>
        <v>9.6402538729435383E-3</v>
      </c>
      <c r="I763" s="7">
        <f t="shared" si="48"/>
        <v>6.9808562265104568E-3</v>
      </c>
      <c r="J763" s="7">
        <f t="shared" si="49"/>
        <v>-4.8035325003263019E-2</v>
      </c>
      <c r="K763" s="7">
        <f t="shared" si="50"/>
        <v>-2.0898083871442541E-2</v>
      </c>
      <c r="L763" s="7"/>
    </row>
    <row r="764" spans="1:12" x14ac:dyDescent="0.25">
      <c r="A764" s="2" t="s">
        <v>857</v>
      </c>
      <c r="B764" s="7">
        <v>1.4091154261057115E-2</v>
      </c>
      <c r="C764" s="7">
        <v>-6.9159836065573188E-3</v>
      </c>
      <c r="D764" s="7">
        <v>3.691275167785224E-2</v>
      </c>
      <c r="E764" s="7">
        <v>1.1431474660231089E-2</v>
      </c>
      <c r="F764" s="7">
        <v>1.6476647924144494E-2</v>
      </c>
      <c r="G764" s="7"/>
      <c r="H764" s="7">
        <f t="shared" si="47"/>
        <v>-2.3854936630873791E-3</v>
      </c>
      <c r="I764" s="7">
        <f t="shared" si="48"/>
        <v>-2.3392631530701813E-2</v>
      </c>
      <c r="J764" s="7">
        <f t="shared" si="49"/>
        <v>2.0436103753707746E-2</v>
      </c>
      <c r="K764" s="7">
        <f t="shared" si="50"/>
        <v>-5.045173263913405E-3</v>
      </c>
      <c r="L764" s="7"/>
    </row>
    <row r="765" spans="1:12" x14ac:dyDescent="0.25">
      <c r="A765" s="2" t="s">
        <v>148</v>
      </c>
      <c r="B765" s="7">
        <v>1.3253176663478694E-2</v>
      </c>
      <c r="C765" s="7">
        <v>-5.4770092981786256E-3</v>
      </c>
      <c r="D765" s="7">
        <v>-3.2467532467532534E-2</v>
      </c>
      <c r="E765" s="7">
        <v>-7.6151795913192988E-4</v>
      </c>
      <c r="F765" s="7">
        <v>-1.5097408062482165E-3</v>
      </c>
      <c r="G765" s="7"/>
      <c r="H765" s="7">
        <f t="shared" si="47"/>
        <v>1.4762917469726911E-2</v>
      </c>
      <c r="I765" s="7">
        <f t="shared" si="48"/>
        <v>-3.9672684919304091E-3</v>
      </c>
      <c r="J765" s="7">
        <f t="shared" si="49"/>
        <v>-3.0957791661284317E-2</v>
      </c>
      <c r="K765" s="7">
        <f t="shared" si="50"/>
        <v>7.4822284711628662E-4</v>
      </c>
      <c r="L765" s="7"/>
    </row>
    <row r="766" spans="1:12" x14ac:dyDescent="0.25">
      <c r="A766" s="2" t="s">
        <v>858</v>
      </c>
      <c r="B766" s="7">
        <v>-1.3877661007814623E-2</v>
      </c>
      <c r="C766" s="7">
        <v>-1.3817359628187309E-2</v>
      </c>
      <c r="D766" s="7">
        <v>-1.5974440894568676E-2</v>
      </c>
      <c r="E766" s="7">
        <v>-4.9254862338974359E-3</v>
      </c>
      <c r="F766" s="7">
        <v>-1.4478143694236278E-2</v>
      </c>
      <c r="G766" s="7"/>
      <c r="H766" s="7">
        <f t="shared" si="47"/>
        <v>6.0048268642165503E-4</v>
      </c>
      <c r="I766" s="7">
        <f t="shared" si="48"/>
        <v>6.6078406604896944E-4</v>
      </c>
      <c r="J766" s="7">
        <f t="shared" si="49"/>
        <v>-1.4962972003323971E-3</v>
      </c>
      <c r="K766" s="7">
        <f t="shared" si="50"/>
        <v>9.5526574603388426E-3</v>
      </c>
      <c r="L766" s="7"/>
    </row>
    <row r="767" spans="1:12" x14ac:dyDescent="0.25">
      <c r="A767" s="2" t="s">
        <v>859</v>
      </c>
      <c r="B767" s="7">
        <v>-1.4931315946645429E-2</v>
      </c>
      <c r="C767" s="7">
        <v>-1.5337043908472459E-2</v>
      </c>
      <c r="D767" s="7">
        <v>-4.57317073170731E-2</v>
      </c>
      <c r="E767" s="7">
        <v>-4.1172196657786264E-2</v>
      </c>
      <c r="F767" s="7">
        <v>-1.8459372596762003E-2</v>
      </c>
      <c r="G767" s="7"/>
      <c r="H767" s="7">
        <f t="shared" si="47"/>
        <v>3.5280566501165733E-3</v>
      </c>
      <c r="I767" s="7">
        <f t="shared" si="48"/>
        <v>3.122328688289544E-3</v>
      </c>
      <c r="J767" s="7">
        <f t="shared" si="49"/>
        <v>-2.7272334720311098E-2</v>
      </c>
      <c r="K767" s="7">
        <f t="shared" si="50"/>
        <v>-2.2712824061024262E-2</v>
      </c>
      <c r="L767" s="7"/>
    </row>
    <row r="768" spans="1:12" x14ac:dyDescent="0.25">
      <c r="A768" s="2" t="s">
        <v>860</v>
      </c>
      <c r="B768" s="7">
        <v>8.3645610278373361E-3</v>
      </c>
      <c r="C768" s="7">
        <v>7.4266617155571701E-4</v>
      </c>
      <c r="D768" s="7">
        <v>2.1806853582554409E-2</v>
      </c>
      <c r="E768" s="7">
        <v>-2.005458644832081E-2</v>
      </c>
      <c r="F768" s="7">
        <v>1.4148210025664021E-3</v>
      </c>
      <c r="G768" s="7"/>
      <c r="H768" s="7">
        <f t="shared" si="47"/>
        <v>6.949740025270934E-3</v>
      </c>
      <c r="I768" s="7">
        <f t="shared" si="48"/>
        <v>-6.7215483101068507E-4</v>
      </c>
      <c r="J768" s="7">
        <f t="shared" si="49"/>
        <v>2.0392032579988006E-2</v>
      </c>
      <c r="K768" s="7">
        <f t="shared" si="50"/>
        <v>-2.1469407450887212E-2</v>
      </c>
      <c r="L768" s="7"/>
    </row>
    <row r="769" spans="1:12" x14ac:dyDescent="0.25">
      <c r="A769" s="2" t="s">
        <v>861</v>
      </c>
      <c r="B769" s="7">
        <v>-1.4443052166457804E-2</v>
      </c>
      <c r="C769" s="7">
        <v>-2.5922353508560314E-2</v>
      </c>
      <c r="D769" s="7">
        <v>3.1249999999998224E-3</v>
      </c>
      <c r="E769" s="7">
        <v>-9.869580542826939E-3</v>
      </c>
      <c r="F769" s="7">
        <v>-1.5326967063694075E-2</v>
      </c>
      <c r="G769" s="7"/>
      <c r="H769" s="7">
        <f t="shared" si="47"/>
        <v>8.8391489723627092E-4</v>
      </c>
      <c r="I769" s="7">
        <f t="shared" si="48"/>
        <v>-1.0595386444866239E-2</v>
      </c>
      <c r="J769" s="7">
        <f t="shared" si="49"/>
        <v>1.8451967063693897E-2</v>
      </c>
      <c r="K769" s="7">
        <f t="shared" si="50"/>
        <v>5.4573865208671357E-3</v>
      </c>
      <c r="L769" s="7"/>
    </row>
    <row r="770" spans="1:12" x14ac:dyDescent="0.25">
      <c r="A770" s="2" t="s">
        <v>149</v>
      </c>
      <c r="B770" s="7">
        <v>1.8539665479948786E-2</v>
      </c>
      <c r="C770" s="7">
        <v>-1.1913271384322188E-2</v>
      </c>
      <c r="D770" s="7">
        <v>-3.3232628398791486E-2</v>
      </c>
      <c r="E770" s="7">
        <v>-9.3907735649723101E-4</v>
      </c>
      <c r="F770" s="7">
        <v>6.8715950999109765E-4</v>
      </c>
      <c r="G770" s="7"/>
      <c r="H770" s="7">
        <f t="shared" si="47"/>
        <v>1.7852505969957688E-2</v>
      </c>
      <c r="I770" s="7">
        <f t="shared" si="48"/>
        <v>-1.2600430894313286E-2</v>
      </c>
      <c r="J770" s="7">
        <f t="shared" si="49"/>
        <v>-3.3919787908782584E-2</v>
      </c>
      <c r="K770" s="7">
        <f t="shared" si="50"/>
        <v>-1.6262368664883287E-3</v>
      </c>
      <c r="L770" s="7"/>
    </row>
    <row r="771" spans="1:12" x14ac:dyDescent="0.25">
      <c r="A771" s="2" t="s">
        <v>862</v>
      </c>
      <c r="B771" s="7">
        <v>3.5041368281999441E-2</v>
      </c>
      <c r="C771" s="7">
        <v>1.2423109395730325E-2</v>
      </c>
      <c r="D771" s="7">
        <v>9.1463414634147533E-3</v>
      </c>
      <c r="E771" s="7">
        <v>-5.8657907085868377E-4</v>
      </c>
      <c r="F771" s="7">
        <v>1.61477890665227E-2</v>
      </c>
      <c r="G771" s="7"/>
      <c r="H771" s="7">
        <f t="shared" ref="H771:H834" si="51">B771-$F771</f>
        <v>1.8893579215476741E-2</v>
      </c>
      <c r="I771" s="7">
        <f t="shared" ref="I771:I834" si="52">C771-$F771</f>
        <v>-3.7246796707923746E-3</v>
      </c>
      <c r="J771" s="7">
        <f t="shared" ref="J771:J834" si="53">D771-$F771</f>
        <v>-7.0014476031079464E-3</v>
      </c>
      <c r="K771" s="7">
        <f t="shared" ref="K771:K834" si="54">E771-$F771</f>
        <v>-1.6734368137381384E-2</v>
      </c>
      <c r="L771" s="7"/>
    </row>
    <row r="772" spans="1:12" x14ac:dyDescent="0.25">
      <c r="A772" s="2" t="s">
        <v>863</v>
      </c>
      <c r="B772" s="7">
        <v>4.1890665363402135E-3</v>
      </c>
      <c r="C772" s="7">
        <v>-2.8863499699339767E-3</v>
      </c>
      <c r="D772" s="7">
        <v>1.5479876160990669E-2</v>
      </c>
      <c r="E772" s="7">
        <v>-2.2240430762028307E-3</v>
      </c>
      <c r="F772" s="7">
        <v>7.5821419804169565E-3</v>
      </c>
      <c r="G772" s="7"/>
      <c r="H772" s="7">
        <f t="shared" si="51"/>
        <v>-3.393075444076743E-3</v>
      </c>
      <c r="I772" s="7">
        <f t="shared" si="52"/>
        <v>-1.0468491950350933E-2</v>
      </c>
      <c r="J772" s="7">
        <f t="shared" si="53"/>
        <v>7.8977341805737122E-3</v>
      </c>
      <c r="K772" s="7">
        <f t="shared" si="54"/>
        <v>-9.8061850566197872E-3</v>
      </c>
      <c r="L772" s="7"/>
    </row>
    <row r="773" spans="1:12" x14ac:dyDescent="0.25">
      <c r="A773" s="2" t="s">
        <v>864</v>
      </c>
      <c r="B773" s="7">
        <v>-1.4246386785960241E-2</v>
      </c>
      <c r="C773" s="7">
        <v>2.3006889763779625E-2</v>
      </c>
      <c r="D773" s="7">
        <v>0</v>
      </c>
      <c r="E773" s="7">
        <v>2.4709127983687296E-2</v>
      </c>
      <c r="F773" s="7">
        <v>-4.7252622696876134E-3</v>
      </c>
      <c r="G773" s="7"/>
      <c r="H773" s="7">
        <f t="shared" si="51"/>
        <v>-9.5211245162726277E-3</v>
      </c>
      <c r="I773" s="7">
        <f t="shared" si="52"/>
        <v>2.7732152033467239E-2</v>
      </c>
      <c r="J773" s="7">
        <f t="shared" si="53"/>
        <v>4.7252622696876134E-3</v>
      </c>
      <c r="K773" s="7">
        <f t="shared" si="54"/>
        <v>2.9434390253374909E-2</v>
      </c>
      <c r="L773" s="7"/>
    </row>
    <row r="774" spans="1:12" x14ac:dyDescent="0.25">
      <c r="A774" s="2" t="s">
        <v>865</v>
      </c>
      <c r="B774" s="7">
        <v>-3.4977024895410658E-3</v>
      </c>
      <c r="C774" s="7">
        <v>-4.8971596474045587E-3</v>
      </c>
      <c r="D774" s="7">
        <v>4.1935483870967794E-2</v>
      </c>
      <c r="E774" s="7">
        <v>-1.6399244926852297E-2</v>
      </c>
      <c r="F774" s="7">
        <v>-3.0359797500902896E-3</v>
      </c>
      <c r="G774" s="7"/>
      <c r="H774" s="7">
        <f t="shared" si="51"/>
        <v>-4.6172273945077613E-4</v>
      </c>
      <c r="I774" s="7">
        <f t="shared" si="52"/>
        <v>-1.861179897314269E-3</v>
      </c>
      <c r="J774" s="7">
        <f t="shared" si="53"/>
        <v>4.4971463621058083E-2</v>
      </c>
      <c r="K774" s="7">
        <f t="shared" si="54"/>
        <v>-1.3363265176762007E-2</v>
      </c>
      <c r="L774" s="7"/>
    </row>
    <row r="775" spans="1:12" x14ac:dyDescent="0.25">
      <c r="A775" s="2" t="s">
        <v>150</v>
      </c>
      <c r="B775" s="7">
        <v>8.2981813152616102E-3</v>
      </c>
      <c r="C775" s="7">
        <v>4.3034550596336985E-3</v>
      </c>
      <c r="D775" s="7">
        <v>0.11913357400722013</v>
      </c>
      <c r="E775" s="7">
        <v>2.8395646000947128E-3</v>
      </c>
      <c r="F775" s="7">
        <v>3.0730168965551474E-3</v>
      </c>
      <c r="G775" s="7"/>
      <c r="H775" s="7">
        <f t="shared" si="51"/>
        <v>5.2251644187064628E-3</v>
      </c>
      <c r="I775" s="7">
        <f t="shared" si="52"/>
        <v>1.230438163078551E-3</v>
      </c>
      <c r="J775" s="7">
        <f t="shared" si="53"/>
        <v>0.11606055711066499</v>
      </c>
      <c r="K775" s="7">
        <f t="shared" si="54"/>
        <v>-2.3345229646043464E-4</v>
      </c>
      <c r="L775" s="7"/>
    </row>
    <row r="776" spans="1:12" x14ac:dyDescent="0.25">
      <c r="A776" s="2" t="s">
        <v>866</v>
      </c>
      <c r="B776" s="7">
        <v>-1.8062062877707619E-2</v>
      </c>
      <c r="C776" s="7">
        <v>-1.0222709017889797E-2</v>
      </c>
      <c r="D776" s="7">
        <v>-1.0714285714285676E-2</v>
      </c>
      <c r="E776" s="7">
        <v>-5.4797584433012858E-2</v>
      </c>
      <c r="F776" s="7">
        <v>-1.0537544363360851E-2</v>
      </c>
      <c r="G776" s="7"/>
      <c r="H776" s="7">
        <f t="shared" si="51"/>
        <v>-7.5245185143467674E-3</v>
      </c>
      <c r="I776" s="7">
        <f t="shared" si="52"/>
        <v>3.1483534547105396E-4</v>
      </c>
      <c r="J776" s="7">
        <f t="shared" si="53"/>
        <v>-1.7674135092482501E-4</v>
      </c>
      <c r="K776" s="7">
        <f t="shared" si="54"/>
        <v>-4.4260040069652007E-2</v>
      </c>
      <c r="L776" s="7"/>
    </row>
    <row r="777" spans="1:12" x14ac:dyDescent="0.25">
      <c r="A777" s="2" t="s">
        <v>867</v>
      </c>
      <c r="B777" s="7">
        <v>3.3383294726803125E-3</v>
      </c>
      <c r="C777" s="7">
        <v>-2.4333860566971843E-4</v>
      </c>
      <c r="D777" s="7">
        <v>5.6603773584905648E-2</v>
      </c>
      <c r="E777" s="7">
        <v>-6.5548272414176489E-3</v>
      </c>
      <c r="F777" s="7">
        <v>5.3294245875146196E-3</v>
      </c>
      <c r="G777" s="7"/>
      <c r="H777" s="7">
        <f t="shared" si="51"/>
        <v>-1.991095114834307E-3</v>
      </c>
      <c r="I777" s="7">
        <f t="shared" si="52"/>
        <v>-5.572763193184338E-3</v>
      </c>
      <c r="J777" s="7">
        <f t="shared" si="53"/>
        <v>5.1274348997391028E-2</v>
      </c>
      <c r="K777" s="7">
        <f t="shared" si="54"/>
        <v>-1.1884251828932269E-2</v>
      </c>
      <c r="L777" s="7"/>
    </row>
    <row r="778" spans="1:12" x14ac:dyDescent="0.25">
      <c r="A778" s="2" t="s">
        <v>868</v>
      </c>
      <c r="B778" s="7">
        <v>2.869636512708329E-3</v>
      </c>
      <c r="C778" s="7">
        <v>-2.7905848095123309E-3</v>
      </c>
      <c r="D778" s="7">
        <v>-1.1194029850746356E-2</v>
      </c>
      <c r="E778" s="7">
        <v>-3.4322409211690053E-3</v>
      </c>
      <c r="F778" s="7">
        <v>-1.5735464083616035E-3</v>
      </c>
      <c r="G778" s="7"/>
      <c r="H778" s="7">
        <f t="shared" si="51"/>
        <v>4.4431829210699325E-3</v>
      </c>
      <c r="I778" s="7">
        <f t="shared" si="52"/>
        <v>-1.2170384011507274E-3</v>
      </c>
      <c r="J778" s="7">
        <f t="shared" si="53"/>
        <v>-9.6204834423847529E-3</v>
      </c>
      <c r="K778" s="7">
        <f t="shared" si="54"/>
        <v>-1.8586945128074017E-3</v>
      </c>
      <c r="L778" s="7"/>
    </row>
    <row r="779" spans="1:12" x14ac:dyDescent="0.25">
      <c r="A779" s="2" t="s">
        <v>869</v>
      </c>
      <c r="B779" s="7">
        <v>-2.6667553368358021E-2</v>
      </c>
      <c r="C779" s="7">
        <v>-3.3083059596433539E-2</v>
      </c>
      <c r="D779" s="7">
        <v>0</v>
      </c>
      <c r="E779" s="7">
        <v>-4.9062960623289187E-2</v>
      </c>
      <c r="F779" s="7">
        <v>-2.0041234687148357E-2</v>
      </c>
      <c r="G779" s="7"/>
      <c r="H779" s="7">
        <f t="shared" si="51"/>
        <v>-6.6263186812096642E-3</v>
      </c>
      <c r="I779" s="7">
        <f t="shared" si="52"/>
        <v>-1.3041824909285182E-2</v>
      </c>
      <c r="J779" s="7">
        <f t="shared" si="53"/>
        <v>2.0041234687148357E-2</v>
      </c>
      <c r="K779" s="7">
        <f t="shared" si="54"/>
        <v>-2.902172593614083E-2</v>
      </c>
      <c r="L779" s="7"/>
    </row>
    <row r="780" spans="1:12" x14ac:dyDescent="0.25">
      <c r="A780" s="2" t="s">
        <v>870</v>
      </c>
      <c r="B780" s="7">
        <v>-7.5242558246979563E-3</v>
      </c>
      <c r="C780" s="7">
        <v>8.7573964497040802E-3</v>
      </c>
      <c r="D780" s="7">
        <v>-2.5454545454545396E-2</v>
      </c>
      <c r="E780" s="7">
        <v>-3.0024509803921573E-2</v>
      </c>
      <c r="F780" s="7">
        <v>-2.7674487398573477E-3</v>
      </c>
      <c r="G780" s="7"/>
      <c r="H780" s="7">
        <f t="shared" si="51"/>
        <v>-4.7568070848406085E-3</v>
      </c>
      <c r="I780" s="7">
        <f t="shared" si="52"/>
        <v>1.1524845189561428E-2</v>
      </c>
      <c r="J780" s="7">
        <f t="shared" si="53"/>
        <v>-2.2687096714688049E-2</v>
      </c>
      <c r="K780" s="7">
        <f t="shared" si="54"/>
        <v>-2.7257061064064225E-2</v>
      </c>
      <c r="L780" s="7"/>
    </row>
    <row r="781" spans="1:12" x14ac:dyDescent="0.25">
      <c r="A781" s="2" t="s">
        <v>871</v>
      </c>
      <c r="B781" s="7">
        <v>-1.0450003265626173E-2</v>
      </c>
      <c r="C781" s="7">
        <v>-1.134901134901134E-2</v>
      </c>
      <c r="D781" s="7">
        <v>7.3260073260073E-3</v>
      </c>
      <c r="E781" s="7">
        <v>3.0646644192455774E-4</v>
      </c>
      <c r="F781" s="7">
        <v>-1.378869707782826E-2</v>
      </c>
      <c r="G781" s="7"/>
      <c r="H781" s="7">
        <f t="shared" si="51"/>
        <v>3.3386938122020871E-3</v>
      </c>
      <c r="I781" s="7">
        <f t="shared" si="52"/>
        <v>2.4396857288169205E-3</v>
      </c>
      <c r="J781" s="7">
        <f t="shared" si="53"/>
        <v>2.111470440383556E-2</v>
      </c>
      <c r="K781" s="7">
        <f t="shared" si="54"/>
        <v>1.4095163519752818E-2</v>
      </c>
      <c r="L781" s="7"/>
    </row>
    <row r="782" spans="1:12" x14ac:dyDescent="0.25">
      <c r="A782" s="2" t="s">
        <v>872</v>
      </c>
      <c r="B782" s="7">
        <v>1.3906363816965861E-2</v>
      </c>
      <c r="C782" s="7">
        <v>5.0564440263405341E-3</v>
      </c>
      <c r="D782" s="7">
        <v>3.0188679245283012E-2</v>
      </c>
      <c r="E782" s="7">
        <v>-1.101232572236821E-2</v>
      </c>
      <c r="F782" s="7">
        <v>2.7731236687436045E-3</v>
      </c>
      <c r="G782" s="7"/>
      <c r="H782" s="7">
        <f t="shared" si="51"/>
        <v>1.1133240148222256E-2</v>
      </c>
      <c r="I782" s="7">
        <f t="shared" si="52"/>
        <v>2.2833203575969296E-3</v>
      </c>
      <c r="J782" s="7">
        <f t="shared" si="53"/>
        <v>2.7415555576539408E-2</v>
      </c>
      <c r="K782" s="7">
        <f t="shared" si="54"/>
        <v>-1.3785449391111815E-2</v>
      </c>
      <c r="L782" s="7"/>
    </row>
    <row r="783" spans="1:12" x14ac:dyDescent="0.25">
      <c r="A783" s="2" t="s">
        <v>873</v>
      </c>
      <c r="B783" s="7">
        <v>-4.2202439828553651E-3</v>
      </c>
      <c r="C783" s="7">
        <v>-9.3196644920782168E-3</v>
      </c>
      <c r="D783" s="7">
        <v>3.1128404669260812E-2</v>
      </c>
      <c r="E783" s="7">
        <v>-5.4260450160771301E-3</v>
      </c>
      <c r="F783" s="7">
        <v>-2.8037676836767389E-4</v>
      </c>
      <c r="G783" s="7"/>
      <c r="H783" s="7">
        <f t="shared" si="51"/>
        <v>-3.9398672144876912E-3</v>
      </c>
      <c r="I783" s="7">
        <f t="shared" si="52"/>
        <v>-9.0392877237105429E-3</v>
      </c>
      <c r="J783" s="7">
        <f t="shared" si="53"/>
        <v>3.1408781437628486E-2</v>
      </c>
      <c r="K783" s="7">
        <f t="shared" si="54"/>
        <v>-5.1456682477094562E-3</v>
      </c>
      <c r="L783" s="7"/>
    </row>
    <row r="784" spans="1:12" x14ac:dyDescent="0.25">
      <c r="A784" s="2" t="s">
        <v>151</v>
      </c>
      <c r="B784" s="7">
        <v>1.8810883439704496E-2</v>
      </c>
      <c r="C784" s="7">
        <v>1.2383535794315392E-2</v>
      </c>
      <c r="D784" s="7">
        <v>5.7613168724279795E-2</v>
      </c>
      <c r="E784" s="7">
        <v>1.0971149939049241E-2</v>
      </c>
      <c r="F784" s="7">
        <v>1.1448590134117032E-2</v>
      </c>
      <c r="G784" s="7"/>
      <c r="H784" s="7">
        <f t="shared" si="51"/>
        <v>7.362293305587464E-3</v>
      </c>
      <c r="I784" s="7">
        <f t="shared" si="52"/>
        <v>9.3494566019836078E-4</v>
      </c>
      <c r="J784" s="7">
        <f t="shared" si="53"/>
        <v>4.6164578590162764E-2</v>
      </c>
      <c r="K784" s="7">
        <f t="shared" si="54"/>
        <v>-4.774401950677909E-4</v>
      </c>
      <c r="L784" s="7"/>
    </row>
    <row r="785" spans="1:12" x14ac:dyDescent="0.25">
      <c r="A785" s="2" t="s">
        <v>874</v>
      </c>
      <c r="B785" s="7">
        <v>2.4244056838842454E-3</v>
      </c>
      <c r="C785" s="7">
        <v>8.3244143179925789E-3</v>
      </c>
      <c r="D785" s="7">
        <v>-4.098360655737654E-3</v>
      </c>
      <c r="E785" s="7">
        <v>-4.4271844660194182E-2</v>
      </c>
      <c r="F785" s="7">
        <v>2.1952713463186946E-3</v>
      </c>
      <c r="G785" s="7"/>
      <c r="H785" s="7">
        <f t="shared" si="51"/>
        <v>2.2913433756555079E-4</v>
      </c>
      <c r="I785" s="7">
        <f t="shared" si="52"/>
        <v>6.1291429716738843E-3</v>
      </c>
      <c r="J785" s="7">
        <f t="shared" si="53"/>
        <v>-6.2936320020563485E-3</v>
      </c>
      <c r="K785" s="7">
        <f t="shared" si="54"/>
        <v>-4.6467116006512876E-2</v>
      </c>
      <c r="L785" s="7"/>
    </row>
    <row r="786" spans="1:12" x14ac:dyDescent="0.25">
      <c r="A786" s="2" t="s">
        <v>875</v>
      </c>
      <c r="B786" s="7">
        <v>-6.8887105403959703E-3</v>
      </c>
      <c r="C786" s="7">
        <v>-2.0044283882997282E-2</v>
      </c>
      <c r="D786" s="7">
        <v>1.6666666666666607E-2</v>
      </c>
      <c r="E786" s="7">
        <v>3.1857343217791989E-2</v>
      </c>
      <c r="F786" s="7">
        <v>-8.8298290859815109E-3</v>
      </c>
      <c r="G786" s="7"/>
      <c r="H786" s="7">
        <f t="shared" si="51"/>
        <v>1.9411185455855406E-3</v>
      </c>
      <c r="I786" s="7">
        <f t="shared" si="52"/>
        <v>-1.1214454797015772E-2</v>
      </c>
      <c r="J786" s="7">
        <f t="shared" si="53"/>
        <v>2.5496495752648118E-2</v>
      </c>
      <c r="K786" s="7">
        <f t="shared" si="54"/>
        <v>4.06871723037735E-2</v>
      </c>
      <c r="L786" s="7"/>
    </row>
    <row r="787" spans="1:12" x14ac:dyDescent="0.25">
      <c r="A787" s="2" t="s">
        <v>876</v>
      </c>
      <c r="B787" s="7">
        <v>-1.7672951842848672E-2</v>
      </c>
      <c r="C787" s="7">
        <v>-1.4131433823529438E-2</v>
      </c>
      <c r="D787" s="7">
        <v>-4.1493775933610921E-3</v>
      </c>
      <c r="E787" s="7">
        <v>-3.6929833316698968E-3</v>
      </c>
      <c r="F787" s="7">
        <v>-1.1080691642651352E-2</v>
      </c>
      <c r="G787" s="7"/>
      <c r="H787" s="7">
        <f t="shared" si="51"/>
        <v>-6.5922602001973196E-3</v>
      </c>
      <c r="I787" s="7">
        <f t="shared" si="52"/>
        <v>-3.0507421808780855E-3</v>
      </c>
      <c r="J787" s="7">
        <f t="shared" si="53"/>
        <v>6.9313140492902603E-3</v>
      </c>
      <c r="K787" s="7">
        <f t="shared" si="54"/>
        <v>7.3877083109814556E-3</v>
      </c>
      <c r="L787" s="7"/>
    </row>
    <row r="788" spans="1:12" x14ac:dyDescent="0.25">
      <c r="A788" s="2" t="s">
        <v>877</v>
      </c>
      <c r="B788" s="7">
        <v>1.9217892058390307E-2</v>
      </c>
      <c r="C788" s="7">
        <v>3.4586119437400864E-3</v>
      </c>
      <c r="D788" s="7">
        <v>1.26050420168069E-2</v>
      </c>
      <c r="E788" s="7">
        <v>3.9940089865186934E-4</v>
      </c>
      <c r="F788" s="7">
        <v>1.2872529846171821E-2</v>
      </c>
      <c r="G788" s="7"/>
      <c r="H788" s="7">
        <f t="shared" si="51"/>
        <v>6.3453622122184861E-3</v>
      </c>
      <c r="I788" s="7">
        <f t="shared" si="52"/>
        <v>-9.4139179024317343E-3</v>
      </c>
      <c r="J788" s="7">
        <f t="shared" si="53"/>
        <v>-2.6748782936492077E-4</v>
      </c>
      <c r="K788" s="7">
        <f t="shared" si="54"/>
        <v>-1.2473128947519951E-2</v>
      </c>
      <c r="L788" s="7"/>
    </row>
    <row r="789" spans="1:12" x14ac:dyDescent="0.25">
      <c r="A789" s="2" t="s">
        <v>152</v>
      </c>
      <c r="B789" s="7">
        <v>-1.7887675917401036E-2</v>
      </c>
      <c r="C789" s="7">
        <v>-8.4590763603110686E-3</v>
      </c>
      <c r="D789" s="7">
        <v>5.7777777777777706E-2</v>
      </c>
      <c r="E789" s="7">
        <v>-8.2194493959200088E-3</v>
      </c>
      <c r="F789" s="7">
        <v>-6.1404865973000433E-3</v>
      </c>
      <c r="G789" s="7"/>
      <c r="H789" s="7">
        <f t="shared" si="51"/>
        <v>-1.1747189320100992E-2</v>
      </c>
      <c r="I789" s="7">
        <f t="shared" si="52"/>
        <v>-2.3185897630110253E-3</v>
      </c>
      <c r="J789" s="7">
        <f t="shared" si="53"/>
        <v>6.3918264375077749E-2</v>
      </c>
      <c r="K789" s="7">
        <f t="shared" si="54"/>
        <v>-2.0789627986199655E-3</v>
      </c>
      <c r="L789" s="7"/>
    </row>
    <row r="790" spans="1:12" x14ac:dyDescent="0.25">
      <c r="A790" s="2" t="s">
        <v>878</v>
      </c>
      <c r="B790" s="7">
        <v>2.4386957693344202E-2</v>
      </c>
      <c r="C790" s="7">
        <v>-2.3333705481745959E-2</v>
      </c>
      <c r="D790" s="7">
        <v>4.4642857142855874E-3</v>
      </c>
      <c r="E790" s="7">
        <v>-3.1088082901554404E-2</v>
      </c>
      <c r="F790" s="7">
        <v>-1.0354661511665864E-2</v>
      </c>
      <c r="G790" s="7"/>
      <c r="H790" s="7">
        <f t="shared" si="51"/>
        <v>3.4741619205010066E-2</v>
      </c>
      <c r="I790" s="7">
        <f t="shared" si="52"/>
        <v>-1.2979043970080095E-2</v>
      </c>
      <c r="J790" s="7">
        <f t="shared" si="53"/>
        <v>1.4818947225951451E-2</v>
      </c>
      <c r="K790" s="7">
        <f t="shared" si="54"/>
        <v>-2.073342138988854E-2</v>
      </c>
      <c r="L790" s="7"/>
    </row>
    <row r="791" spans="1:12" x14ac:dyDescent="0.25">
      <c r="A791" s="2" t="s">
        <v>879</v>
      </c>
      <c r="B791" s="7">
        <v>3.7099140641374984E-2</v>
      </c>
      <c r="C791" s="7">
        <v>3.8251999536339287E-2</v>
      </c>
      <c r="D791" s="7">
        <v>-8.8495575221236855E-3</v>
      </c>
      <c r="E791" s="7">
        <v>-2.7254060108269584E-2</v>
      </c>
      <c r="F791" s="7">
        <v>1.4699420519954209E-2</v>
      </c>
      <c r="G791" s="7"/>
      <c r="H791" s="7">
        <f t="shared" si="51"/>
        <v>2.2399720121420774E-2</v>
      </c>
      <c r="I791" s="7">
        <f t="shared" si="52"/>
        <v>2.3552579016385078E-2</v>
      </c>
      <c r="J791" s="7">
        <f t="shared" si="53"/>
        <v>-2.3548978042077895E-2</v>
      </c>
      <c r="K791" s="7">
        <f t="shared" si="54"/>
        <v>-4.1953480628223794E-2</v>
      </c>
      <c r="L791" s="7"/>
    </row>
    <row r="792" spans="1:12" x14ac:dyDescent="0.25">
      <c r="A792" s="2" t="s">
        <v>880</v>
      </c>
      <c r="B792" s="7">
        <v>7.8867685374268692E-3</v>
      </c>
      <c r="C792" s="7">
        <v>6.7685844322558086E-3</v>
      </c>
      <c r="D792" s="7">
        <v>1.8018018018017834E-2</v>
      </c>
      <c r="E792" s="7">
        <v>2.3695776801070156E-2</v>
      </c>
      <c r="F792" s="7">
        <v>1.0452337732424155E-2</v>
      </c>
      <c r="G792" s="7"/>
      <c r="H792" s="7">
        <f t="shared" si="51"/>
        <v>-2.5655691949972859E-3</v>
      </c>
      <c r="I792" s="7">
        <f t="shared" si="52"/>
        <v>-3.6837533001683465E-3</v>
      </c>
      <c r="J792" s="7">
        <f t="shared" si="53"/>
        <v>7.5656802855936789E-3</v>
      </c>
      <c r="K792" s="7">
        <f t="shared" si="54"/>
        <v>1.3243439068646001E-2</v>
      </c>
      <c r="L792" s="7"/>
    </row>
    <row r="793" spans="1:12" x14ac:dyDescent="0.25">
      <c r="A793" s="2" t="s">
        <v>881</v>
      </c>
      <c r="B793" s="7">
        <v>9.0237317038508458E-3</v>
      </c>
      <c r="C793" s="7">
        <v>2.2309711286089273E-2</v>
      </c>
      <c r="D793" s="7">
        <v>1.8348623853211121E-2</v>
      </c>
      <c r="E793" s="7">
        <v>-8.9953602878515282E-3</v>
      </c>
      <c r="F793" s="7">
        <v>1.4642450911824145E-2</v>
      </c>
      <c r="G793" s="7"/>
      <c r="H793" s="7">
        <f t="shared" si="51"/>
        <v>-5.6187192079732995E-3</v>
      </c>
      <c r="I793" s="7">
        <f t="shared" si="52"/>
        <v>7.667260374265128E-3</v>
      </c>
      <c r="J793" s="7">
        <f t="shared" si="53"/>
        <v>3.7061729413869759E-3</v>
      </c>
      <c r="K793" s="7">
        <f t="shared" si="54"/>
        <v>-2.3637811199675673E-2</v>
      </c>
      <c r="L793" s="7"/>
    </row>
    <row r="794" spans="1:12" x14ac:dyDescent="0.25">
      <c r="A794" s="2" t="s">
        <v>153</v>
      </c>
      <c r="B794" s="7">
        <v>-2.0121144607672448E-2</v>
      </c>
      <c r="C794" s="7">
        <v>-2.3190770306491193E-2</v>
      </c>
      <c r="D794" s="7">
        <v>0</v>
      </c>
      <c r="E794" s="7">
        <v>-6.0576409891478389E-2</v>
      </c>
      <c r="F794" s="7">
        <v>-1.2968731575016657E-2</v>
      </c>
      <c r="G794" s="7"/>
      <c r="H794" s="7">
        <f t="shared" si="51"/>
        <v>-7.1524130326557911E-3</v>
      </c>
      <c r="I794" s="7">
        <f t="shared" si="52"/>
        <v>-1.0222038731474536E-2</v>
      </c>
      <c r="J794" s="7">
        <f t="shared" si="53"/>
        <v>1.2968731575016657E-2</v>
      </c>
      <c r="K794" s="7">
        <f t="shared" si="54"/>
        <v>-4.7607678316461732E-2</v>
      </c>
      <c r="L794" s="7"/>
    </row>
    <row r="795" spans="1:12" x14ac:dyDescent="0.25">
      <c r="A795" s="2" t="s">
        <v>882</v>
      </c>
      <c r="B795" s="7">
        <v>1.369186251676191E-2</v>
      </c>
      <c r="C795" s="7">
        <v>1.4902424600828024E-2</v>
      </c>
      <c r="D795" s="7">
        <v>3.3175355450237198E-2</v>
      </c>
      <c r="E795" s="7">
        <v>-1.8165938864628806E-2</v>
      </c>
      <c r="F795" s="7">
        <v>2.4948096630159622E-3</v>
      </c>
      <c r="G795" s="7"/>
      <c r="H795" s="7">
        <f t="shared" si="51"/>
        <v>1.1197052853745948E-2</v>
      </c>
      <c r="I795" s="7">
        <f t="shared" si="52"/>
        <v>1.2407614937812061E-2</v>
      </c>
      <c r="J795" s="7">
        <f t="shared" si="53"/>
        <v>3.0680545787221236E-2</v>
      </c>
      <c r="K795" s="7">
        <f t="shared" si="54"/>
        <v>-2.0660748527644768E-2</v>
      </c>
      <c r="L795" s="7"/>
    </row>
    <row r="796" spans="1:12" x14ac:dyDescent="0.25">
      <c r="A796" s="2" t="s">
        <v>883</v>
      </c>
      <c r="B796" s="7">
        <v>1.4825956166738319E-2</v>
      </c>
      <c r="C796" s="7">
        <v>5.4703294089664123E-3</v>
      </c>
      <c r="D796" s="7">
        <v>-4.7169811320755262E-3</v>
      </c>
      <c r="E796" s="7">
        <v>2.6269702276706663E-3</v>
      </c>
      <c r="F796" s="7">
        <v>1.1007863115068517E-2</v>
      </c>
      <c r="G796" s="7"/>
      <c r="H796" s="7">
        <f t="shared" si="51"/>
        <v>3.818093051669802E-3</v>
      </c>
      <c r="I796" s="7">
        <f t="shared" si="52"/>
        <v>-5.5375337061021046E-3</v>
      </c>
      <c r="J796" s="7">
        <f t="shared" si="53"/>
        <v>-1.5724844247144043E-2</v>
      </c>
      <c r="K796" s="7">
        <f t="shared" si="54"/>
        <v>-8.3808928873978505E-3</v>
      </c>
      <c r="L796" s="7"/>
    </row>
    <row r="797" spans="1:12" x14ac:dyDescent="0.25">
      <c r="A797" s="2" t="s">
        <v>884</v>
      </c>
      <c r="B797" s="7">
        <v>-4.7048759623610215E-3</v>
      </c>
      <c r="C797" s="7">
        <v>-1.7984351278757305E-2</v>
      </c>
      <c r="D797" s="7">
        <v>-1.851851851851849E-2</v>
      </c>
      <c r="E797" s="7">
        <v>6.7883276029268025E-3</v>
      </c>
      <c r="F797" s="7">
        <v>-1.8172991946630024E-4</v>
      </c>
      <c r="G797" s="7"/>
      <c r="H797" s="7">
        <f t="shared" si="51"/>
        <v>-4.5231460428947212E-3</v>
      </c>
      <c r="I797" s="7">
        <f t="shared" si="52"/>
        <v>-1.7802621359291004E-2</v>
      </c>
      <c r="J797" s="7">
        <f t="shared" si="53"/>
        <v>-1.8336788599052189E-2</v>
      </c>
      <c r="K797" s="7">
        <f t="shared" si="54"/>
        <v>6.9700575223931027E-3</v>
      </c>
      <c r="L797" s="7"/>
    </row>
    <row r="798" spans="1:12" x14ac:dyDescent="0.25">
      <c r="A798" s="2" t="s">
        <v>885</v>
      </c>
      <c r="B798" s="7">
        <v>1.0080645161290258E-2</v>
      </c>
      <c r="C798" s="7">
        <v>-6.2102957283680205E-2</v>
      </c>
      <c r="D798" s="7">
        <v>0</v>
      </c>
      <c r="E798" s="7">
        <v>-7.9281183932333743E-4</v>
      </c>
      <c r="F798" s="7">
        <v>-7.1147641306434917E-4</v>
      </c>
      <c r="G798" s="7"/>
      <c r="H798" s="7">
        <f t="shared" si="51"/>
        <v>1.0792121574354607E-2</v>
      </c>
      <c r="I798" s="7">
        <f t="shared" si="52"/>
        <v>-6.1391480870615855E-2</v>
      </c>
      <c r="J798" s="7">
        <f t="shared" si="53"/>
        <v>7.1147641306434917E-4</v>
      </c>
      <c r="K798" s="7">
        <f t="shared" si="54"/>
        <v>-8.1335426258988264E-5</v>
      </c>
      <c r="L798" s="7"/>
    </row>
    <row r="799" spans="1:12" x14ac:dyDescent="0.25">
      <c r="A799" s="2" t="s">
        <v>154</v>
      </c>
      <c r="B799" s="7">
        <v>2.3509470115704811E-2</v>
      </c>
      <c r="C799" s="7">
        <v>1.6364243571189929E-2</v>
      </c>
      <c r="D799" s="7">
        <v>-1.3698630136986245E-2</v>
      </c>
      <c r="E799" s="7">
        <v>-2.723359395589986E-3</v>
      </c>
      <c r="F799" s="7">
        <v>1.1881357596139619E-2</v>
      </c>
      <c r="G799" s="7"/>
      <c r="H799" s="7">
        <f t="shared" si="51"/>
        <v>1.1628112519565192E-2</v>
      </c>
      <c r="I799" s="7">
        <f t="shared" si="52"/>
        <v>4.4828859750503103E-3</v>
      </c>
      <c r="J799" s="7">
        <f t="shared" si="53"/>
        <v>-2.5579987733125864E-2</v>
      </c>
      <c r="K799" s="7">
        <f t="shared" si="54"/>
        <v>-1.4604716991729605E-2</v>
      </c>
      <c r="L799" s="7"/>
    </row>
    <row r="800" spans="1:12" x14ac:dyDescent="0.25">
      <c r="A800" s="2" t="s">
        <v>886</v>
      </c>
      <c r="B800" s="7">
        <v>1.9152771518702316E-2</v>
      </c>
      <c r="C800" s="7">
        <v>1.8711726014969177E-2</v>
      </c>
      <c r="D800" s="7">
        <v>-1.3513513513513598E-2</v>
      </c>
      <c r="E800" s="7">
        <v>2.8088872832369827E-2</v>
      </c>
      <c r="F800" s="7">
        <v>1.8918399015094289E-2</v>
      </c>
      <c r="G800" s="7"/>
      <c r="H800" s="7">
        <f t="shared" si="51"/>
        <v>2.3437250360802686E-4</v>
      </c>
      <c r="I800" s="7">
        <f t="shared" si="52"/>
        <v>-2.0667300012511269E-4</v>
      </c>
      <c r="J800" s="7">
        <f t="shared" si="53"/>
        <v>-3.2431912528607887E-2</v>
      </c>
      <c r="K800" s="7">
        <f t="shared" si="54"/>
        <v>9.1704738172755373E-3</v>
      </c>
      <c r="L800" s="7"/>
    </row>
    <row r="801" spans="1:12" x14ac:dyDescent="0.25">
      <c r="A801" s="2" t="s">
        <v>887</v>
      </c>
      <c r="B801" s="7">
        <v>4.5085662759225542E-4</v>
      </c>
      <c r="C801" s="7">
        <v>-3.5229759299781116E-2</v>
      </c>
      <c r="D801" s="7">
        <v>-3.4782608695651973E-2</v>
      </c>
      <c r="E801" s="7">
        <v>2.9761904761904878E-2</v>
      </c>
      <c r="F801" s="7">
        <v>-7.6383480195273412E-3</v>
      </c>
      <c r="G801" s="7"/>
      <c r="H801" s="7">
        <f t="shared" si="51"/>
        <v>8.0892046471195966E-3</v>
      </c>
      <c r="I801" s="7">
        <f t="shared" si="52"/>
        <v>-2.7591411280253775E-2</v>
      </c>
      <c r="J801" s="7">
        <f t="shared" si="53"/>
        <v>-2.7144260676124632E-2</v>
      </c>
      <c r="K801" s="7">
        <f t="shared" si="54"/>
        <v>3.7400252781432219E-2</v>
      </c>
      <c r="L801" s="7"/>
    </row>
    <row r="802" spans="1:12" x14ac:dyDescent="0.25">
      <c r="A802" s="2" t="s">
        <v>888</v>
      </c>
      <c r="B802" s="7">
        <v>-5.3068241273636074E-3</v>
      </c>
      <c r="C802" s="7">
        <v>-3.0341608317419944E-2</v>
      </c>
      <c r="D802" s="7">
        <v>-2.1276595744680993E-2</v>
      </c>
      <c r="E802" s="7">
        <v>-1.7184643510054887E-2</v>
      </c>
      <c r="F802" s="7">
        <v>-1.5562632643191909E-2</v>
      </c>
      <c r="G802" s="7"/>
      <c r="H802" s="7">
        <f t="shared" si="51"/>
        <v>1.0255808515828302E-2</v>
      </c>
      <c r="I802" s="7">
        <f t="shared" si="52"/>
        <v>-1.4778975674228034E-2</v>
      </c>
      <c r="J802" s="7">
        <f t="shared" si="53"/>
        <v>-5.7139631014890835E-3</v>
      </c>
      <c r="K802" s="7">
        <f t="shared" si="54"/>
        <v>-1.6220108668629774E-3</v>
      </c>
      <c r="L802" s="7"/>
    </row>
    <row r="803" spans="1:12" x14ac:dyDescent="0.25">
      <c r="A803" s="2" t="s">
        <v>889</v>
      </c>
      <c r="B803" s="7">
        <v>8.7461358666967026E-3</v>
      </c>
      <c r="C803" s="7">
        <v>-2.2503370320439697E-2</v>
      </c>
      <c r="D803" s="7">
        <v>2.6200873362445476E-2</v>
      </c>
      <c r="E803" s="7">
        <v>-1.5478761699064036E-2</v>
      </c>
      <c r="F803" s="7">
        <v>-2.0304619300891558E-3</v>
      </c>
      <c r="G803" s="7"/>
      <c r="H803" s="7">
        <f t="shared" si="51"/>
        <v>1.0776597796785858E-2</v>
      </c>
      <c r="I803" s="7">
        <f t="shared" si="52"/>
        <v>-2.0472908390350542E-2</v>
      </c>
      <c r="J803" s="7">
        <f t="shared" si="53"/>
        <v>2.8231335292534632E-2</v>
      </c>
      <c r="K803" s="7">
        <f t="shared" si="54"/>
        <v>-1.3448299768974881E-2</v>
      </c>
      <c r="L803" s="7"/>
    </row>
    <row r="804" spans="1:12" x14ac:dyDescent="0.25">
      <c r="A804" s="2" t="s">
        <v>890</v>
      </c>
      <c r="B804" s="7">
        <v>1.0129474485909951E-2</v>
      </c>
      <c r="C804" s="7">
        <v>1.2459765341086282E-3</v>
      </c>
      <c r="D804" s="7">
        <v>4.0909090909090784E-2</v>
      </c>
      <c r="E804" s="7">
        <v>3.4059184812953669E-2</v>
      </c>
      <c r="F804" s="7">
        <v>3.9968166058692578E-3</v>
      </c>
      <c r="G804" s="7"/>
      <c r="H804" s="7">
        <f t="shared" si="51"/>
        <v>6.1326578800406928E-3</v>
      </c>
      <c r="I804" s="7">
        <f t="shared" si="52"/>
        <v>-2.7508400717606296E-3</v>
      </c>
      <c r="J804" s="7">
        <f t="shared" si="53"/>
        <v>3.6912274303221526E-2</v>
      </c>
      <c r="K804" s="7">
        <f t="shared" si="54"/>
        <v>3.0062368207084411E-2</v>
      </c>
      <c r="L804" s="7"/>
    </row>
    <row r="805" spans="1:12" x14ac:dyDescent="0.25">
      <c r="A805" s="2" t="s">
        <v>891</v>
      </c>
      <c r="B805" s="7">
        <v>-6.0892068808027222E-4</v>
      </c>
      <c r="C805" s="7">
        <v>1.7682546286665879E-3</v>
      </c>
      <c r="D805" s="7">
        <v>1.8518518518518601E-2</v>
      </c>
      <c r="E805" s="7">
        <v>-1.6204339467179474E-2</v>
      </c>
      <c r="F805" s="7">
        <v>3.41595270064321E-3</v>
      </c>
      <c r="G805" s="7"/>
      <c r="H805" s="7">
        <f t="shared" si="51"/>
        <v>-4.0248733887234822E-3</v>
      </c>
      <c r="I805" s="7">
        <f t="shared" si="52"/>
        <v>-1.6476980719766221E-3</v>
      </c>
      <c r="J805" s="7">
        <f t="shared" si="53"/>
        <v>1.5102565817875391E-2</v>
      </c>
      <c r="K805" s="7">
        <f t="shared" si="54"/>
        <v>-1.9620292167822684E-2</v>
      </c>
      <c r="L805" s="7"/>
    </row>
    <row r="806" spans="1:12" x14ac:dyDescent="0.25">
      <c r="A806" s="2" t="s">
        <v>892</v>
      </c>
      <c r="B806" s="7">
        <v>2.106163052770671E-2</v>
      </c>
      <c r="C806" s="7">
        <v>7.756813417190811E-3</v>
      </c>
      <c r="D806" s="7">
        <v>-2.7027027027027084E-2</v>
      </c>
      <c r="E806" s="7">
        <v>1.1915673693860818E-3</v>
      </c>
      <c r="F806" s="7">
        <v>1.2849397206098123E-2</v>
      </c>
      <c r="G806" s="7"/>
      <c r="H806" s="7">
        <f t="shared" si="51"/>
        <v>8.2122333216085863E-3</v>
      </c>
      <c r="I806" s="7">
        <f t="shared" si="52"/>
        <v>-5.0925837889073122E-3</v>
      </c>
      <c r="J806" s="7">
        <f t="shared" si="53"/>
        <v>-3.9876424233125207E-2</v>
      </c>
      <c r="K806" s="7">
        <f t="shared" si="54"/>
        <v>-1.1657829836712041E-2</v>
      </c>
      <c r="L806" s="7"/>
    </row>
    <row r="807" spans="1:12" x14ac:dyDescent="0.25">
      <c r="A807" s="2" t="s">
        <v>893</v>
      </c>
      <c r="B807" s="7">
        <v>4.4496487119436434E-3</v>
      </c>
      <c r="C807" s="7">
        <v>1.048617731172552E-2</v>
      </c>
      <c r="D807" s="7">
        <v>4.2253521126760729E-2</v>
      </c>
      <c r="E807" s="7">
        <v>3.6579572446555852E-2</v>
      </c>
      <c r="F807" s="7">
        <v>6.9782558985018728E-3</v>
      </c>
      <c r="G807" s="7"/>
      <c r="H807" s="7">
        <f t="shared" si="51"/>
        <v>-2.5286071865582294E-3</v>
      </c>
      <c r="I807" s="7">
        <f t="shared" si="52"/>
        <v>3.5079214132236469E-3</v>
      </c>
      <c r="J807" s="7">
        <f t="shared" si="53"/>
        <v>3.5275265228258856E-2</v>
      </c>
      <c r="K807" s="7">
        <f t="shared" si="54"/>
        <v>2.960131654805398E-2</v>
      </c>
      <c r="L807" s="7"/>
    </row>
    <row r="808" spans="1:12" x14ac:dyDescent="0.25">
      <c r="A808" s="2" t="s">
        <v>155</v>
      </c>
      <c r="B808" s="7">
        <v>4.1545817982284738E-3</v>
      </c>
      <c r="C808" s="7">
        <v>6.3593004769479933E-4</v>
      </c>
      <c r="D808" s="7">
        <v>-9.302325581395321E-3</v>
      </c>
      <c r="E808" s="7">
        <v>3.1862745098039325E-2</v>
      </c>
      <c r="F808" s="7">
        <v>-7.6763506782906443E-4</v>
      </c>
      <c r="G808" s="7"/>
      <c r="H808" s="7">
        <f t="shared" si="51"/>
        <v>4.9222168660575383E-3</v>
      </c>
      <c r="I808" s="7">
        <f t="shared" si="52"/>
        <v>1.4035651155238638E-3</v>
      </c>
      <c r="J808" s="7">
        <f t="shared" si="53"/>
        <v>-8.5346905135662565E-3</v>
      </c>
      <c r="K808" s="7">
        <f t="shared" si="54"/>
        <v>3.2630380165868389E-2</v>
      </c>
      <c r="L808" s="7"/>
    </row>
    <row r="809" spans="1:12" x14ac:dyDescent="0.25">
      <c r="A809" s="2" t="s">
        <v>894</v>
      </c>
      <c r="B809" s="7">
        <v>3.6733035351483201E-2</v>
      </c>
      <c r="C809" s="7">
        <v>3.0584380120152854E-2</v>
      </c>
      <c r="D809" s="7">
        <v>9.3896713615022609E-3</v>
      </c>
      <c r="E809" s="7">
        <v>2.6983487716472077E-2</v>
      </c>
      <c r="F809" s="7">
        <v>2.284078674404566E-2</v>
      </c>
      <c r="G809" s="7"/>
      <c r="H809" s="7">
        <f t="shared" si="51"/>
        <v>1.3892248607437541E-2</v>
      </c>
      <c r="I809" s="7">
        <f t="shared" si="52"/>
        <v>7.743593376107194E-3</v>
      </c>
      <c r="J809" s="7">
        <f t="shared" si="53"/>
        <v>-1.3451115382543399E-2</v>
      </c>
      <c r="K809" s="7">
        <f t="shared" si="54"/>
        <v>4.1427009724264163E-3</v>
      </c>
      <c r="L809" s="7"/>
    </row>
    <row r="810" spans="1:12" x14ac:dyDescent="0.25">
      <c r="A810" s="2" t="s">
        <v>895</v>
      </c>
      <c r="B810" s="7">
        <v>-1.0613491999678426E-2</v>
      </c>
      <c r="C810" s="7">
        <v>-1.7493024254131906E-2</v>
      </c>
      <c r="D810" s="7">
        <v>9.4786729857820884E-3</v>
      </c>
      <c r="E810" s="7">
        <v>6.3836254939708681E-3</v>
      </c>
      <c r="F810" s="7">
        <v>-1.164556173549236E-2</v>
      </c>
      <c r="G810" s="7"/>
      <c r="H810" s="7">
        <f t="shared" si="51"/>
        <v>1.0320697358139341E-3</v>
      </c>
      <c r="I810" s="7">
        <f t="shared" si="52"/>
        <v>-5.8474625186395457E-3</v>
      </c>
      <c r="J810" s="7">
        <f t="shared" si="53"/>
        <v>2.1124234721274449E-2</v>
      </c>
      <c r="K810" s="7">
        <f t="shared" si="54"/>
        <v>1.8029187229463228E-2</v>
      </c>
      <c r="L810" s="7"/>
    </row>
    <row r="811" spans="1:12" x14ac:dyDescent="0.25">
      <c r="A811" s="2" t="s">
        <v>896</v>
      </c>
      <c r="B811" s="7">
        <v>1.0316815597075646E-2</v>
      </c>
      <c r="C811" s="7">
        <v>2.1822568264064035E-2</v>
      </c>
      <c r="D811" s="7">
        <v>-2.7649769585253448E-2</v>
      </c>
      <c r="E811" s="7">
        <v>0.12982255294791067</v>
      </c>
      <c r="F811" s="7">
        <v>7.5389499338414101E-3</v>
      </c>
      <c r="G811" s="7"/>
      <c r="H811" s="7">
        <f t="shared" si="51"/>
        <v>2.7778656632342358E-3</v>
      </c>
      <c r="I811" s="7">
        <f t="shared" si="52"/>
        <v>1.4283618330222625E-2</v>
      </c>
      <c r="J811" s="7">
        <f t="shared" si="53"/>
        <v>-3.5188719519094858E-2</v>
      </c>
      <c r="K811" s="7">
        <f t="shared" si="54"/>
        <v>0.12228360301406926</v>
      </c>
      <c r="L811" s="7"/>
    </row>
    <row r="812" spans="1:12" x14ac:dyDescent="0.25">
      <c r="A812" s="2" t="s">
        <v>897</v>
      </c>
      <c r="B812" s="7">
        <v>-3.7378792618079415E-2</v>
      </c>
      <c r="C812" s="7">
        <v>2.1278978609026611E-2</v>
      </c>
      <c r="D812" s="7">
        <v>-2.6905829596412634E-2</v>
      </c>
      <c r="E812" s="7">
        <v>4.4107100167344093E-2</v>
      </c>
      <c r="F812" s="7">
        <v>-4.0005209011589882E-3</v>
      </c>
      <c r="G812" s="7"/>
      <c r="H812" s="7">
        <f t="shared" si="51"/>
        <v>-3.3378271716920427E-2</v>
      </c>
      <c r="I812" s="7">
        <f t="shared" si="52"/>
        <v>2.5279499510185599E-2</v>
      </c>
      <c r="J812" s="7">
        <f t="shared" si="53"/>
        <v>-2.2905308695253646E-2</v>
      </c>
      <c r="K812" s="7">
        <f t="shared" si="54"/>
        <v>4.8107621068503081E-2</v>
      </c>
      <c r="L812" s="7"/>
    </row>
    <row r="813" spans="1:12" x14ac:dyDescent="0.25">
      <c r="A813" s="2" t="s">
        <v>898</v>
      </c>
      <c r="B813" s="7">
        <v>2.5086233929130231E-3</v>
      </c>
      <c r="C813" s="7">
        <v>-5.3469978834799203E-3</v>
      </c>
      <c r="D813" s="7">
        <v>4.5045045045044585E-3</v>
      </c>
      <c r="E813" s="7">
        <v>-1.1695215593620856E-2</v>
      </c>
      <c r="F813" s="7">
        <v>-2.5407348906808513E-3</v>
      </c>
      <c r="G813" s="7"/>
      <c r="H813" s="7">
        <f t="shared" si="51"/>
        <v>5.0493582835938744E-3</v>
      </c>
      <c r="I813" s="7">
        <f t="shared" si="52"/>
        <v>-2.806262992799069E-3</v>
      </c>
      <c r="J813" s="7">
        <f t="shared" si="53"/>
        <v>7.0452393951853098E-3</v>
      </c>
      <c r="K813" s="7">
        <f t="shared" si="54"/>
        <v>-9.1544807029400044E-3</v>
      </c>
      <c r="L813" s="7"/>
    </row>
    <row r="814" spans="1:12" x14ac:dyDescent="0.25">
      <c r="A814" s="2" t="s">
        <v>899</v>
      </c>
      <c r="B814" s="7">
        <v>2.8295042321644592E-2</v>
      </c>
      <c r="C814" s="7">
        <v>1.9187102633969166E-2</v>
      </c>
      <c r="D814" s="7">
        <v>4.5248868778282603E-3</v>
      </c>
      <c r="E814" s="7">
        <v>2.2219538703055264E-2</v>
      </c>
      <c r="F814" s="7">
        <v>1.7461316021801565E-2</v>
      </c>
      <c r="G814" s="7"/>
      <c r="H814" s="7">
        <f t="shared" si="51"/>
        <v>1.0833726299843027E-2</v>
      </c>
      <c r="I814" s="7">
        <f t="shared" si="52"/>
        <v>1.7257866121676013E-3</v>
      </c>
      <c r="J814" s="7">
        <f t="shared" si="53"/>
        <v>-1.2936429143973305E-2</v>
      </c>
      <c r="K814" s="7">
        <f t="shared" si="54"/>
        <v>4.7582226812536987E-3</v>
      </c>
      <c r="L814" s="7"/>
    </row>
    <row r="815" spans="1:12" x14ac:dyDescent="0.25">
      <c r="A815" s="2" t="s">
        <v>900</v>
      </c>
      <c r="B815" s="7">
        <v>-3.0707923112986424E-2</v>
      </c>
      <c r="C815" s="7">
        <v>-1.5975868618031575E-2</v>
      </c>
      <c r="D815" s="7">
        <v>-3.9130434782608692E-2</v>
      </c>
      <c r="E815" s="7">
        <v>-2.9646121396765923E-2</v>
      </c>
      <c r="F815" s="7">
        <v>-1.202063067180259E-2</v>
      </c>
      <c r="G815" s="7"/>
      <c r="H815" s="7">
        <f t="shared" si="51"/>
        <v>-1.8687292441183834E-2</v>
      </c>
      <c r="I815" s="7">
        <f t="shared" si="52"/>
        <v>-3.9552379462289844E-3</v>
      </c>
      <c r="J815" s="7">
        <f t="shared" si="53"/>
        <v>-2.7109804110806102E-2</v>
      </c>
      <c r="K815" s="7">
        <f t="shared" si="54"/>
        <v>-1.7625490724963333E-2</v>
      </c>
      <c r="L815" s="7"/>
    </row>
    <row r="816" spans="1:12" x14ac:dyDescent="0.25">
      <c r="A816" s="2" t="s">
        <v>901</v>
      </c>
      <c r="B816" s="7">
        <v>-1.3869625520110951E-2</v>
      </c>
      <c r="C816" s="7">
        <v>6.707657909446052E-4</v>
      </c>
      <c r="D816" s="7">
        <v>-8.6206896551723755E-3</v>
      </c>
      <c r="E816" s="7">
        <v>4.9176297024833948E-2</v>
      </c>
      <c r="F816" s="7">
        <v>-4.0496044028068834E-3</v>
      </c>
      <c r="G816" s="7"/>
      <c r="H816" s="7">
        <f t="shared" si="51"/>
        <v>-9.8200211173040675E-3</v>
      </c>
      <c r="I816" s="7">
        <f t="shared" si="52"/>
        <v>4.7203701937514886E-3</v>
      </c>
      <c r="J816" s="7">
        <f t="shared" si="53"/>
        <v>-4.5710852523654921E-3</v>
      </c>
      <c r="K816" s="7">
        <f t="shared" si="54"/>
        <v>5.3225901427640832E-2</v>
      </c>
      <c r="L816" s="7"/>
    </row>
    <row r="817" spans="1:12" x14ac:dyDescent="0.25">
      <c r="A817" s="2" t="s">
        <v>902</v>
      </c>
      <c r="B817" s="7">
        <v>-2.7662517289072097E-3</v>
      </c>
      <c r="C817" s="7">
        <v>-1.1929747045178352E-2</v>
      </c>
      <c r="D817" s="7">
        <v>4.3290043290042934E-3</v>
      </c>
      <c r="E817" s="7">
        <v>-2.6334689968877223E-2</v>
      </c>
      <c r="F817" s="7">
        <v>5.8680563731070556E-3</v>
      </c>
      <c r="G817" s="7"/>
      <c r="H817" s="7">
        <f t="shared" si="51"/>
        <v>-8.6343081020142654E-3</v>
      </c>
      <c r="I817" s="7">
        <f t="shared" si="52"/>
        <v>-1.7797803418285407E-2</v>
      </c>
      <c r="J817" s="7">
        <f t="shared" si="53"/>
        <v>-1.5390520441027622E-3</v>
      </c>
      <c r="K817" s="7">
        <f t="shared" si="54"/>
        <v>-3.2202746341984279E-2</v>
      </c>
      <c r="L817" s="7"/>
    </row>
    <row r="818" spans="1:12" x14ac:dyDescent="0.25">
      <c r="A818" s="2" t="s">
        <v>903</v>
      </c>
      <c r="B818" s="7">
        <v>-2.3779161353236988E-2</v>
      </c>
      <c r="C818" s="7">
        <v>-1.5228978570651641E-2</v>
      </c>
      <c r="D818" s="7">
        <v>-1.7021276595744705E-2</v>
      </c>
      <c r="E818" s="7">
        <v>1.798776831754445E-3</v>
      </c>
      <c r="F818" s="7">
        <v>-1.4451686760656446E-2</v>
      </c>
      <c r="G818" s="7"/>
      <c r="H818" s="7">
        <f t="shared" si="51"/>
        <v>-9.3274745925805425E-3</v>
      </c>
      <c r="I818" s="7">
        <f t="shared" si="52"/>
        <v>-7.7729180999519532E-4</v>
      </c>
      <c r="J818" s="7">
        <f t="shared" si="53"/>
        <v>-2.5695898350882596E-3</v>
      </c>
      <c r="K818" s="7">
        <f t="shared" si="54"/>
        <v>1.6250463592410891E-2</v>
      </c>
      <c r="L818" s="7"/>
    </row>
    <row r="819" spans="1:12" x14ac:dyDescent="0.25">
      <c r="A819" s="2" t="s">
        <v>904</v>
      </c>
      <c r="B819" s="7">
        <v>2.3807695261500506E-2</v>
      </c>
      <c r="C819" s="7">
        <v>2.2012229016120211E-2</v>
      </c>
      <c r="D819" s="7">
        <v>1.2931034482758674E-2</v>
      </c>
      <c r="E819" s="7">
        <v>2.1936274509803955E-2</v>
      </c>
      <c r="F819" s="7">
        <v>1.4868040255179737E-2</v>
      </c>
      <c r="G819" s="7"/>
      <c r="H819" s="7">
        <f t="shared" si="51"/>
        <v>8.939655006320768E-3</v>
      </c>
      <c r="I819" s="7">
        <f t="shared" si="52"/>
        <v>7.1441887609404731E-3</v>
      </c>
      <c r="J819" s="7">
        <f t="shared" si="53"/>
        <v>-1.9370057724210632E-3</v>
      </c>
      <c r="K819" s="7">
        <f t="shared" si="54"/>
        <v>7.0682342546242172E-3</v>
      </c>
      <c r="L819" s="7"/>
    </row>
    <row r="820" spans="1:12" x14ac:dyDescent="0.25">
      <c r="A820" s="2" t="s">
        <v>905</v>
      </c>
      <c r="B820" s="7">
        <v>-5.3730426773102025E-4</v>
      </c>
      <c r="C820" s="7">
        <v>-1.0886298658456028E-2</v>
      </c>
      <c r="D820" s="7">
        <v>-1.6949152542372947E-2</v>
      </c>
      <c r="E820" s="7">
        <v>-1.4254650881855624E-2</v>
      </c>
      <c r="F820" s="7">
        <v>1.0372846193742458E-3</v>
      </c>
      <c r="G820" s="7"/>
      <c r="H820" s="7">
        <f t="shared" si="51"/>
        <v>-1.574588887105266E-3</v>
      </c>
      <c r="I820" s="7">
        <f t="shared" si="52"/>
        <v>-1.1923583277830274E-2</v>
      </c>
      <c r="J820" s="7">
        <f t="shared" si="53"/>
        <v>-1.7986437161747193E-2</v>
      </c>
      <c r="K820" s="7">
        <f t="shared" si="54"/>
        <v>-1.529193550122987E-2</v>
      </c>
      <c r="L820" s="7"/>
    </row>
    <row r="821" spans="1:12" x14ac:dyDescent="0.25">
      <c r="A821" s="2" t="s">
        <v>156</v>
      </c>
      <c r="B821" s="7">
        <v>-1.5937759649520267E-2</v>
      </c>
      <c r="C821" s="7">
        <v>3.6419821211786108E-3</v>
      </c>
      <c r="D821" s="7">
        <v>-7.0866141732283561E-2</v>
      </c>
      <c r="E821" s="7">
        <v>4.3678718757582669E-3</v>
      </c>
      <c r="F821" s="7">
        <v>-9.007465553582783E-3</v>
      </c>
      <c r="G821" s="7"/>
      <c r="H821" s="7">
        <f t="shared" si="51"/>
        <v>-6.9302940959374837E-3</v>
      </c>
      <c r="I821" s="7">
        <f t="shared" si="52"/>
        <v>1.2649447674761394E-2</v>
      </c>
      <c r="J821" s="7">
        <f t="shared" si="53"/>
        <v>-6.1858676178700778E-2</v>
      </c>
      <c r="K821" s="7">
        <f t="shared" si="54"/>
        <v>1.337533742934105E-2</v>
      </c>
      <c r="L821" s="7"/>
    </row>
    <row r="822" spans="1:12" x14ac:dyDescent="0.25">
      <c r="A822" s="2" t="s">
        <v>906</v>
      </c>
      <c r="B822" s="7">
        <v>-1.4588760699665082E-2</v>
      </c>
      <c r="C822" s="7">
        <v>-5.5970149253732338E-3</v>
      </c>
      <c r="D822" s="7">
        <v>-1.1673151750972721E-2</v>
      </c>
      <c r="E822" s="7">
        <v>6.7179675094661828E-3</v>
      </c>
      <c r="F822" s="7">
        <v>-1.1137778348199956E-2</v>
      </c>
      <c r="G822" s="7"/>
      <c r="H822" s="7">
        <f t="shared" si="51"/>
        <v>-3.4509823514651261E-3</v>
      </c>
      <c r="I822" s="7">
        <f t="shared" si="52"/>
        <v>5.5407634228267222E-3</v>
      </c>
      <c r="J822" s="7">
        <f t="shared" si="53"/>
        <v>-5.3537340277276524E-4</v>
      </c>
      <c r="K822" s="7">
        <f t="shared" si="54"/>
        <v>1.7855745857666139E-2</v>
      </c>
      <c r="L822" s="7"/>
    </row>
    <row r="823" spans="1:12" x14ac:dyDescent="0.25">
      <c r="A823" s="2" t="s">
        <v>907</v>
      </c>
      <c r="B823" s="7">
        <v>-4.6825115289109598E-2</v>
      </c>
      <c r="C823" s="7">
        <v>-2.9399233063485242E-2</v>
      </c>
      <c r="D823" s="7">
        <v>5.3278688524590168E-2</v>
      </c>
      <c r="E823" s="7">
        <v>-5.1772063933287038E-2</v>
      </c>
      <c r="F823" s="7">
        <v>-2.4921658340258168E-2</v>
      </c>
      <c r="G823" s="7"/>
      <c r="H823" s="7">
        <f t="shared" si="51"/>
        <v>-2.190345694885143E-2</v>
      </c>
      <c r="I823" s="7">
        <f t="shared" si="52"/>
        <v>-4.4775747232270735E-3</v>
      </c>
      <c r="J823" s="7">
        <f t="shared" si="53"/>
        <v>7.8200346864848336E-2</v>
      </c>
      <c r="K823" s="7">
        <f t="shared" si="54"/>
        <v>-2.685040559302887E-2</v>
      </c>
      <c r="L823" s="7"/>
    </row>
    <row r="824" spans="1:12" x14ac:dyDescent="0.25">
      <c r="A824" s="2" t="s">
        <v>908</v>
      </c>
      <c r="B824" s="7">
        <v>-1.5506041768526879E-2</v>
      </c>
      <c r="C824" s="7">
        <v>-9.4956741928677868E-3</v>
      </c>
      <c r="D824" s="7">
        <v>-2.7888446215139417E-2</v>
      </c>
      <c r="E824" s="7">
        <v>-5.4141227969127792E-3</v>
      </c>
      <c r="F824" s="7">
        <v>-6.0527657880661279E-3</v>
      </c>
      <c r="G824" s="7"/>
      <c r="H824" s="7">
        <f t="shared" si="51"/>
        <v>-9.4532759804607513E-3</v>
      </c>
      <c r="I824" s="7">
        <f t="shared" si="52"/>
        <v>-3.4429084048016589E-3</v>
      </c>
      <c r="J824" s="7">
        <f t="shared" si="53"/>
        <v>-2.183568042707329E-2</v>
      </c>
      <c r="K824" s="7">
        <f t="shared" si="54"/>
        <v>6.3864299115334866E-4</v>
      </c>
      <c r="L824" s="7"/>
    </row>
    <row r="825" spans="1:12" x14ac:dyDescent="0.25">
      <c r="A825" s="2" t="s">
        <v>909</v>
      </c>
      <c r="B825" s="7">
        <v>6.7505801279796884E-3</v>
      </c>
      <c r="C825" s="7">
        <v>3.4939121228163561E-3</v>
      </c>
      <c r="D825" s="7">
        <v>-7.905138339920903E-3</v>
      </c>
      <c r="E825" s="7">
        <v>2.2376634083146829E-2</v>
      </c>
      <c r="F825" s="7">
        <v>7.289703700733785E-3</v>
      </c>
      <c r="G825" s="7"/>
      <c r="H825" s="7">
        <f t="shared" si="51"/>
        <v>-5.3912357275409661E-4</v>
      </c>
      <c r="I825" s="7">
        <f t="shared" si="52"/>
        <v>-3.7957915779174289E-3</v>
      </c>
      <c r="J825" s="7">
        <f t="shared" si="53"/>
        <v>-1.5194842040654688E-2</v>
      </c>
      <c r="K825" s="7">
        <f t="shared" si="54"/>
        <v>1.5086930382413044E-2</v>
      </c>
      <c r="L825" s="7"/>
    </row>
    <row r="826" spans="1:12" x14ac:dyDescent="0.25">
      <c r="A826" s="2" t="s">
        <v>157</v>
      </c>
      <c r="B826" s="7">
        <v>1.6366495140080151E-2</v>
      </c>
      <c r="C826" s="7">
        <v>8.6501495087569769E-3</v>
      </c>
      <c r="D826" s="7">
        <v>7.6595744680850952E-2</v>
      </c>
      <c r="E826" s="7">
        <v>-2.1210374639769491E-2</v>
      </c>
      <c r="F826" s="7">
        <v>1.4279251114533986E-2</v>
      </c>
      <c r="G826" s="7"/>
      <c r="H826" s="7">
        <f t="shared" si="51"/>
        <v>2.0872440255461644E-3</v>
      </c>
      <c r="I826" s="7">
        <f t="shared" si="52"/>
        <v>-5.6291016057770094E-3</v>
      </c>
      <c r="J826" s="7">
        <f t="shared" si="53"/>
        <v>6.2316493566316966E-2</v>
      </c>
      <c r="K826" s="7">
        <f t="shared" si="54"/>
        <v>-3.5489625754303478E-2</v>
      </c>
      <c r="L826" s="7"/>
    </row>
    <row r="827" spans="1:12" x14ac:dyDescent="0.25">
      <c r="A827" s="2" t="s">
        <v>910</v>
      </c>
      <c r="B827" s="7">
        <v>-3.4188034188035177E-3</v>
      </c>
      <c r="C827" s="7">
        <v>-1.9185674696226007E-3</v>
      </c>
      <c r="D827" s="7">
        <v>4.2735042735044804E-3</v>
      </c>
      <c r="E827" s="7">
        <v>-2.9967572402996856E-2</v>
      </c>
      <c r="F827" s="7">
        <v>-7.3495462355336327E-3</v>
      </c>
      <c r="G827" s="7"/>
      <c r="H827" s="7">
        <f t="shared" si="51"/>
        <v>3.9307428167301151E-3</v>
      </c>
      <c r="I827" s="7">
        <f t="shared" si="52"/>
        <v>5.430978765911032E-3</v>
      </c>
      <c r="J827" s="7">
        <f t="shared" si="53"/>
        <v>1.1623050509038113E-2</v>
      </c>
      <c r="K827" s="7">
        <f t="shared" si="54"/>
        <v>-2.2618026167463223E-2</v>
      </c>
      <c r="L827" s="7"/>
    </row>
    <row r="828" spans="1:12" x14ac:dyDescent="0.25">
      <c r="A828" s="2" t="s">
        <v>911</v>
      </c>
      <c r="B828" s="7">
        <v>1.211072664359869E-2</v>
      </c>
      <c r="C828" s="7">
        <v>-2.7636054421769085E-3</v>
      </c>
      <c r="D828" s="7">
        <v>4.9327354260089606E-2</v>
      </c>
      <c r="E828" s="7">
        <v>6.6038860412444889E-2</v>
      </c>
      <c r="F828" s="7">
        <v>7.5217594663847809E-3</v>
      </c>
      <c r="G828" s="7"/>
      <c r="H828" s="7">
        <f t="shared" si="51"/>
        <v>4.5889671772139096E-3</v>
      </c>
      <c r="I828" s="7">
        <f t="shared" si="52"/>
        <v>-1.0285364908561689E-2</v>
      </c>
      <c r="J828" s="7">
        <f t="shared" si="53"/>
        <v>4.1805594793704826E-2</v>
      </c>
      <c r="K828" s="7">
        <f t="shared" si="54"/>
        <v>5.8517100946060108E-2</v>
      </c>
      <c r="L828" s="7"/>
    </row>
    <row r="829" spans="1:12" x14ac:dyDescent="0.25">
      <c r="A829" s="2" t="s">
        <v>912</v>
      </c>
      <c r="B829" s="7">
        <v>-1.3722004976893021E-2</v>
      </c>
      <c r="C829" s="7">
        <v>1.4230271668822736E-2</v>
      </c>
      <c r="D829" s="7">
        <v>-0.12204724409448819</v>
      </c>
      <c r="E829" s="7">
        <v>-3.4081750143926226E-2</v>
      </c>
      <c r="F829" s="7">
        <v>-1.8623485890298941E-3</v>
      </c>
      <c r="G829" s="7"/>
      <c r="H829" s="7">
        <f t="shared" si="51"/>
        <v>-1.1859656387863127E-2</v>
      </c>
      <c r="I829" s="7">
        <f t="shared" si="52"/>
        <v>1.609262025785263E-2</v>
      </c>
      <c r="J829" s="7">
        <f t="shared" si="53"/>
        <v>-0.1201848955054583</v>
      </c>
      <c r="K829" s="7">
        <f t="shared" si="54"/>
        <v>-3.2219401554896332E-2</v>
      </c>
      <c r="L829" s="7"/>
    </row>
    <row r="830" spans="1:12" x14ac:dyDescent="0.25">
      <c r="A830" s="2" t="s">
        <v>913</v>
      </c>
      <c r="B830" s="7">
        <v>-2.5429600886917925E-2</v>
      </c>
      <c r="C830" s="7">
        <v>-4.3103448275849665E-4</v>
      </c>
      <c r="D830" s="7">
        <v>-4.8689138576779034E-2</v>
      </c>
      <c r="E830" s="7">
        <v>1.0236128882168183E-2</v>
      </c>
      <c r="F830" s="7">
        <v>-1.4399175760970717E-2</v>
      </c>
      <c r="G830" s="7"/>
      <c r="H830" s="7">
        <f t="shared" si="51"/>
        <v>-1.1030425125947207E-2</v>
      </c>
      <c r="I830" s="7">
        <f t="shared" si="52"/>
        <v>1.3968141278212221E-2</v>
      </c>
      <c r="J830" s="7">
        <f t="shared" si="53"/>
        <v>-3.4289962815808317E-2</v>
      </c>
      <c r="K830" s="7">
        <f t="shared" si="54"/>
        <v>2.46353046431389E-2</v>
      </c>
      <c r="L830" s="7"/>
    </row>
    <row r="831" spans="1:12" x14ac:dyDescent="0.25">
      <c r="A831" s="2" t="s">
        <v>158</v>
      </c>
      <c r="B831" s="7">
        <v>-7.9736046191916099E-3</v>
      </c>
      <c r="C831" s="7">
        <v>-1.8508725542041193E-2</v>
      </c>
      <c r="D831" s="7">
        <v>-1.1111111111111183E-2</v>
      </c>
      <c r="E831" s="7">
        <v>5.1443937799602324E-3</v>
      </c>
      <c r="F831" s="7">
        <v>-1.7894245646781326E-2</v>
      </c>
      <c r="G831" s="7"/>
      <c r="H831" s="7">
        <f t="shared" si="51"/>
        <v>9.9206410275897161E-3</v>
      </c>
      <c r="I831" s="7">
        <f t="shared" si="52"/>
        <v>-6.1447989525986735E-4</v>
      </c>
      <c r="J831" s="7">
        <f t="shared" si="53"/>
        <v>6.7831345356701434E-3</v>
      </c>
      <c r="K831" s="7">
        <f t="shared" si="54"/>
        <v>2.3038639426741558E-2</v>
      </c>
      <c r="L831" s="7"/>
    </row>
    <row r="832" spans="1:12" x14ac:dyDescent="0.25">
      <c r="A832" s="2" t="s">
        <v>914</v>
      </c>
      <c r="B832" s="7">
        <v>-3.356854148112709E-3</v>
      </c>
      <c r="C832" s="7">
        <v>7.8882848310413145E-3</v>
      </c>
      <c r="D832" s="7">
        <v>5.058365758754868E-2</v>
      </c>
      <c r="E832" s="7">
        <v>4.7904925263415832E-2</v>
      </c>
      <c r="F832" s="7">
        <v>-1.1946317615054713E-3</v>
      </c>
      <c r="G832" s="7"/>
      <c r="H832" s="7">
        <f t="shared" si="51"/>
        <v>-2.1622223866072376E-3</v>
      </c>
      <c r="I832" s="7">
        <f t="shared" si="52"/>
        <v>9.0829165925467859E-3</v>
      </c>
      <c r="J832" s="7">
        <f t="shared" si="53"/>
        <v>5.1778289349054152E-2</v>
      </c>
      <c r="K832" s="7">
        <f t="shared" si="54"/>
        <v>4.9099557024921303E-2</v>
      </c>
      <c r="L832" s="7"/>
    </row>
    <row r="833" spans="1:12" x14ac:dyDescent="0.25">
      <c r="A833" s="2" t="s">
        <v>915</v>
      </c>
      <c r="B833" s="7">
        <v>1.9218889422747409E-3</v>
      </c>
      <c r="C833" s="7">
        <v>2.1324234993058688E-4</v>
      </c>
      <c r="D833" s="7">
        <v>-1.1538461538461608E-2</v>
      </c>
      <c r="E833" s="7">
        <v>-1.8518518518518379E-2</v>
      </c>
      <c r="F833" s="7">
        <v>-8.6762366700898763E-4</v>
      </c>
      <c r="G833" s="7"/>
      <c r="H833" s="7">
        <f t="shared" si="51"/>
        <v>2.7895126092837286E-3</v>
      </c>
      <c r="I833" s="7">
        <f t="shared" si="52"/>
        <v>1.0808660169395745E-3</v>
      </c>
      <c r="J833" s="7">
        <f t="shared" si="53"/>
        <v>-1.0670837871452621E-2</v>
      </c>
      <c r="K833" s="7">
        <f t="shared" si="54"/>
        <v>-1.7650894851509391E-2</v>
      </c>
      <c r="L833" s="7"/>
    </row>
    <row r="834" spans="1:12" x14ac:dyDescent="0.25">
      <c r="A834" s="2" t="s">
        <v>916</v>
      </c>
      <c r="B834" s="7">
        <v>4.8582121779185305E-2</v>
      </c>
      <c r="C834" s="7">
        <v>-1.2778191885847168E-3</v>
      </c>
      <c r="D834" s="7">
        <v>4.0000000000000036E-2</v>
      </c>
      <c r="E834" s="7">
        <v>9.6518987341772E-2</v>
      </c>
      <c r="F834" s="7">
        <v>3.0947814727501077E-2</v>
      </c>
      <c r="G834" s="7"/>
      <c r="H834" s="7">
        <f t="shared" si="51"/>
        <v>1.7634307051684228E-2</v>
      </c>
      <c r="I834" s="7">
        <f t="shared" si="52"/>
        <v>-3.2225633916085794E-2</v>
      </c>
      <c r="J834" s="7">
        <f t="shared" si="53"/>
        <v>9.0521852724989582E-3</v>
      </c>
      <c r="K834" s="7">
        <f t="shared" si="54"/>
        <v>6.5571172614270923E-2</v>
      </c>
      <c r="L834" s="7"/>
    </row>
    <row r="835" spans="1:12" x14ac:dyDescent="0.25">
      <c r="A835" s="2" t="s">
        <v>917</v>
      </c>
      <c r="B835" s="7">
        <v>-2.1135691137100232E-2</v>
      </c>
      <c r="C835" s="7">
        <v>1.1961206896551779E-2</v>
      </c>
      <c r="D835" s="7">
        <v>4.6025104602510414E-2</v>
      </c>
      <c r="E835" s="7">
        <v>5.2456286427976728E-2</v>
      </c>
      <c r="F835" s="7">
        <v>-1.5918505325509535E-3</v>
      </c>
      <c r="G835" s="7"/>
      <c r="H835" s="7">
        <f t="shared" ref="H835:H898" si="55">B835-$F835</f>
        <v>-1.9543840604549279E-2</v>
      </c>
      <c r="I835" s="7">
        <f t="shared" ref="I835:I898" si="56">C835-$F835</f>
        <v>1.3553057429102733E-2</v>
      </c>
      <c r="J835" s="7">
        <f t="shared" ref="J835:J898" si="57">D835-$F835</f>
        <v>4.7616955135061367E-2</v>
      </c>
      <c r="K835" s="7">
        <f t="shared" ref="K835:K898" si="58">E835-$F835</f>
        <v>5.4048136960527682E-2</v>
      </c>
      <c r="L835" s="7"/>
    </row>
    <row r="836" spans="1:12" x14ac:dyDescent="0.25">
      <c r="A836" s="2" t="s">
        <v>159</v>
      </c>
      <c r="B836" s="7">
        <v>-2.6274267681964836E-2</v>
      </c>
      <c r="C836" s="7">
        <v>-3.4138218151540389E-2</v>
      </c>
      <c r="D836" s="7">
        <v>-5.5335968379446543E-2</v>
      </c>
      <c r="E836" s="7">
        <v>5.0209205020921299E-3</v>
      </c>
      <c r="F836" s="7">
        <v>-1.5444149702443011E-2</v>
      </c>
      <c r="G836" s="7"/>
      <c r="H836" s="7">
        <f t="shared" si="55"/>
        <v>-1.0830117979521825E-2</v>
      </c>
      <c r="I836" s="7">
        <f t="shared" si="56"/>
        <v>-1.8694068449097379E-2</v>
      </c>
      <c r="J836" s="7">
        <f t="shared" si="57"/>
        <v>-3.9891818677003532E-2</v>
      </c>
      <c r="K836" s="7">
        <f t="shared" si="58"/>
        <v>2.0465070204535141E-2</v>
      </c>
      <c r="L836" s="7"/>
    </row>
    <row r="837" spans="1:12" x14ac:dyDescent="0.25">
      <c r="A837" s="2" t="s">
        <v>918</v>
      </c>
      <c r="B837" s="7">
        <v>-1.9638173380859381E-2</v>
      </c>
      <c r="C837" s="7">
        <v>8.0789004301751177E-3</v>
      </c>
      <c r="D837" s="7">
        <v>3.9682539682539542E-3</v>
      </c>
      <c r="E837" s="7">
        <v>-3.8229376257545189E-2</v>
      </c>
      <c r="F837" s="7">
        <v>-2.830708720074071E-4</v>
      </c>
      <c r="G837" s="7"/>
      <c r="H837" s="7">
        <f t="shared" si="55"/>
        <v>-1.9355102508851973E-2</v>
      </c>
      <c r="I837" s="7">
        <f t="shared" si="56"/>
        <v>8.3619713021825248E-3</v>
      </c>
      <c r="J837" s="7">
        <f t="shared" si="57"/>
        <v>4.2513248402613613E-3</v>
      </c>
      <c r="K837" s="7">
        <f t="shared" si="58"/>
        <v>-3.7946305385537782E-2</v>
      </c>
      <c r="L837" s="7"/>
    </row>
    <row r="838" spans="1:12" x14ac:dyDescent="0.25">
      <c r="A838" s="2" t="s">
        <v>919</v>
      </c>
      <c r="B838" s="7">
        <v>5.9535890670454616E-3</v>
      </c>
      <c r="C838" s="7">
        <v>-4.5953002610965576E-3</v>
      </c>
      <c r="D838" s="7">
        <v>0</v>
      </c>
      <c r="E838" s="7">
        <v>3.2977691561590694E-2</v>
      </c>
      <c r="F838" s="7">
        <v>5.9147063378277576E-3</v>
      </c>
      <c r="G838" s="7"/>
      <c r="H838" s="7">
        <f t="shared" si="55"/>
        <v>3.8882729217704082E-5</v>
      </c>
      <c r="I838" s="7">
        <f t="shared" si="56"/>
        <v>-1.0510006598924315E-2</v>
      </c>
      <c r="J838" s="7">
        <f t="shared" si="57"/>
        <v>-5.9147063378277576E-3</v>
      </c>
      <c r="K838" s="7">
        <f t="shared" si="58"/>
        <v>2.7062985223762936E-2</v>
      </c>
      <c r="L838" s="7"/>
    </row>
    <row r="839" spans="1:12" x14ac:dyDescent="0.25">
      <c r="A839" s="2" t="s">
        <v>920</v>
      </c>
      <c r="B839" s="7">
        <v>1.4690739342349213E-2</v>
      </c>
      <c r="C839" s="7">
        <v>7.5765547721771132E-3</v>
      </c>
      <c r="D839" s="7">
        <v>-7.6923076923076872E-2</v>
      </c>
      <c r="E839" s="7">
        <v>-1.218176840952645E-2</v>
      </c>
      <c r="F839" s="7">
        <v>1.3579953113211918E-2</v>
      </c>
      <c r="G839" s="7"/>
      <c r="H839" s="7">
        <f t="shared" si="55"/>
        <v>1.110786229137295E-3</v>
      </c>
      <c r="I839" s="7">
        <f t="shared" si="56"/>
        <v>-6.0033983410348046E-3</v>
      </c>
      <c r="J839" s="7">
        <f t="shared" si="57"/>
        <v>-9.050303003628879E-2</v>
      </c>
      <c r="K839" s="7">
        <f t="shared" si="58"/>
        <v>-2.5761721522738368E-2</v>
      </c>
      <c r="L839" s="7"/>
    </row>
    <row r="840" spans="1:12" x14ac:dyDescent="0.25">
      <c r="A840" s="2" t="s">
        <v>160</v>
      </c>
      <c r="B840" s="7">
        <v>-2.1692411014103574E-2</v>
      </c>
      <c r="C840" s="7">
        <v>6.8870523415978102E-3</v>
      </c>
      <c r="D840" s="7">
        <v>4.5977011494252817E-2</v>
      </c>
      <c r="E840" s="7">
        <v>-4.4092633782546131E-2</v>
      </c>
      <c r="F840" s="7">
        <v>-3.8836518432215916E-3</v>
      </c>
      <c r="G840" s="7"/>
      <c r="H840" s="7">
        <f t="shared" si="55"/>
        <v>-1.7808759170881983E-2</v>
      </c>
      <c r="I840" s="7">
        <f t="shared" si="56"/>
        <v>1.0770704184819402E-2</v>
      </c>
      <c r="J840" s="7">
        <f t="shared" si="57"/>
        <v>4.9860663337474409E-2</v>
      </c>
      <c r="K840" s="7">
        <f t="shared" si="58"/>
        <v>-4.020898193932454E-2</v>
      </c>
      <c r="L840" s="7"/>
    </row>
    <row r="841" spans="1:12" x14ac:dyDescent="0.25">
      <c r="A841" s="2" t="s">
        <v>921</v>
      </c>
      <c r="B841" s="7">
        <v>3.7751112309558632E-3</v>
      </c>
      <c r="C841" s="7">
        <v>-3.0632724199852746E-3</v>
      </c>
      <c r="D841" s="7">
        <v>0</v>
      </c>
      <c r="E841" s="7">
        <v>-4.4863784053986389E-2</v>
      </c>
      <c r="F841" s="7">
        <v>4.7585745560692061E-3</v>
      </c>
      <c r="G841" s="7"/>
      <c r="H841" s="7">
        <f t="shared" si="55"/>
        <v>-9.8346332511334289E-4</v>
      </c>
      <c r="I841" s="7">
        <f t="shared" si="56"/>
        <v>-7.8218469760544806E-3</v>
      </c>
      <c r="J841" s="7">
        <f t="shared" si="57"/>
        <v>-4.7585745560692061E-3</v>
      </c>
      <c r="K841" s="7">
        <f t="shared" si="58"/>
        <v>-4.9622358610055595E-2</v>
      </c>
      <c r="L841" s="7"/>
    </row>
    <row r="842" spans="1:12" x14ac:dyDescent="0.25">
      <c r="A842" s="2" t="s">
        <v>922</v>
      </c>
      <c r="B842" s="7">
        <v>1.2974597104616237E-2</v>
      </c>
      <c r="C842" s="7">
        <v>-8.4432717678095681E-4</v>
      </c>
      <c r="D842" s="7">
        <v>6.5306122448979487E-2</v>
      </c>
      <c r="E842" s="7">
        <v>7.800080829853151E-2</v>
      </c>
      <c r="F842" s="7">
        <v>-3.0893277996559831E-3</v>
      </c>
      <c r="G842" s="7"/>
      <c r="H842" s="7">
        <f t="shared" si="55"/>
        <v>1.606392490427222E-2</v>
      </c>
      <c r="I842" s="7">
        <f t="shared" si="56"/>
        <v>2.2450006228750263E-3</v>
      </c>
      <c r="J842" s="7">
        <f t="shared" si="57"/>
        <v>6.839545024863547E-2</v>
      </c>
      <c r="K842" s="7">
        <f t="shared" si="58"/>
        <v>8.1090136098187493E-2</v>
      </c>
      <c r="L842" s="7"/>
    </row>
    <row r="843" spans="1:12" x14ac:dyDescent="0.25">
      <c r="A843" s="2" t="s">
        <v>923</v>
      </c>
      <c r="B843" s="7">
        <v>-8.3293830839031857E-3</v>
      </c>
      <c r="C843" s="7">
        <v>-1.8846432639536004E-2</v>
      </c>
      <c r="D843" s="7">
        <v>-2.7777777777777679E-2</v>
      </c>
      <c r="E843" s="7">
        <v>-1.4340725003319621E-2</v>
      </c>
      <c r="F843" s="7">
        <v>-8.2520611363995355E-3</v>
      </c>
      <c r="G843" s="7"/>
      <c r="H843" s="7">
        <f t="shared" si="55"/>
        <v>-7.7321947503650179E-5</v>
      </c>
      <c r="I843" s="7">
        <f t="shared" si="56"/>
        <v>-1.0594371503136468E-2</v>
      </c>
      <c r="J843" s="7">
        <f t="shared" si="57"/>
        <v>-1.9525716641378144E-2</v>
      </c>
      <c r="K843" s="7">
        <f t="shared" si="58"/>
        <v>-6.0886638669200854E-3</v>
      </c>
      <c r="L843" s="7"/>
    </row>
    <row r="844" spans="1:12" x14ac:dyDescent="0.25">
      <c r="A844" s="2" t="s">
        <v>924</v>
      </c>
      <c r="B844" s="7">
        <v>1.1854186652048737E-2</v>
      </c>
      <c r="C844" s="7">
        <v>1.4518303432540236E-3</v>
      </c>
      <c r="D844" s="7">
        <v>6.3291139240506222E-2</v>
      </c>
      <c r="E844" s="7">
        <v>0.11175081192795999</v>
      </c>
      <c r="F844" s="7">
        <v>8.7131214858804373E-3</v>
      </c>
      <c r="G844" s="7"/>
      <c r="H844" s="7">
        <f t="shared" si="55"/>
        <v>3.1410651661682998E-3</v>
      </c>
      <c r="I844" s="7">
        <f t="shared" si="56"/>
        <v>-7.2612911426264137E-3</v>
      </c>
      <c r="J844" s="7">
        <f t="shared" si="57"/>
        <v>5.4578017754625785E-2</v>
      </c>
      <c r="K844" s="7">
        <f t="shared" si="58"/>
        <v>0.10303769044207955</v>
      </c>
      <c r="L844" s="7"/>
    </row>
    <row r="845" spans="1:12" x14ac:dyDescent="0.25">
      <c r="A845" s="2" t="s">
        <v>161</v>
      </c>
      <c r="B845" s="7">
        <v>-9.5018324962671263E-3</v>
      </c>
      <c r="C845" s="7">
        <v>-1.4713395320322897E-2</v>
      </c>
      <c r="D845" s="7">
        <v>4.237288135593209E-3</v>
      </c>
      <c r="E845" s="7">
        <v>7.8857312899867082E-3</v>
      </c>
      <c r="F845" s="7">
        <v>-8.9357940159231486E-3</v>
      </c>
      <c r="G845" s="7"/>
      <c r="H845" s="7">
        <f t="shared" si="55"/>
        <v>-5.6603848034397775E-4</v>
      </c>
      <c r="I845" s="7">
        <f t="shared" si="56"/>
        <v>-5.7776013043997487E-3</v>
      </c>
      <c r="J845" s="7">
        <f t="shared" si="57"/>
        <v>1.3173082151516358E-2</v>
      </c>
      <c r="K845" s="7">
        <f t="shared" si="58"/>
        <v>1.6821525305909857E-2</v>
      </c>
      <c r="L845" s="7"/>
    </row>
    <row r="846" spans="1:12" x14ac:dyDescent="0.25">
      <c r="A846" s="2" t="s">
        <v>925</v>
      </c>
      <c r="B846" s="7">
        <v>1.9301279833967344E-2</v>
      </c>
      <c r="C846" s="7">
        <v>2.9668595476065374E-2</v>
      </c>
      <c r="D846" s="7">
        <v>4.4247787610619538E-2</v>
      </c>
      <c r="E846" s="7">
        <v>1.4337458496830546E-2</v>
      </c>
      <c r="F846" s="7">
        <v>9.2407939601200084E-3</v>
      </c>
      <c r="G846" s="7"/>
      <c r="H846" s="7">
        <f t="shared" si="55"/>
        <v>1.0060485873847336E-2</v>
      </c>
      <c r="I846" s="7">
        <f t="shared" si="56"/>
        <v>2.0427801515945365E-2</v>
      </c>
      <c r="J846" s="7">
        <f t="shared" si="57"/>
        <v>3.5006993650499529E-2</v>
      </c>
      <c r="K846" s="7">
        <f t="shared" si="58"/>
        <v>5.0966645367105379E-3</v>
      </c>
      <c r="L846" s="7"/>
    </row>
    <row r="847" spans="1:12" x14ac:dyDescent="0.25">
      <c r="A847" s="2" t="s">
        <v>926</v>
      </c>
      <c r="B847" s="7">
        <v>8.8970920596655123E-2</v>
      </c>
      <c r="C847" s="7">
        <v>4.3015472402063049E-2</v>
      </c>
      <c r="D847" s="7">
        <v>-1.7391304347826098E-2</v>
      </c>
      <c r="E847" s="7">
        <v>7.5998700876908298E-2</v>
      </c>
      <c r="F847" s="7">
        <v>5.5434472345454289E-2</v>
      </c>
      <c r="G847" s="7"/>
      <c r="H847" s="7">
        <f t="shared" si="55"/>
        <v>3.3536448251200834E-2</v>
      </c>
      <c r="I847" s="7">
        <f t="shared" si="56"/>
        <v>-1.241899994339124E-2</v>
      </c>
      <c r="J847" s="7">
        <f t="shared" si="57"/>
        <v>-7.2825776693280386E-2</v>
      </c>
      <c r="K847" s="7">
        <f t="shared" si="58"/>
        <v>2.056422853145401E-2</v>
      </c>
      <c r="L847" s="7"/>
    </row>
    <row r="848" spans="1:12" x14ac:dyDescent="0.25">
      <c r="A848" s="2" t="s">
        <v>927</v>
      </c>
      <c r="B848" s="7">
        <v>-3.3211944646758917E-2</v>
      </c>
      <c r="C848" s="7">
        <v>-1.2140921409214189E-2</v>
      </c>
      <c r="D848" s="7">
        <v>-6.5040650406504086E-2</v>
      </c>
      <c r="E848" s="7">
        <v>-4.822256568778982E-2</v>
      </c>
      <c r="F848" s="7">
        <v>-2.0777877333723382E-2</v>
      </c>
      <c r="G848" s="7"/>
      <c r="H848" s="7">
        <f t="shared" si="55"/>
        <v>-1.2434067313035535E-2</v>
      </c>
      <c r="I848" s="7">
        <f t="shared" si="56"/>
        <v>8.6369559245091931E-3</v>
      </c>
      <c r="J848" s="7">
        <f t="shared" si="57"/>
        <v>-4.4262773072780703E-2</v>
      </c>
      <c r="K848" s="7">
        <f t="shared" si="58"/>
        <v>-2.7444688354066438E-2</v>
      </c>
      <c r="L848" s="7"/>
    </row>
    <row r="849" spans="1:12" x14ac:dyDescent="0.25">
      <c r="A849" s="2" t="s">
        <v>928</v>
      </c>
      <c r="B849" s="7">
        <v>4.1687998244717139E-3</v>
      </c>
      <c r="C849" s="7">
        <v>5.3400174367914666E-3</v>
      </c>
      <c r="D849" s="7">
        <v>1.6528925619834656E-2</v>
      </c>
      <c r="E849" s="7">
        <v>-2.2658610271903301E-2</v>
      </c>
      <c r="F849" s="7">
        <v>5.5978774823999267E-3</v>
      </c>
      <c r="G849" s="7"/>
      <c r="H849" s="7">
        <f t="shared" si="55"/>
        <v>-1.4290776579282127E-3</v>
      </c>
      <c r="I849" s="7">
        <f t="shared" si="56"/>
        <v>-2.578600456084601E-4</v>
      </c>
      <c r="J849" s="7">
        <f t="shared" si="57"/>
        <v>1.0931048137434729E-2</v>
      </c>
      <c r="K849" s="7">
        <f t="shared" si="58"/>
        <v>-2.8256487754303228E-2</v>
      </c>
      <c r="L849" s="7"/>
    </row>
    <row r="850" spans="1:12" x14ac:dyDescent="0.25">
      <c r="A850" s="2" t="s">
        <v>162</v>
      </c>
      <c r="B850" s="7">
        <v>3.8913362701908927E-3</v>
      </c>
      <c r="C850" s="7">
        <v>-1.3060513713538668E-3</v>
      </c>
      <c r="D850" s="7">
        <v>-8.1967213114754189E-3</v>
      </c>
      <c r="E850" s="7">
        <v>-1.5082956259425684E-3</v>
      </c>
      <c r="F850" s="7">
        <v>9.6139820450598101E-3</v>
      </c>
      <c r="G850" s="7"/>
      <c r="H850" s="7">
        <f t="shared" si="55"/>
        <v>-5.7226457748689175E-3</v>
      </c>
      <c r="I850" s="7">
        <f t="shared" si="56"/>
        <v>-1.0920033416413677E-2</v>
      </c>
      <c r="J850" s="7">
        <f t="shared" si="57"/>
        <v>-1.7810703356535229E-2</v>
      </c>
      <c r="K850" s="7">
        <f t="shared" si="58"/>
        <v>-1.1122277671002379E-2</v>
      </c>
      <c r="L850" s="7"/>
    </row>
    <row r="851" spans="1:12" x14ac:dyDescent="0.25">
      <c r="A851" s="2" t="s">
        <v>929</v>
      </c>
      <c r="B851" s="7">
        <v>-1.905320240363606E-3</v>
      </c>
      <c r="C851" s="7">
        <v>1.6259263355823395E-2</v>
      </c>
      <c r="D851" s="7">
        <v>8.2644628099173278E-3</v>
      </c>
      <c r="E851" s="7">
        <v>7.0563539480058113E-2</v>
      </c>
      <c r="F851" s="7">
        <v>1.3618682272863003E-2</v>
      </c>
      <c r="G851" s="7"/>
      <c r="H851" s="7">
        <f t="shared" si="55"/>
        <v>-1.5524002513226609E-2</v>
      </c>
      <c r="I851" s="7">
        <f t="shared" si="56"/>
        <v>2.6405810829603915E-3</v>
      </c>
      <c r="J851" s="7">
        <f t="shared" si="57"/>
        <v>-5.3542194629456752E-3</v>
      </c>
      <c r="K851" s="7">
        <f t="shared" si="58"/>
        <v>5.694485720719511E-2</v>
      </c>
      <c r="L851" s="7"/>
    </row>
    <row r="852" spans="1:12" x14ac:dyDescent="0.25">
      <c r="A852" s="2" t="s">
        <v>930</v>
      </c>
      <c r="B852" s="7">
        <v>-4.2385964912280638E-2</v>
      </c>
      <c r="C852" s="7">
        <v>-1.1059500110599529E-4</v>
      </c>
      <c r="D852" s="7">
        <v>5.6768558951965087E-2</v>
      </c>
      <c r="E852" s="7">
        <v>7.8112286411715637E-3</v>
      </c>
      <c r="F852" s="7">
        <v>-1.0585979163175718E-2</v>
      </c>
      <c r="G852" s="7"/>
      <c r="H852" s="7">
        <f t="shared" si="55"/>
        <v>-3.179998574910492E-2</v>
      </c>
      <c r="I852" s="7">
        <f t="shared" si="56"/>
        <v>1.0475384162069723E-2</v>
      </c>
      <c r="J852" s="7">
        <f t="shared" si="57"/>
        <v>6.7354538115140805E-2</v>
      </c>
      <c r="K852" s="7">
        <f t="shared" si="58"/>
        <v>1.8397207804347282E-2</v>
      </c>
      <c r="L852" s="7"/>
    </row>
    <row r="853" spans="1:12" x14ac:dyDescent="0.25">
      <c r="A853" s="2" t="s">
        <v>931</v>
      </c>
      <c r="B853" s="7">
        <v>-3.7357292440721501E-2</v>
      </c>
      <c r="C853" s="7">
        <v>-1.9518542615484691E-2</v>
      </c>
      <c r="D853" s="7">
        <v>4.3859649122808264E-3</v>
      </c>
      <c r="E853" s="7">
        <v>-1.7585931254995968E-2</v>
      </c>
      <c r="F853" s="7">
        <v>-2.5001944970306722E-2</v>
      </c>
      <c r="G853" s="7"/>
      <c r="H853" s="7">
        <f t="shared" si="55"/>
        <v>-1.2355347470414779E-2</v>
      </c>
      <c r="I853" s="7">
        <f t="shared" si="56"/>
        <v>5.4834023548220312E-3</v>
      </c>
      <c r="J853" s="7">
        <f t="shared" si="57"/>
        <v>2.9387909882587548E-2</v>
      </c>
      <c r="K853" s="7">
        <f t="shared" si="58"/>
        <v>7.4160137153107542E-3</v>
      </c>
      <c r="L853" s="7"/>
    </row>
    <row r="854" spans="1:12" x14ac:dyDescent="0.25">
      <c r="A854" s="2" t="s">
        <v>932</v>
      </c>
      <c r="B854" s="7">
        <v>-1.7521736244773267E-2</v>
      </c>
      <c r="C854" s="7">
        <v>-3.8885288399221896E-3</v>
      </c>
      <c r="D854" s="7">
        <v>2.7027027027026751E-2</v>
      </c>
      <c r="E854" s="7">
        <v>3.5939052666445814E-2</v>
      </c>
      <c r="F854" s="7">
        <v>-4.10126085362017E-3</v>
      </c>
      <c r="G854" s="7"/>
      <c r="H854" s="7">
        <f t="shared" si="55"/>
        <v>-1.3420475391153097E-2</v>
      </c>
      <c r="I854" s="7">
        <f t="shared" si="56"/>
        <v>2.1273201369798045E-4</v>
      </c>
      <c r="J854" s="7">
        <f t="shared" si="57"/>
        <v>3.1128287880646921E-2</v>
      </c>
      <c r="K854" s="7">
        <f t="shared" si="58"/>
        <v>4.0040313520065984E-2</v>
      </c>
      <c r="L854" s="7"/>
    </row>
    <row r="855" spans="1:12" x14ac:dyDescent="0.25">
      <c r="A855" s="2" t="s">
        <v>163</v>
      </c>
      <c r="B855" s="7">
        <v>-1.5421812716460925E-2</v>
      </c>
      <c r="C855" s="7">
        <v>-6.332510464741925E-3</v>
      </c>
      <c r="D855" s="7">
        <v>2.7777777777777901E-2</v>
      </c>
      <c r="E855" s="7">
        <v>-2.4781100280851787E-3</v>
      </c>
      <c r="F855" s="7">
        <v>-7.4543841930141408E-3</v>
      </c>
      <c r="G855" s="7"/>
      <c r="H855" s="7">
        <f t="shared" si="55"/>
        <v>-7.9674285234467845E-3</v>
      </c>
      <c r="I855" s="7">
        <f t="shared" si="56"/>
        <v>1.1218737282722158E-3</v>
      </c>
      <c r="J855" s="7">
        <f t="shared" si="57"/>
        <v>3.5232161970792042E-2</v>
      </c>
      <c r="K855" s="7">
        <f t="shared" si="58"/>
        <v>4.9762741649289621E-3</v>
      </c>
      <c r="L855" s="7"/>
    </row>
    <row r="856" spans="1:12" x14ac:dyDescent="0.25">
      <c r="A856" s="2" t="s">
        <v>933</v>
      </c>
      <c r="B856" s="7">
        <v>7.5555243182457099E-2</v>
      </c>
      <c r="C856" s="7">
        <v>3.0869661429519857E-2</v>
      </c>
      <c r="D856" s="7">
        <v>-1.3698630136986245E-2</v>
      </c>
      <c r="E856" s="7">
        <v>-3.1984647369262764E-2</v>
      </c>
      <c r="F856" s="7">
        <v>2.4626375646783716E-2</v>
      </c>
      <c r="G856" s="7"/>
      <c r="H856" s="7">
        <f t="shared" si="55"/>
        <v>5.0928867535673383E-2</v>
      </c>
      <c r="I856" s="7">
        <f t="shared" si="56"/>
        <v>6.243285782736141E-3</v>
      </c>
      <c r="J856" s="7">
        <f t="shared" si="57"/>
        <v>-3.8325005783769961E-2</v>
      </c>
      <c r="K856" s="7">
        <f t="shared" si="58"/>
        <v>-5.661102301604648E-2</v>
      </c>
      <c r="L856" s="7"/>
    </row>
    <row r="857" spans="1:12" x14ac:dyDescent="0.25">
      <c r="A857" s="2" t="s">
        <v>934</v>
      </c>
      <c r="B857" s="7">
        <v>-3.0459965928449684E-2</v>
      </c>
      <c r="C857" s="7">
        <v>8.8593576965667609E-4</v>
      </c>
      <c r="D857" s="7">
        <v>-1.7937219730941756E-2</v>
      </c>
      <c r="E857" s="7">
        <v>-3.8887181063633536E-2</v>
      </c>
      <c r="F857" s="7">
        <v>-6.0825980264187507E-3</v>
      </c>
      <c r="G857" s="7"/>
      <c r="H857" s="7">
        <f t="shared" si="55"/>
        <v>-2.4377367902030933E-2</v>
      </c>
      <c r="I857" s="7">
        <f t="shared" si="56"/>
        <v>6.9685337960754268E-3</v>
      </c>
      <c r="J857" s="7">
        <f t="shared" si="57"/>
        <v>-1.1854621704523005E-2</v>
      </c>
      <c r="K857" s="7">
        <f t="shared" si="58"/>
        <v>-3.2804583037214785E-2</v>
      </c>
      <c r="L857" s="7"/>
    </row>
    <row r="858" spans="1:12" x14ac:dyDescent="0.25">
      <c r="A858" s="2" t="s">
        <v>935</v>
      </c>
      <c r="B858" s="7">
        <v>-1.9640590553811177E-2</v>
      </c>
      <c r="C858" s="7">
        <v>3.5431716546267644E-2</v>
      </c>
      <c r="D858" s="7">
        <v>-3.8793103448275801E-2</v>
      </c>
      <c r="E858" s="7">
        <v>8.3610926049300538E-2</v>
      </c>
      <c r="F858" s="7">
        <v>-7.3877137474703813E-3</v>
      </c>
      <c r="G858" s="7"/>
      <c r="H858" s="7">
        <f t="shared" si="55"/>
        <v>-1.2252876806340796E-2</v>
      </c>
      <c r="I858" s="7">
        <f t="shared" si="56"/>
        <v>4.2819430293738026E-2</v>
      </c>
      <c r="J858" s="7">
        <f t="shared" si="57"/>
        <v>-3.1405389700805419E-2</v>
      </c>
      <c r="K858" s="7">
        <f t="shared" si="58"/>
        <v>9.0998639796770919E-2</v>
      </c>
      <c r="L858" s="7"/>
    </row>
    <row r="859" spans="1:12" x14ac:dyDescent="0.25">
      <c r="A859" s="2" t="s">
        <v>936</v>
      </c>
      <c r="B859" s="7">
        <v>1.9339462036091382E-2</v>
      </c>
      <c r="C859" s="7">
        <v>1.0330578512396382E-3</v>
      </c>
      <c r="D859" s="7">
        <v>2.2026431718061623E-2</v>
      </c>
      <c r="E859" s="7">
        <v>1.1672502918125272E-3</v>
      </c>
      <c r="F859" s="7">
        <v>1.6266649812763712E-2</v>
      </c>
      <c r="G859" s="7"/>
      <c r="H859" s="7">
        <f t="shared" si="55"/>
        <v>3.07281222332767E-3</v>
      </c>
      <c r="I859" s="7">
        <f t="shared" si="56"/>
        <v>-1.5233591961524073E-2</v>
      </c>
      <c r="J859" s="7">
        <f t="shared" si="57"/>
        <v>5.7597819052979116E-3</v>
      </c>
      <c r="K859" s="7">
        <f t="shared" si="58"/>
        <v>-1.5099399520951184E-2</v>
      </c>
      <c r="L859" s="7"/>
    </row>
    <row r="860" spans="1:12" x14ac:dyDescent="0.25">
      <c r="A860" s="2" t="s">
        <v>164</v>
      </c>
      <c r="B860" s="7">
        <v>1.4788197083822618E-2</v>
      </c>
      <c r="C860" s="7">
        <v>1.3376759334651656E-2</v>
      </c>
      <c r="D860" s="7">
        <v>-2.5751072961373467E-2</v>
      </c>
      <c r="E860" s="7">
        <v>-0.12516411378555792</v>
      </c>
      <c r="F860" s="7">
        <v>1.1881953234294862E-2</v>
      </c>
      <c r="G860" s="7"/>
      <c r="H860" s="7">
        <f t="shared" si="55"/>
        <v>2.9062438495277565E-3</v>
      </c>
      <c r="I860" s="7">
        <f t="shared" si="56"/>
        <v>1.4948061003567936E-3</v>
      </c>
      <c r="J860" s="7">
        <f t="shared" si="57"/>
        <v>-3.7633026195668329E-2</v>
      </c>
      <c r="K860" s="7">
        <f t="shared" si="58"/>
        <v>-0.13704606701985278</v>
      </c>
      <c r="L860" s="7"/>
    </row>
    <row r="861" spans="1:12" x14ac:dyDescent="0.25">
      <c r="A861" s="2" t="s">
        <v>937</v>
      </c>
      <c r="B861" s="7">
        <v>2.7113350841081907E-2</v>
      </c>
      <c r="C861" s="7">
        <v>3.279673234022118E-2</v>
      </c>
      <c r="D861" s="7">
        <v>2.6431718061673992E-2</v>
      </c>
      <c r="E861" s="7">
        <v>2.1929824561401912E-3</v>
      </c>
      <c r="F861" s="7">
        <v>2.3724828003862664E-2</v>
      </c>
      <c r="G861" s="7"/>
      <c r="H861" s="7">
        <f t="shared" si="55"/>
        <v>3.3885228372192433E-3</v>
      </c>
      <c r="I861" s="7">
        <f t="shared" si="56"/>
        <v>9.0719043363585161E-3</v>
      </c>
      <c r="J861" s="7">
        <f t="shared" si="57"/>
        <v>2.7068900578113286E-3</v>
      </c>
      <c r="K861" s="7">
        <f t="shared" si="58"/>
        <v>-2.1531845547722472E-2</v>
      </c>
      <c r="L861" s="7"/>
    </row>
    <row r="862" spans="1:12" x14ac:dyDescent="0.25">
      <c r="A862" s="2" t="s">
        <v>938</v>
      </c>
      <c r="B862" s="7">
        <v>-3.2543332154227889E-3</v>
      </c>
      <c r="C862" s="7">
        <v>-9.637120761451512E-3</v>
      </c>
      <c r="D862" s="7">
        <v>-2.5751072961373467E-2</v>
      </c>
      <c r="E862" s="7">
        <v>1.0638297872340496E-2</v>
      </c>
      <c r="F862" s="7">
        <v>-7.9509412312320782E-3</v>
      </c>
      <c r="G862" s="7"/>
      <c r="H862" s="7">
        <f t="shared" si="55"/>
        <v>4.6966080158092893E-3</v>
      </c>
      <c r="I862" s="7">
        <f t="shared" si="56"/>
        <v>-1.6861795302194338E-3</v>
      </c>
      <c r="J862" s="7">
        <f t="shared" si="57"/>
        <v>-1.7800131730141389E-2</v>
      </c>
      <c r="K862" s="7">
        <f t="shared" si="58"/>
        <v>1.8589239103572575E-2</v>
      </c>
      <c r="L862" s="7"/>
    </row>
    <row r="863" spans="1:12" x14ac:dyDescent="0.25">
      <c r="A863" s="2" t="s">
        <v>939</v>
      </c>
      <c r="B863" s="7">
        <v>7.0796460176980602E-4</v>
      </c>
      <c r="C863" s="7">
        <v>-1.5000585960389112E-2</v>
      </c>
      <c r="D863" s="7">
        <v>-1.2711864406779627E-2</v>
      </c>
      <c r="E863" s="7">
        <v>-6.648275862068953E-2</v>
      </c>
      <c r="F863" s="7">
        <v>-6.6720788821446053E-3</v>
      </c>
      <c r="G863" s="7"/>
      <c r="H863" s="7">
        <f t="shared" si="55"/>
        <v>7.3800434839144113E-3</v>
      </c>
      <c r="I863" s="7">
        <f t="shared" si="56"/>
        <v>-8.328507078244507E-3</v>
      </c>
      <c r="J863" s="7">
        <f t="shared" si="57"/>
        <v>-6.0397855246350218E-3</v>
      </c>
      <c r="K863" s="7">
        <f t="shared" si="58"/>
        <v>-5.9810679738544925E-2</v>
      </c>
      <c r="L863" s="7"/>
    </row>
    <row r="864" spans="1:12" x14ac:dyDescent="0.25">
      <c r="A864" s="2" t="s">
        <v>940</v>
      </c>
      <c r="B864" s="7">
        <v>9.4332880726077928E-3</v>
      </c>
      <c r="C864" s="7">
        <v>1.8257756563245797E-2</v>
      </c>
      <c r="D864" s="7">
        <v>2.6086956521739202E-2</v>
      </c>
      <c r="E864" s="7">
        <v>-5.623371279659839E-3</v>
      </c>
      <c r="F864" s="7">
        <v>1.1427561549232745E-2</v>
      </c>
      <c r="G864" s="7"/>
      <c r="H864" s="7">
        <f t="shared" si="55"/>
        <v>-1.9942734766249526E-3</v>
      </c>
      <c r="I864" s="7">
        <f t="shared" si="56"/>
        <v>6.8301950140130518E-3</v>
      </c>
      <c r="J864" s="7">
        <f t="shared" si="57"/>
        <v>1.4659394972506457E-2</v>
      </c>
      <c r="K864" s="7">
        <f t="shared" si="58"/>
        <v>-1.7050932828892584E-2</v>
      </c>
      <c r="L864" s="7"/>
    </row>
    <row r="865" spans="1:12" x14ac:dyDescent="0.25">
      <c r="A865" s="2" t="s">
        <v>165</v>
      </c>
      <c r="B865" s="7">
        <v>2.9124071486357428E-2</v>
      </c>
      <c r="C865" s="7">
        <v>2.0327633624297459E-3</v>
      </c>
      <c r="D865" s="7">
        <v>5.0228310502283158E-2</v>
      </c>
      <c r="E865" s="7">
        <v>5.1333813987022303E-2</v>
      </c>
      <c r="F865" s="7">
        <v>2.6480085513260976E-2</v>
      </c>
      <c r="G865" s="7"/>
      <c r="H865" s="7">
        <f t="shared" si="55"/>
        <v>2.6439859730964521E-3</v>
      </c>
      <c r="I865" s="7">
        <f t="shared" si="56"/>
        <v>-2.444732215083123E-2</v>
      </c>
      <c r="J865" s="7">
        <f t="shared" si="57"/>
        <v>2.3748224989022182E-2</v>
      </c>
      <c r="K865" s="7">
        <f t="shared" si="58"/>
        <v>2.4853728473761327E-2</v>
      </c>
      <c r="L865" s="7"/>
    </row>
    <row r="866" spans="1:12" x14ac:dyDescent="0.25">
      <c r="A866" s="2" t="s">
        <v>941</v>
      </c>
      <c r="B866" s="7">
        <v>-3.2241992882562243E-2</v>
      </c>
      <c r="C866" s="7">
        <v>-5.4703294089666343E-3</v>
      </c>
      <c r="D866" s="7">
        <v>5.2884615384615419E-2</v>
      </c>
      <c r="E866" s="7">
        <v>-2.6530039303761965E-2</v>
      </c>
      <c r="F866" s="7">
        <v>-2.3662705624933444E-2</v>
      </c>
      <c r="G866" s="7"/>
      <c r="H866" s="7">
        <f t="shared" si="55"/>
        <v>-8.5792872576287982E-3</v>
      </c>
      <c r="I866" s="7">
        <f t="shared" si="56"/>
        <v>1.819237621596681E-2</v>
      </c>
      <c r="J866" s="7">
        <f t="shared" si="57"/>
        <v>7.6547321009548863E-2</v>
      </c>
      <c r="K866" s="7">
        <f t="shared" si="58"/>
        <v>-2.8673336788285209E-3</v>
      </c>
      <c r="L866" s="7"/>
    </row>
    <row r="867" spans="1:12" x14ac:dyDescent="0.25">
      <c r="A867" s="2" t="s">
        <v>942</v>
      </c>
      <c r="B867" s="7">
        <v>3.3620245714706121E-2</v>
      </c>
      <c r="C867" s="7">
        <v>4.876527812422049E-2</v>
      </c>
      <c r="D867" s="7">
        <v>6.1224489795918435E-2</v>
      </c>
      <c r="E867" s="7">
        <v>-9.4549499443827845E-3</v>
      </c>
      <c r="F867" s="7">
        <v>2.5965675434648228E-2</v>
      </c>
      <c r="G867" s="7"/>
      <c r="H867" s="7">
        <f t="shared" si="55"/>
        <v>7.654570280057893E-3</v>
      </c>
      <c r="I867" s="7">
        <f t="shared" si="56"/>
        <v>2.2799602689572263E-2</v>
      </c>
      <c r="J867" s="7">
        <f t="shared" si="57"/>
        <v>3.5258814361270208E-2</v>
      </c>
      <c r="K867" s="7">
        <f t="shared" si="58"/>
        <v>-3.5420625379031012E-2</v>
      </c>
      <c r="L867" s="7"/>
    </row>
    <row r="868" spans="1:12" x14ac:dyDescent="0.25">
      <c r="A868" s="2" t="s">
        <v>943</v>
      </c>
      <c r="B868" s="7">
        <v>-4.6133567662565156E-3</v>
      </c>
      <c r="C868" s="7">
        <v>9.9875156054940462E-4</v>
      </c>
      <c r="D868" s="7">
        <v>4.2553191489361764E-2</v>
      </c>
      <c r="E868" s="7">
        <v>4.7499301480860012E-3</v>
      </c>
      <c r="F868" s="7">
        <v>-3.2907569019515748E-3</v>
      </c>
      <c r="G868" s="7"/>
      <c r="H868" s="7">
        <f t="shared" si="55"/>
        <v>-1.3225998643049408E-3</v>
      </c>
      <c r="I868" s="7">
        <f t="shared" si="56"/>
        <v>4.2895084625009794E-3</v>
      </c>
      <c r="J868" s="7">
        <f t="shared" si="57"/>
        <v>4.5843948391313338E-2</v>
      </c>
      <c r="K868" s="7">
        <f t="shared" si="58"/>
        <v>8.040687050037576E-3</v>
      </c>
      <c r="L868" s="7"/>
    </row>
    <row r="869" spans="1:12" x14ac:dyDescent="0.25">
      <c r="A869" s="2" t="s">
        <v>944</v>
      </c>
      <c r="B869" s="7">
        <v>-1.0219612959338931E-2</v>
      </c>
      <c r="C869" s="7">
        <v>3.5078927587071096E-3</v>
      </c>
      <c r="D869" s="7">
        <v>0</v>
      </c>
      <c r="E869" s="7">
        <v>-4.8770764119601351E-2</v>
      </c>
      <c r="F869" s="7">
        <v>-6.5192296512833758E-3</v>
      </c>
      <c r="G869" s="7"/>
      <c r="H869" s="7">
        <f t="shared" si="55"/>
        <v>-3.7003833080555548E-3</v>
      </c>
      <c r="I869" s="7">
        <f t="shared" si="56"/>
        <v>1.0027122409990485E-2</v>
      </c>
      <c r="J869" s="7">
        <f t="shared" si="57"/>
        <v>6.5192296512833758E-3</v>
      </c>
      <c r="K869" s="7">
        <f t="shared" si="58"/>
        <v>-4.2251534468317975E-2</v>
      </c>
      <c r="L869" s="7"/>
    </row>
    <row r="870" spans="1:12" x14ac:dyDescent="0.25">
      <c r="A870" s="2" t="s">
        <v>166</v>
      </c>
      <c r="B870" s="7">
        <v>2.3247366509262513E-3</v>
      </c>
      <c r="C870" s="7">
        <v>8.7198281309237569E-3</v>
      </c>
      <c r="D870" s="7">
        <v>-3.5897435897435881E-2</v>
      </c>
      <c r="E870" s="7">
        <v>-2.4627349319507497E-2</v>
      </c>
      <c r="F870" s="7">
        <v>-7.4924580867443691E-3</v>
      </c>
      <c r="G870" s="7"/>
      <c r="H870" s="7">
        <f t="shared" si="55"/>
        <v>9.8171947376706203E-3</v>
      </c>
      <c r="I870" s="7">
        <f t="shared" si="56"/>
        <v>1.6212286217668126E-2</v>
      </c>
      <c r="J870" s="7">
        <f t="shared" si="57"/>
        <v>-2.8404977810691512E-2</v>
      </c>
      <c r="K870" s="7">
        <f t="shared" si="58"/>
        <v>-1.7134891232763128E-2</v>
      </c>
      <c r="L870" s="7"/>
    </row>
    <row r="871" spans="1:12" x14ac:dyDescent="0.25">
      <c r="A871" s="2" t="s">
        <v>945</v>
      </c>
      <c r="B871" s="7">
        <v>-3.6738978306508074E-2</v>
      </c>
      <c r="C871" s="7">
        <v>-3.2404010760577195E-2</v>
      </c>
      <c r="D871" s="7">
        <v>3.1746031746031855E-2</v>
      </c>
      <c r="E871" s="7">
        <v>-3.6588411588411529E-2</v>
      </c>
      <c r="F871" s="7">
        <v>-2.8003589245083504E-2</v>
      </c>
      <c r="G871" s="7"/>
      <c r="H871" s="7">
        <f t="shared" si="55"/>
        <v>-8.7353890614245699E-3</v>
      </c>
      <c r="I871" s="7">
        <f t="shared" si="56"/>
        <v>-4.400421515493691E-3</v>
      </c>
      <c r="J871" s="7">
        <f t="shared" si="57"/>
        <v>5.974962099111536E-2</v>
      </c>
      <c r="K871" s="7">
        <f t="shared" si="58"/>
        <v>-8.5848223433280246E-3</v>
      </c>
      <c r="L871" s="7"/>
    </row>
    <row r="872" spans="1:12" x14ac:dyDescent="0.25">
      <c r="A872" s="2" t="s">
        <v>946</v>
      </c>
      <c r="B872" s="7">
        <v>-6.6041014946123244E-3</v>
      </c>
      <c r="C872" s="7">
        <v>-3.5158093440302074E-2</v>
      </c>
      <c r="D872" s="7">
        <v>1.6129032258064502E-2</v>
      </c>
      <c r="E872" s="7">
        <v>-7.4868979286246695E-4</v>
      </c>
      <c r="F872" s="7">
        <v>-1.0245078344716774E-2</v>
      </c>
      <c r="G872" s="7"/>
      <c r="H872" s="7">
        <f t="shared" si="55"/>
        <v>3.6409768501044493E-3</v>
      </c>
      <c r="I872" s="7">
        <f t="shared" si="56"/>
        <v>-2.49130150955853E-2</v>
      </c>
      <c r="J872" s="7">
        <f t="shared" si="57"/>
        <v>2.6374110602781276E-2</v>
      </c>
      <c r="K872" s="7">
        <f t="shared" si="58"/>
        <v>9.4963885518543067E-3</v>
      </c>
      <c r="L872" s="7"/>
    </row>
    <row r="873" spans="1:12" x14ac:dyDescent="0.25">
      <c r="A873" s="2" t="s">
        <v>947</v>
      </c>
      <c r="B873" s="7">
        <v>2.0200612984118127E-3</v>
      </c>
      <c r="C873" s="7">
        <v>-3.8782465624632723E-3</v>
      </c>
      <c r="D873" s="7">
        <v>-3.6269430051813378E-2</v>
      </c>
      <c r="E873" s="7">
        <v>3.2548823234852531E-3</v>
      </c>
      <c r="F873" s="7">
        <v>-2.0179744811957834E-3</v>
      </c>
      <c r="G873" s="7"/>
      <c r="H873" s="7">
        <f t="shared" si="55"/>
        <v>4.0380357796075961E-3</v>
      </c>
      <c r="I873" s="7">
        <f t="shared" si="56"/>
        <v>-1.8602720812674889E-3</v>
      </c>
      <c r="J873" s="7">
        <f t="shared" si="57"/>
        <v>-3.4251455570617595E-2</v>
      </c>
      <c r="K873" s="7">
        <f t="shared" si="58"/>
        <v>5.2728568046810365E-3</v>
      </c>
      <c r="L873" s="7"/>
    </row>
    <row r="874" spans="1:12" x14ac:dyDescent="0.25">
      <c r="A874" s="2" t="s">
        <v>948</v>
      </c>
      <c r="B874" s="7">
        <v>2.5648353218546749E-2</v>
      </c>
      <c r="C874" s="7">
        <v>2.1120844833793395E-2</v>
      </c>
      <c r="D874" s="7">
        <v>-2.5252525252525304E-2</v>
      </c>
      <c r="E874" s="7">
        <v>4.5549738219895053E-2</v>
      </c>
      <c r="F874" s="7">
        <v>3.0583700111188827E-2</v>
      </c>
      <c r="G874" s="7"/>
      <c r="H874" s="7">
        <f t="shared" si="55"/>
        <v>-4.9353468926420785E-3</v>
      </c>
      <c r="I874" s="7">
        <f t="shared" si="56"/>
        <v>-9.4628552773954322E-3</v>
      </c>
      <c r="J874" s="7">
        <f t="shared" si="57"/>
        <v>-5.5836225363714131E-2</v>
      </c>
      <c r="K874" s="7">
        <f t="shared" si="58"/>
        <v>1.4966038108706226E-2</v>
      </c>
      <c r="L874" s="7"/>
    </row>
    <row r="875" spans="1:12" x14ac:dyDescent="0.25">
      <c r="A875" s="2" t="s">
        <v>167</v>
      </c>
      <c r="B875" s="7">
        <v>3.0782826423153553E-2</v>
      </c>
      <c r="C875" s="7">
        <v>2.4717166748647434E-2</v>
      </c>
      <c r="D875" s="7">
        <v>3.125E-2</v>
      </c>
      <c r="E875" s="7">
        <v>5.660128998288938E-3</v>
      </c>
      <c r="F875" s="7">
        <v>2.5883947546031072E-2</v>
      </c>
      <c r="G875" s="7"/>
      <c r="H875" s="7">
        <f t="shared" si="55"/>
        <v>4.8988788771224812E-3</v>
      </c>
      <c r="I875" s="7">
        <f t="shared" si="56"/>
        <v>-1.1667807973836375E-3</v>
      </c>
      <c r="J875" s="7">
        <f t="shared" si="57"/>
        <v>5.366052453968928E-3</v>
      </c>
      <c r="K875" s="7">
        <f t="shared" si="58"/>
        <v>-2.0223818547742134E-2</v>
      </c>
      <c r="L875" s="7"/>
    </row>
    <row r="876" spans="1:12" x14ac:dyDescent="0.25">
      <c r="A876" s="2" t="s">
        <v>949</v>
      </c>
      <c r="B876" s="7">
        <v>-3.0071428571428638E-2</v>
      </c>
      <c r="C876" s="7">
        <v>-1.6091954022988686E-2</v>
      </c>
      <c r="D876" s="7">
        <v>0</v>
      </c>
      <c r="E876" s="7">
        <v>1.185402237613209E-2</v>
      </c>
      <c r="F876" s="7">
        <v>-1.506673588849794E-2</v>
      </c>
      <c r="G876" s="7"/>
      <c r="H876" s="7">
        <f t="shared" si="55"/>
        <v>-1.5004692682930698E-2</v>
      </c>
      <c r="I876" s="7">
        <f t="shared" si="56"/>
        <v>-1.0252181344907463E-3</v>
      </c>
      <c r="J876" s="7">
        <f t="shared" si="57"/>
        <v>1.506673588849794E-2</v>
      </c>
      <c r="K876" s="7">
        <f t="shared" si="58"/>
        <v>2.6920758264630029E-2</v>
      </c>
      <c r="L876" s="7"/>
    </row>
    <row r="877" spans="1:12" x14ac:dyDescent="0.25">
      <c r="A877" s="2" t="s">
        <v>950</v>
      </c>
      <c r="B877" s="7">
        <v>-4.9106839638660582E-2</v>
      </c>
      <c r="C877" s="7">
        <v>-1.7358221376768457E-2</v>
      </c>
      <c r="D877" s="7">
        <v>-0.16521739130434776</v>
      </c>
      <c r="E877" s="7">
        <v>-2.3920956838273555E-2</v>
      </c>
      <c r="F877" s="7">
        <v>-2.1126419721218426E-2</v>
      </c>
      <c r="G877" s="7"/>
      <c r="H877" s="7">
        <f t="shared" si="55"/>
        <v>-2.7980419917442156E-2</v>
      </c>
      <c r="I877" s="7">
        <f t="shared" si="56"/>
        <v>3.7681983444499689E-3</v>
      </c>
      <c r="J877" s="7">
        <f t="shared" si="57"/>
        <v>-0.14409097158312933</v>
      </c>
      <c r="K877" s="7">
        <f t="shared" si="58"/>
        <v>-2.7945371170551292E-3</v>
      </c>
      <c r="L877" s="7"/>
    </row>
    <row r="878" spans="1:12" x14ac:dyDescent="0.25">
      <c r="A878" s="2" t="s">
        <v>951</v>
      </c>
      <c r="B878" s="7">
        <v>-1.2674356223176031E-2</v>
      </c>
      <c r="C878" s="7">
        <v>1.6680768765864773E-2</v>
      </c>
      <c r="D878" s="7">
        <v>-1.7094017094017144E-2</v>
      </c>
      <c r="E878" s="7">
        <v>4.0162271805273875E-2</v>
      </c>
      <c r="F878" s="7">
        <v>1.9672140136923533E-2</v>
      </c>
      <c r="G878" s="7"/>
      <c r="H878" s="7">
        <f t="shared" si="55"/>
        <v>-3.2346496360099564E-2</v>
      </c>
      <c r="I878" s="7">
        <f t="shared" si="56"/>
        <v>-2.9913713710587597E-3</v>
      </c>
      <c r="J878" s="7">
        <f t="shared" si="57"/>
        <v>-3.6766157230940677E-2</v>
      </c>
      <c r="K878" s="7">
        <f t="shared" si="58"/>
        <v>2.0490131668350342E-2</v>
      </c>
      <c r="L878" s="7"/>
    </row>
    <row r="879" spans="1:12" x14ac:dyDescent="0.25">
      <c r="A879" s="2" t="s">
        <v>952</v>
      </c>
      <c r="B879" s="7">
        <v>6.6153638450114904E-3</v>
      </c>
      <c r="C879" s="7">
        <v>-5.1707551707550481E-3</v>
      </c>
      <c r="D879" s="7">
        <v>5.8823529411764719E-2</v>
      </c>
      <c r="E879" s="7">
        <v>-1.321056845476376E-2</v>
      </c>
      <c r="F879" s="7">
        <v>-2.1203598319033956E-3</v>
      </c>
      <c r="G879" s="7"/>
      <c r="H879" s="7">
        <f t="shared" si="55"/>
        <v>8.735723676914886E-3</v>
      </c>
      <c r="I879" s="7">
        <f t="shared" si="56"/>
        <v>-3.0503953388516525E-3</v>
      </c>
      <c r="J879" s="7">
        <f t="shared" si="57"/>
        <v>6.0943889243668115E-2</v>
      </c>
      <c r="K879" s="7">
        <f t="shared" si="58"/>
        <v>-1.1090208622860365E-2</v>
      </c>
      <c r="L879" s="7"/>
    </row>
    <row r="880" spans="1:12" x14ac:dyDescent="0.25">
      <c r="A880" s="2" t="s">
        <v>168</v>
      </c>
      <c r="B880" s="7">
        <v>2.2325959001419093E-3</v>
      </c>
      <c r="C880" s="7">
        <v>0</v>
      </c>
      <c r="D880" s="7">
        <v>9.1324200913243114E-3</v>
      </c>
      <c r="E880" s="7">
        <v>1.3361838588989983E-3</v>
      </c>
      <c r="F880" s="7">
        <v>-1.0340542018774879E-2</v>
      </c>
      <c r="G880" s="7"/>
      <c r="H880" s="7">
        <f t="shared" si="55"/>
        <v>1.2573137918916788E-2</v>
      </c>
      <c r="I880" s="7">
        <f t="shared" si="56"/>
        <v>1.0340542018774879E-2</v>
      </c>
      <c r="J880" s="7">
        <f t="shared" si="57"/>
        <v>1.947296211009919E-2</v>
      </c>
      <c r="K880" s="7">
        <f t="shared" si="58"/>
        <v>1.1676725877673877E-2</v>
      </c>
      <c r="L880" s="7"/>
    </row>
    <row r="881" spans="1:12" x14ac:dyDescent="0.25">
      <c r="A881" s="2" t="s">
        <v>953</v>
      </c>
      <c r="B881" s="7">
        <v>-1.5125266524520287E-2</v>
      </c>
      <c r="C881" s="7">
        <v>-1.0000000000000009E-2</v>
      </c>
      <c r="D881" s="7">
        <v>-6.4102564102564097E-2</v>
      </c>
      <c r="E881" s="7">
        <v>-2.3613829093281136E-2</v>
      </c>
      <c r="F881" s="7">
        <v>-1.7232616372049869E-2</v>
      </c>
      <c r="G881" s="7"/>
      <c r="H881" s="7">
        <f t="shared" si="55"/>
        <v>2.1073498475295827E-3</v>
      </c>
      <c r="I881" s="7">
        <f t="shared" si="56"/>
        <v>7.2326163720498604E-3</v>
      </c>
      <c r="J881" s="7">
        <f t="shared" si="57"/>
        <v>-4.6869947730514228E-2</v>
      </c>
      <c r="K881" s="7">
        <f t="shared" si="58"/>
        <v>-6.3812127212312664E-3</v>
      </c>
      <c r="L881" s="7"/>
    </row>
    <row r="882" spans="1:12" x14ac:dyDescent="0.25">
      <c r="A882" s="2" t="s">
        <v>954</v>
      </c>
      <c r="B882" s="7">
        <v>-6.3559322033897026E-3</v>
      </c>
      <c r="C882" s="7">
        <v>-5.9171597633136397E-3</v>
      </c>
      <c r="D882" s="7">
        <v>-3.3057851239669422E-2</v>
      </c>
      <c r="E882" s="7">
        <v>-1.0967741935483777E-2</v>
      </c>
      <c r="F882" s="7">
        <v>-8.4275962880581146E-3</v>
      </c>
      <c r="G882" s="7"/>
      <c r="H882" s="7">
        <f t="shared" si="55"/>
        <v>2.071664084668412E-3</v>
      </c>
      <c r="I882" s="7">
        <f t="shared" si="56"/>
        <v>2.5104365247444749E-3</v>
      </c>
      <c r="J882" s="7">
        <f t="shared" si="57"/>
        <v>-2.4630254951611308E-2</v>
      </c>
      <c r="K882" s="7">
        <f t="shared" si="58"/>
        <v>-2.5401456474256623E-3</v>
      </c>
      <c r="L882" s="7"/>
    </row>
    <row r="883" spans="1:12" x14ac:dyDescent="0.25">
      <c r="A883" s="2" t="s">
        <v>955</v>
      </c>
      <c r="B883" s="7">
        <v>-2.0302263734838122E-2</v>
      </c>
      <c r="C883" s="7">
        <v>-1.4577259475218707E-2</v>
      </c>
      <c r="D883" s="7">
        <v>-1.6260162601625994E-2</v>
      </c>
      <c r="E883" s="7">
        <v>-4.8846342660775699E-2</v>
      </c>
      <c r="F883" s="7">
        <v>-1.7116493297336777E-2</v>
      </c>
      <c r="G883" s="7"/>
      <c r="H883" s="7">
        <f t="shared" si="55"/>
        <v>-3.1857704375013451E-3</v>
      </c>
      <c r="I883" s="7">
        <f t="shared" si="56"/>
        <v>2.5392338221180699E-3</v>
      </c>
      <c r="J883" s="7">
        <f t="shared" si="57"/>
        <v>8.5633069571078302E-4</v>
      </c>
      <c r="K883" s="7">
        <f t="shared" si="58"/>
        <v>-3.1729849363438922E-2</v>
      </c>
      <c r="L883" s="7"/>
    </row>
    <row r="884" spans="1:12" x14ac:dyDescent="0.25">
      <c r="A884" s="2" t="s">
        <v>956</v>
      </c>
      <c r="B884" s="7">
        <v>1.5679557283088341E-2</v>
      </c>
      <c r="C884" s="7">
        <v>-1.0484622553588174E-3</v>
      </c>
      <c r="D884" s="7">
        <v>-2.3809523809523836E-2</v>
      </c>
      <c r="E884" s="7">
        <v>-2.1261261261261266E-2</v>
      </c>
      <c r="F884" s="7">
        <v>-1.1272112803181633E-2</v>
      </c>
      <c r="G884" s="7"/>
      <c r="H884" s="7">
        <f t="shared" si="55"/>
        <v>2.6951670086269974E-2</v>
      </c>
      <c r="I884" s="7">
        <f t="shared" si="56"/>
        <v>1.0223650547822816E-2</v>
      </c>
      <c r="J884" s="7">
        <f t="shared" si="57"/>
        <v>-1.2537411006342203E-2</v>
      </c>
      <c r="K884" s="7">
        <f t="shared" si="58"/>
        <v>-9.989148458079633E-3</v>
      </c>
      <c r="L884" s="7"/>
    </row>
    <row r="885" spans="1:12" x14ac:dyDescent="0.25">
      <c r="A885" s="2" t="s">
        <v>169</v>
      </c>
      <c r="B885" s="7">
        <v>2.5054024851431489E-2</v>
      </c>
      <c r="C885" s="7">
        <v>2.3304591004436048E-4</v>
      </c>
      <c r="D885" s="7">
        <v>0.125</v>
      </c>
      <c r="E885" s="7">
        <v>1.4254385964912242E-2</v>
      </c>
      <c r="F885" s="7">
        <v>6.8571487583035662E-3</v>
      </c>
      <c r="G885" s="7"/>
      <c r="H885" s="7">
        <f t="shared" si="55"/>
        <v>1.8196876093127923E-2</v>
      </c>
      <c r="I885" s="7">
        <f t="shared" si="56"/>
        <v>-6.6241028482592057E-3</v>
      </c>
      <c r="J885" s="7">
        <f t="shared" si="57"/>
        <v>0.11814285124169643</v>
      </c>
      <c r="K885" s="7">
        <f t="shared" si="58"/>
        <v>7.3972372066086756E-3</v>
      </c>
      <c r="L885" s="7"/>
    </row>
    <row r="886" spans="1:12" x14ac:dyDescent="0.25">
      <c r="A886" s="2" t="s">
        <v>957</v>
      </c>
      <c r="B886" s="7">
        <v>-1.0953780390061341E-2</v>
      </c>
      <c r="C886" s="7">
        <v>1.6339869281043473E-3</v>
      </c>
      <c r="D886" s="7">
        <v>-4.2735042735042583E-2</v>
      </c>
      <c r="E886" s="7">
        <v>-2.7027027027027084E-2</v>
      </c>
      <c r="F886" s="7">
        <v>-7.1821292629474787E-3</v>
      </c>
      <c r="G886" s="7"/>
      <c r="H886" s="7">
        <f t="shared" si="55"/>
        <v>-3.771651127113862E-3</v>
      </c>
      <c r="I886" s="7">
        <f t="shared" si="56"/>
        <v>8.816116191051826E-3</v>
      </c>
      <c r="J886" s="7">
        <f t="shared" si="57"/>
        <v>-3.5552913472095105E-2</v>
      </c>
      <c r="K886" s="7">
        <f t="shared" si="58"/>
        <v>-1.9844897764079605E-2</v>
      </c>
      <c r="L886" s="7"/>
    </row>
    <row r="887" spans="1:12" x14ac:dyDescent="0.25">
      <c r="A887" s="2" t="s">
        <v>958</v>
      </c>
      <c r="B887" s="7">
        <v>-1.8937160081253013E-2</v>
      </c>
      <c r="C887" s="7">
        <v>-9.4797687861271074E-3</v>
      </c>
      <c r="D887" s="7">
        <v>-2.5000000000000022E-2</v>
      </c>
      <c r="E887" s="7">
        <v>-1.065719360568429E-3</v>
      </c>
      <c r="F887" s="7">
        <v>-1.1317761485652666E-2</v>
      </c>
      <c r="G887" s="7"/>
      <c r="H887" s="7">
        <f t="shared" si="55"/>
        <v>-7.6193985956003463E-3</v>
      </c>
      <c r="I887" s="7">
        <f t="shared" si="56"/>
        <v>1.8379926995255591E-3</v>
      </c>
      <c r="J887" s="7">
        <f t="shared" si="57"/>
        <v>-1.3682238514347356E-2</v>
      </c>
      <c r="K887" s="7">
        <f t="shared" si="58"/>
        <v>1.0252042125084238E-2</v>
      </c>
      <c r="L887" s="7"/>
    </row>
    <row r="888" spans="1:12" x14ac:dyDescent="0.25">
      <c r="A888" s="2" t="s">
        <v>959</v>
      </c>
      <c r="B888" s="7">
        <v>9.5924847843344985E-3</v>
      </c>
      <c r="C888" s="7">
        <v>-2.4362734040153322E-2</v>
      </c>
      <c r="D888" s="7">
        <v>4.3478260869565188E-2</v>
      </c>
      <c r="E888" s="7">
        <v>-6.1198069907025809E-3</v>
      </c>
      <c r="F888" s="7">
        <v>3.3869946525153516E-3</v>
      </c>
      <c r="G888" s="7"/>
      <c r="H888" s="7">
        <f t="shared" si="55"/>
        <v>6.2054901318191469E-3</v>
      </c>
      <c r="I888" s="7">
        <f t="shared" si="56"/>
        <v>-2.7749728692668674E-2</v>
      </c>
      <c r="J888" s="7">
        <f t="shared" si="57"/>
        <v>4.0091266217049837E-2</v>
      </c>
      <c r="K888" s="7">
        <f t="shared" si="58"/>
        <v>-9.5068016432179325E-3</v>
      </c>
      <c r="L888" s="7"/>
    </row>
    <row r="889" spans="1:12" x14ac:dyDescent="0.25">
      <c r="A889" s="2" t="s">
        <v>960</v>
      </c>
      <c r="B889" s="7">
        <v>-5.8662348984929724E-2</v>
      </c>
      <c r="C889" s="7">
        <v>-3.0402449693788247E-2</v>
      </c>
      <c r="D889" s="7">
        <v>8.7719298245614308E-3</v>
      </c>
      <c r="E889" s="7">
        <v>-5.5154008673412691E-2</v>
      </c>
      <c r="F889" s="7">
        <v>-4.3236562775976095E-2</v>
      </c>
      <c r="G889" s="7"/>
      <c r="H889" s="7">
        <f t="shared" si="55"/>
        <v>-1.5425786208953629E-2</v>
      </c>
      <c r="I889" s="7">
        <f t="shared" si="56"/>
        <v>1.2834113082187848E-2</v>
      </c>
      <c r="J889" s="7">
        <f t="shared" si="57"/>
        <v>5.2008492600537526E-2</v>
      </c>
      <c r="K889" s="7">
        <f t="shared" si="58"/>
        <v>-1.1917445897436596E-2</v>
      </c>
      <c r="L889" s="7"/>
    </row>
    <row r="890" spans="1:12" x14ac:dyDescent="0.25">
      <c r="A890" s="2" t="s">
        <v>170</v>
      </c>
      <c r="B890" s="7">
        <v>3.8478949751018732E-2</v>
      </c>
      <c r="C890" s="7">
        <v>9.2715231788080832E-3</v>
      </c>
      <c r="D890" s="7">
        <v>1.7857142857142572E-2</v>
      </c>
      <c r="E890" s="7">
        <v>2.7771428571428558E-2</v>
      </c>
      <c r="F890" s="7">
        <v>1.058426104401855E-2</v>
      </c>
      <c r="G890" s="7"/>
      <c r="H890" s="7">
        <f t="shared" si="55"/>
        <v>2.7894688707000181E-2</v>
      </c>
      <c r="I890" s="7">
        <f t="shared" si="56"/>
        <v>-1.3127378652104671E-3</v>
      </c>
      <c r="J890" s="7">
        <f t="shared" si="57"/>
        <v>7.2728818131240214E-3</v>
      </c>
      <c r="K890" s="7">
        <f t="shared" si="58"/>
        <v>1.7187167527410008E-2</v>
      </c>
      <c r="L890" s="7"/>
    </row>
    <row r="891" spans="1:12" x14ac:dyDescent="0.25">
      <c r="A891" s="2" t="s">
        <v>961</v>
      </c>
      <c r="B891" s="7">
        <v>1.8844303880872326E-2</v>
      </c>
      <c r="C891" s="7">
        <v>3.2125768967874224E-2</v>
      </c>
      <c r="D891" s="7">
        <v>2.2831050228310668E-2</v>
      </c>
      <c r="E891" s="7">
        <v>2.9169607151258603E-2</v>
      </c>
      <c r="F891" s="7">
        <v>1.5271405678227268E-2</v>
      </c>
      <c r="G891" s="7"/>
      <c r="H891" s="7">
        <f t="shared" si="55"/>
        <v>3.5728982026450584E-3</v>
      </c>
      <c r="I891" s="7">
        <f t="shared" si="56"/>
        <v>1.6854363289646956E-2</v>
      </c>
      <c r="J891" s="7">
        <f t="shared" si="57"/>
        <v>7.5596445500833997E-3</v>
      </c>
      <c r="K891" s="7">
        <f t="shared" si="58"/>
        <v>1.3898201473031335E-2</v>
      </c>
      <c r="L891" s="7"/>
    </row>
    <row r="892" spans="1:12" x14ac:dyDescent="0.25">
      <c r="A892" s="2" t="s">
        <v>962</v>
      </c>
      <c r="B892" s="7">
        <v>-9.5927956147220383E-3</v>
      </c>
      <c r="C892" s="7">
        <v>-1.0595130748421999E-2</v>
      </c>
      <c r="D892" s="7">
        <v>3.3018867924528239E-2</v>
      </c>
      <c r="E892" s="7">
        <v>-1.1854951185495288E-2</v>
      </c>
      <c r="F892" s="7">
        <v>6.6107686934497867E-3</v>
      </c>
      <c r="G892" s="7"/>
      <c r="H892" s="7">
        <f t="shared" si="55"/>
        <v>-1.6203564308171825E-2</v>
      </c>
      <c r="I892" s="7">
        <f t="shared" si="56"/>
        <v>-1.7205899441871786E-2</v>
      </c>
      <c r="J892" s="7">
        <f t="shared" si="57"/>
        <v>2.6408099231078452E-2</v>
      </c>
      <c r="K892" s="7">
        <f t="shared" si="58"/>
        <v>-1.8465719878945075E-2</v>
      </c>
      <c r="L892" s="7"/>
    </row>
    <row r="893" spans="1:12" x14ac:dyDescent="0.25">
      <c r="A893" s="2" t="s">
        <v>963</v>
      </c>
      <c r="B893" s="7">
        <v>9.2202318229714919E-3</v>
      </c>
      <c r="C893" s="7">
        <v>3.3912131453210481E-2</v>
      </c>
      <c r="D893" s="7">
        <v>3.9215686274509887E-2</v>
      </c>
      <c r="E893" s="7">
        <v>2.4285714285714466E-2</v>
      </c>
      <c r="F893" s="7">
        <v>1.8340971140093032E-2</v>
      </c>
      <c r="G893" s="7"/>
      <c r="H893" s="7">
        <f t="shared" si="55"/>
        <v>-9.1207393171215401E-3</v>
      </c>
      <c r="I893" s="7">
        <f t="shared" si="56"/>
        <v>1.5571160313117449E-2</v>
      </c>
      <c r="J893" s="7">
        <f t="shared" si="57"/>
        <v>2.0874715134416855E-2</v>
      </c>
      <c r="K893" s="7">
        <f t="shared" si="58"/>
        <v>5.9447431456214339E-3</v>
      </c>
      <c r="L893" s="7"/>
    </row>
    <row r="894" spans="1:12" x14ac:dyDescent="0.25">
      <c r="A894" s="2" t="s">
        <v>964</v>
      </c>
      <c r="B894" s="7">
        <v>-8.2299150881776084E-3</v>
      </c>
      <c r="C894" s="7">
        <v>-4.155031832905165E-2</v>
      </c>
      <c r="D894" s="7">
        <v>0.10270270270270276</v>
      </c>
      <c r="E894" s="7">
        <v>-3.6476256022023423E-2</v>
      </c>
      <c r="F894" s="7">
        <v>-4.095039574340209E-3</v>
      </c>
      <c r="G894" s="7"/>
      <c r="H894" s="7">
        <f t="shared" si="55"/>
        <v>-4.1348755138373994E-3</v>
      </c>
      <c r="I894" s="7">
        <f t="shared" si="56"/>
        <v>-3.7455278754711441E-2</v>
      </c>
      <c r="J894" s="7">
        <f t="shared" si="57"/>
        <v>0.10679774227704297</v>
      </c>
      <c r="K894" s="7">
        <f t="shared" si="58"/>
        <v>-3.2381216447683214E-2</v>
      </c>
      <c r="L894" s="7"/>
    </row>
    <row r="895" spans="1:12" x14ac:dyDescent="0.25">
      <c r="A895" s="2" t="s">
        <v>965</v>
      </c>
      <c r="B895" s="7">
        <v>-1.3594484891437442E-2</v>
      </c>
      <c r="C895" s="7">
        <v>-3.1689379191001454E-2</v>
      </c>
      <c r="D895" s="7">
        <v>4.5197740112994378E-2</v>
      </c>
      <c r="E895" s="7">
        <v>-2.0449438202247094E-2</v>
      </c>
      <c r="F895" s="7">
        <v>-1.0736478566116592E-2</v>
      </c>
      <c r="G895" s="7"/>
      <c r="H895" s="7">
        <f t="shared" si="55"/>
        <v>-2.8580063253208499E-3</v>
      </c>
      <c r="I895" s="7">
        <f t="shared" si="56"/>
        <v>-2.0952900624884863E-2</v>
      </c>
      <c r="J895" s="7">
        <f t="shared" si="57"/>
        <v>5.593421867911097E-2</v>
      </c>
      <c r="K895" s="7">
        <f t="shared" si="58"/>
        <v>-9.7129596361305026E-3</v>
      </c>
      <c r="L895" s="7"/>
    </row>
    <row r="896" spans="1:12" x14ac:dyDescent="0.25">
      <c r="A896" s="2" t="s">
        <v>966</v>
      </c>
      <c r="B896" s="7">
        <v>4.7255308130502716E-3</v>
      </c>
      <c r="C896" s="7">
        <v>1.0270979020978954E-2</v>
      </c>
      <c r="D896" s="7">
        <v>-4.3243243243243246E-2</v>
      </c>
      <c r="E896" s="7">
        <v>-1.7768458227568673E-2</v>
      </c>
      <c r="F896" s="7">
        <v>2.9962073324905081E-3</v>
      </c>
      <c r="G896" s="7"/>
      <c r="H896" s="7">
        <f t="shared" si="55"/>
        <v>1.7293234805597635E-3</v>
      </c>
      <c r="I896" s="7">
        <f t="shared" si="56"/>
        <v>7.2747716884884461E-3</v>
      </c>
      <c r="J896" s="7">
        <f t="shared" si="57"/>
        <v>-4.6239450575733754E-2</v>
      </c>
      <c r="K896" s="7">
        <f t="shared" si="58"/>
        <v>-2.0764665560059181E-2</v>
      </c>
      <c r="L896" s="7"/>
    </row>
    <row r="897" spans="1:12" x14ac:dyDescent="0.25">
      <c r="A897" s="2" t="s">
        <v>967</v>
      </c>
      <c r="B897" s="7">
        <v>-1.0631484565133853E-2</v>
      </c>
      <c r="C897" s="7">
        <v>-4.0265534878659581E-3</v>
      </c>
      <c r="D897" s="7">
        <v>7.5581395348837344E-2</v>
      </c>
      <c r="E897" s="7">
        <v>1.6719030520646161E-2</v>
      </c>
      <c r="F897" s="7">
        <v>-7.8170469825595834E-3</v>
      </c>
      <c r="G897" s="7"/>
      <c r="H897" s="7">
        <f t="shared" si="55"/>
        <v>-2.8144375825742696E-3</v>
      </c>
      <c r="I897" s="7">
        <f t="shared" si="56"/>
        <v>3.7904934946936253E-3</v>
      </c>
      <c r="J897" s="7">
        <f t="shared" si="57"/>
        <v>8.3398442331396927E-2</v>
      </c>
      <c r="K897" s="7">
        <f t="shared" si="58"/>
        <v>2.4536077503205744E-2</v>
      </c>
      <c r="L897" s="7"/>
    </row>
    <row r="898" spans="1:12" x14ac:dyDescent="0.25">
      <c r="A898" s="2" t="s">
        <v>968</v>
      </c>
      <c r="B898" s="7">
        <v>-1.5324462382544035E-2</v>
      </c>
      <c r="C898" s="7">
        <v>-1.2466415905427186E-2</v>
      </c>
      <c r="D898" s="7">
        <v>-0.10416666666666663</v>
      </c>
      <c r="E898" s="7">
        <v>-2.8558971005014033E-2</v>
      </c>
      <c r="F898" s="7">
        <v>-1.1028107408059928E-2</v>
      </c>
      <c r="G898" s="7"/>
      <c r="H898" s="7">
        <f t="shared" si="55"/>
        <v>-4.2963549744841067E-3</v>
      </c>
      <c r="I898" s="7">
        <f t="shared" si="56"/>
        <v>-1.4383084973672577E-3</v>
      </c>
      <c r="J898" s="7">
        <f t="shared" si="57"/>
        <v>-9.3138559258606701E-2</v>
      </c>
      <c r="K898" s="7">
        <f t="shared" si="58"/>
        <v>-1.7530863596954105E-2</v>
      </c>
      <c r="L898" s="7"/>
    </row>
    <row r="899" spans="1:12" x14ac:dyDescent="0.25">
      <c r="A899" s="2" t="s">
        <v>171</v>
      </c>
      <c r="B899" s="7">
        <v>-1.3684145051937602E-2</v>
      </c>
      <c r="C899" s="7">
        <v>-2.0938552188552229E-2</v>
      </c>
      <c r="D899" s="7">
        <v>1.0526315789473717E-2</v>
      </c>
      <c r="E899" s="7">
        <v>-1.4290319114644845E-2</v>
      </c>
      <c r="F899" s="7">
        <v>-6.6664037893761074E-3</v>
      </c>
      <c r="G899" s="7"/>
      <c r="H899" s="7">
        <f t="shared" ref="H899:H962" si="59">B899-$F899</f>
        <v>-7.0177412625614943E-3</v>
      </c>
      <c r="I899" s="7">
        <f t="shared" ref="I899:I962" si="60">C899-$F899</f>
        <v>-1.4272148399176121E-2</v>
      </c>
      <c r="J899" s="7">
        <f t="shared" ref="J899:J962" si="61">D899-$F899</f>
        <v>1.7192719578849824E-2</v>
      </c>
      <c r="K899" s="7">
        <f t="shared" ref="K899:K962" si="62">E899-$F899</f>
        <v>-7.6239153252687375E-3</v>
      </c>
      <c r="L899" s="7"/>
    </row>
    <row r="900" spans="1:12" x14ac:dyDescent="0.25">
      <c r="A900" s="2" t="s">
        <v>969</v>
      </c>
      <c r="B900" s="7">
        <v>-3.7708744837493202E-2</v>
      </c>
      <c r="C900" s="7">
        <v>-9.5460169410868878E-2</v>
      </c>
      <c r="D900" s="7">
        <v>-1.5544041450777257E-2</v>
      </c>
      <c r="E900" s="7">
        <v>-1.8973331927901405E-2</v>
      </c>
      <c r="F900" s="7">
        <v>-3.3688010821315006E-2</v>
      </c>
      <c r="G900" s="7"/>
      <c r="H900" s="7">
        <f t="shared" si="59"/>
        <v>-4.0207340161781957E-3</v>
      </c>
      <c r="I900" s="7">
        <f t="shared" si="60"/>
        <v>-6.1772158589553872E-2</v>
      </c>
      <c r="J900" s="7">
        <f t="shared" si="61"/>
        <v>1.8143969370537749E-2</v>
      </c>
      <c r="K900" s="7">
        <f t="shared" si="62"/>
        <v>1.4714678893413602E-2</v>
      </c>
      <c r="L900" s="7"/>
    </row>
    <row r="901" spans="1:12" x14ac:dyDescent="0.25">
      <c r="A901" s="2" t="s">
        <v>970</v>
      </c>
      <c r="B901" s="7">
        <v>1.4944414069618883E-2</v>
      </c>
      <c r="C901" s="7">
        <v>1.2235067437379454E-2</v>
      </c>
      <c r="D901" s="7">
        <v>-3.0150753768844241E-2</v>
      </c>
      <c r="E901" s="7">
        <v>7.9663138727665839E-2</v>
      </c>
      <c r="F901" s="7">
        <v>1.4091582000449021E-2</v>
      </c>
      <c r="G901" s="7"/>
      <c r="H901" s="7">
        <f t="shared" si="59"/>
        <v>8.5283206916986209E-4</v>
      </c>
      <c r="I901" s="7">
        <f t="shared" si="60"/>
        <v>-1.8565145630695667E-3</v>
      </c>
      <c r="J901" s="7">
        <f t="shared" si="61"/>
        <v>-4.4242335769293262E-2</v>
      </c>
      <c r="K901" s="7">
        <f t="shared" si="62"/>
        <v>6.5571556727216818E-2</v>
      </c>
      <c r="L901" s="7"/>
    </row>
    <row r="902" spans="1:12" x14ac:dyDescent="0.25">
      <c r="A902" s="2" t="s">
        <v>971</v>
      </c>
      <c r="B902" s="7">
        <v>1.7648490749757606E-3</v>
      </c>
      <c r="C902" s="7">
        <v>-4.98466257668706E-3</v>
      </c>
      <c r="D902" s="7">
        <v>3.1088082901554515E-2</v>
      </c>
      <c r="E902" s="7">
        <v>3.000820536865545E-2</v>
      </c>
      <c r="F902" s="7">
        <v>2.9161509713642175E-3</v>
      </c>
      <c r="G902" s="7"/>
      <c r="H902" s="7">
        <f t="shared" si="59"/>
        <v>-1.1513018963884569E-3</v>
      </c>
      <c r="I902" s="7">
        <f t="shared" si="60"/>
        <v>-7.9008135480512776E-3</v>
      </c>
      <c r="J902" s="7">
        <f t="shared" si="61"/>
        <v>2.8171931930190297E-2</v>
      </c>
      <c r="K902" s="7">
        <f t="shared" si="62"/>
        <v>2.7092054397291232E-2</v>
      </c>
      <c r="L902" s="7"/>
    </row>
    <row r="903" spans="1:12" x14ac:dyDescent="0.25">
      <c r="A903" s="2" t="s">
        <v>972</v>
      </c>
      <c r="B903" s="7">
        <v>-2.0042514424537528E-3</v>
      </c>
      <c r="C903" s="7">
        <v>1.1516314779269621E-3</v>
      </c>
      <c r="D903" s="7">
        <v>-2.5252525252525304E-2</v>
      </c>
      <c r="E903" s="7">
        <v>-2.2222222222222365E-3</v>
      </c>
      <c r="F903" s="7">
        <v>-2.2378014446627903E-3</v>
      </c>
      <c r="G903" s="7"/>
      <c r="H903" s="7">
        <f t="shared" si="59"/>
        <v>2.3355000220903754E-4</v>
      </c>
      <c r="I903" s="7">
        <f t="shared" si="60"/>
        <v>3.3894329225897524E-3</v>
      </c>
      <c r="J903" s="7">
        <f t="shared" si="61"/>
        <v>-2.3014723807862514E-2</v>
      </c>
      <c r="K903" s="7">
        <f t="shared" si="62"/>
        <v>1.5579222440553764E-5</v>
      </c>
      <c r="L903" s="7"/>
    </row>
    <row r="904" spans="1:12" x14ac:dyDescent="0.25">
      <c r="A904" s="2" t="s">
        <v>172</v>
      </c>
      <c r="B904" s="7">
        <v>-2.3022607250934524E-2</v>
      </c>
      <c r="C904" s="7">
        <v>-2.4892382556616077E-2</v>
      </c>
      <c r="D904" s="7">
        <v>3.125E-2</v>
      </c>
      <c r="E904" s="7">
        <v>4.4642857142855874E-3</v>
      </c>
      <c r="F904" s="7">
        <v>-2.1400124867564707E-2</v>
      </c>
      <c r="G904" s="7"/>
      <c r="H904" s="7">
        <f t="shared" si="59"/>
        <v>-1.6224823833698165E-3</v>
      </c>
      <c r="I904" s="7">
        <f t="shared" si="60"/>
        <v>-3.4922576890513701E-3</v>
      </c>
      <c r="J904" s="7">
        <f t="shared" si="61"/>
        <v>5.2650124867564707E-2</v>
      </c>
      <c r="K904" s="7">
        <f t="shared" si="62"/>
        <v>2.5864410581850295E-2</v>
      </c>
      <c r="L904" s="7"/>
    </row>
    <row r="905" spans="1:12" x14ac:dyDescent="0.25">
      <c r="A905" s="2" t="s">
        <v>973</v>
      </c>
      <c r="B905" s="7">
        <v>-1.513557737260407E-2</v>
      </c>
      <c r="C905" s="7">
        <v>9.3589143659311702E-5</v>
      </c>
      <c r="D905" s="7">
        <v>-5.4187192118226535E-2</v>
      </c>
      <c r="E905" s="7">
        <v>-1.2299837549315407E-2</v>
      </c>
      <c r="F905" s="7">
        <v>-1.2899942573545653E-2</v>
      </c>
      <c r="G905" s="7"/>
      <c r="H905" s="7">
        <f t="shared" si="59"/>
        <v>-2.2356347990584169E-3</v>
      </c>
      <c r="I905" s="7">
        <f t="shared" si="60"/>
        <v>1.2993531717204965E-2</v>
      </c>
      <c r="J905" s="7">
        <f t="shared" si="61"/>
        <v>-4.1287249544680882E-2</v>
      </c>
      <c r="K905" s="7">
        <f t="shared" si="62"/>
        <v>6.0010502423024636E-4</v>
      </c>
      <c r="L905" s="7"/>
    </row>
    <row r="906" spans="1:12" x14ac:dyDescent="0.25">
      <c r="A906" s="2" t="s">
        <v>974</v>
      </c>
      <c r="B906" s="7">
        <v>-2.2739198880531442E-3</v>
      </c>
      <c r="C906" s="7">
        <v>-5.1210428305401567E-3</v>
      </c>
      <c r="D906" s="7">
        <v>2.0100502512562679E-2</v>
      </c>
      <c r="E906" s="7">
        <v>1.0909090909090979E-2</v>
      </c>
      <c r="F906" s="7">
        <v>2.2695154935377104E-3</v>
      </c>
      <c r="G906" s="7"/>
      <c r="H906" s="7">
        <f t="shared" si="59"/>
        <v>-4.5434353815908546E-3</v>
      </c>
      <c r="I906" s="7">
        <f t="shared" si="60"/>
        <v>-7.3905583240778672E-3</v>
      </c>
      <c r="J906" s="7">
        <f t="shared" si="61"/>
        <v>1.7830987019024969E-2</v>
      </c>
      <c r="K906" s="7">
        <f t="shared" si="62"/>
        <v>8.6395754155532689E-3</v>
      </c>
      <c r="L906" s="7"/>
    </row>
    <row r="907" spans="1:12" x14ac:dyDescent="0.25">
      <c r="A907" s="2" t="s">
        <v>975</v>
      </c>
      <c r="B907" s="7">
        <v>8.7636748617807569E-3</v>
      </c>
      <c r="C907" s="7">
        <v>-1.8819660149826278E-2</v>
      </c>
      <c r="D907" s="7">
        <v>2.577319587628879E-2</v>
      </c>
      <c r="E907" s="7">
        <v>-3.1139902261620556E-2</v>
      </c>
      <c r="F907" s="7">
        <v>-7.2377589891293725E-3</v>
      </c>
      <c r="G907" s="7"/>
      <c r="H907" s="7">
        <f t="shared" si="59"/>
        <v>1.6001433850910129E-2</v>
      </c>
      <c r="I907" s="7">
        <f t="shared" si="60"/>
        <v>-1.1581901160696906E-2</v>
      </c>
      <c r="J907" s="7">
        <f t="shared" si="61"/>
        <v>3.3010954865418163E-2</v>
      </c>
      <c r="K907" s="7">
        <f t="shared" si="62"/>
        <v>-2.3902143272491183E-2</v>
      </c>
      <c r="L907" s="7"/>
    </row>
    <row r="908" spans="1:12" x14ac:dyDescent="0.25">
      <c r="A908" s="2" t="s">
        <v>976</v>
      </c>
      <c r="B908" s="7">
        <v>-8.8147146970662948E-4</v>
      </c>
      <c r="C908" s="7">
        <v>-7.7055570664491535E-3</v>
      </c>
      <c r="D908" s="7">
        <v>2.6455026455026509E-2</v>
      </c>
      <c r="E908" s="7">
        <v>-1.6431924882629123E-2</v>
      </c>
      <c r="F908" s="7">
        <v>1.8756661407353103E-3</v>
      </c>
      <c r="G908" s="7"/>
      <c r="H908" s="7">
        <f t="shared" si="59"/>
        <v>-2.7571376104419398E-3</v>
      </c>
      <c r="I908" s="7">
        <f t="shared" si="60"/>
        <v>-9.5812232071844639E-3</v>
      </c>
      <c r="J908" s="7">
        <f t="shared" si="61"/>
        <v>2.4579360314291199E-2</v>
      </c>
      <c r="K908" s="7">
        <f t="shared" si="62"/>
        <v>-1.8307591023364433E-2</v>
      </c>
      <c r="L908" s="7"/>
    </row>
    <row r="909" spans="1:12" x14ac:dyDescent="0.25">
      <c r="A909" s="2" t="s">
        <v>173</v>
      </c>
      <c r="B909" s="7">
        <v>6.3276167947958761E-3</v>
      </c>
      <c r="C909" s="7">
        <v>-5.3201082055907012E-3</v>
      </c>
      <c r="D909" s="7">
        <v>5.3191489361701372E-3</v>
      </c>
      <c r="E909" s="7">
        <v>-6.0000000000001164E-3</v>
      </c>
      <c r="F909" s="7">
        <v>3.96948705068767E-3</v>
      </c>
      <c r="G909" s="7"/>
      <c r="H909" s="7">
        <f t="shared" si="59"/>
        <v>2.3581297441082061E-3</v>
      </c>
      <c r="I909" s="7">
        <f t="shared" si="60"/>
        <v>-9.2895952562783712E-3</v>
      </c>
      <c r="J909" s="7">
        <f t="shared" si="61"/>
        <v>1.3496618854824671E-3</v>
      </c>
      <c r="K909" s="7">
        <f t="shared" si="62"/>
        <v>-9.9694870506877864E-3</v>
      </c>
      <c r="L909" s="7"/>
    </row>
    <row r="910" spans="1:12" x14ac:dyDescent="0.25">
      <c r="A910" s="2" t="s">
        <v>977</v>
      </c>
      <c r="B910" s="7">
        <v>2.1381976322783158E-2</v>
      </c>
      <c r="C910" s="7">
        <v>1.7151242777217357E-2</v>
      </c>
      <c r="D910" s="7">
        <v>-1.0526315789473717E-2</v>
      </c>
      <c r="E910" s="7">
        <v>-1.1098779134294245E-3</v>
      </c>
      <c r="F910" s="7">
        <v>1.7322396708554288E-2</v>
      </c>
      <c r="G910" s="7"/>
      <c r="H910" s="7">
        <f t="shared" si="59"/>
        <v>4.0595796142288698E-3</v>
      </c>
      <c r="I910" s="7">
        <f t="shared" si="60"/>
        <v>-1.7115393133693146E-4</v>
      </c>
      <c r="J910" s="7">
        <f t="shared" si="61"/>
        <v>-2.7848712498028005E-2</v>
      </c>
      <c r="K910" s="7">
        <f t="shared" si="62"/>
        <v>-1.8432274621983713E-2</v>
      </c>
      <c r="L910" s="7"/>
    </row>
    <row r="911" spans="1:12" x14ac:dyDescent="0.25">
      <c r="A911" s="2" t="s">
        <v>978</v>
      </c>
      <c r="B911" s="7">
        <v>-4.3899212219615791E-3</v>
      </c>
      <c r="C911" s="7">
        <v>1.9297923175887188E-3</v>
      </c>
      <c r="D911" s="7">
        <v>2.7027027027026973E-2</v>
      </c>
      <c r="E911" s="7">
        <v>2.6429710640236914E-2</v>
      </c>
      <c r="F911" s="7">
        <v>-7.0542296876174859E-4</v>
      </c>
      <c r="G911" s="7"/>
      <c r="H911" s="7">
        <f t="shared" si="59"/>
        <v>-3.6844982531998305E-3</v>
      </c>
      <c r="I911" s="7">
        <f t="shared" si="60"/>
        <v>2.6352152863504674E-3</v>
      </c>
      <c r="J911" s="7">
        <f t="shared" si="61"/>
        <v>2.7732449995788722E-2</v>
      </c>
      <c r="K911" s="7">
        <f t="shared" si="62"/>
        <v>2.7135133608998663E-2</v>
      </c>
      <c r="L911" s="7"/>
    </row>
    <row r="912" spans="1:12" x14ac:dyDescent="0.25">
      <c r="A912" s="2" t="s">
        <v>979</v>
      </c>
      <c r="B912" s="7">
        <v>2.6164763961740167E-2</v>
      </c>
      <c r="C912" s="7">
        <v>1.0399257195914391E-2</v>
      </c>
      <c r="D912" s="7">
        <v>-3.6458333333333259E-2</v>
      </c>
      <c r="E912" s="7">
        <v>1.36258660508084E-2</v>
      </c>
      <c r="F912" s="7">
        <v>2.1290634013103604E-2</v>
      </c>
      <c r="G912" s="7"/>
      <c r="H912" s="7">
        <f t="shared" si="59"/>
        <v>4.874129948636563E-3</v>
      </c>
      <c r="I912" s="7">
        <f t="shared" si="60"/>
        <v>-1.0891376817189213E-2</v>
      </c>
      <c r="J912" s="7">
        <f t="shared" si="61"/>
        <v>-5.7748967346436864E-2</v>
      </c>
      <c r="K912" s="7">
        <f t="shared" si="62"/>
        <v>-7.6647679622952047E-3</v>
      </c>
      <c r="L912" s="7"/>
    </row>
    <row r="913" spans="1:12" x14ac:dyDescent="0.25">
      <c r="A913" s="2" t="s">
        <v>980</v>
      </c>
      <c r="B913" s="7">
        <v>3.0864197530866555E-4</v>
      </c>
      <c r="C913" s="7">
        <v>-4.345012480355015E-3</v>
      </c>
      <c r="D913" s="7">
        <v>2.6737967914438387E-2</v>
      </c>
      <c r="E913" s="7">
        <v>3.8251999536338399E-3</v>
      </c>
      <c r="F913" s="7">
        <v>-4.248730694724312E-3</v>
      </c>
      <c r="G913" s="7"/>
      <c r="H913" s="7">
        <f t="shared" si="59"/>
        <v>4.5573726700329775E-3</v>
      </c>
      <c r="I913" s="7">
        <f t="shared" si="60"/>
        <v>-9.6281785630702998E-5</v>
      </c>
      <c r="J913" s="7">
        <f t="shared" si="61"/>
        <v>3.0986698609162699E-2</v>
      </c>
      <c r="K913" s="7">
        <f t="shared" si="62"/>
        <v>8.0739306483581519E-3</v>
      </c>
      <c r="L913" s="7"/>
    </row>
    <row r="914" spans="1:12" x14ac:dyDescent="0.25">
      <c r="A914" s="2" t="s">
        <v>174</v>
      </c>
      <c r="B914" s="7">
        <v>-2.8928417554009433E-3</v>
      </c>
      <c r="C914" s="7">
        <v>7.2632461123010028E-3</v>
      </c>
      <c r="D914" s="7">
        <v>3.3149171270718369E-2</v>
      </c>
      <c r="E914" s="7">
        <v>-1.8543799772468783E-2</v>
      </c>
      <c r="F914" s="7">
        <v>-1.2375789770792123E-3</v>
      </c>
      <c r="G914" s="7"/>
      <c r="H914" s="7">
        <f t="shared" si="59"/>
        <v>-1.6552627783217311E-3</v>
      </c>
      <c r="I914" s="7">
        <f t="shared" si="60"/>
        <v>8.5008250893802151E-3</v>
      </c>
      <c r="J914" s="7">
        <f t="shared" si="61"/>
        <v>3.4386750247797582E-2</v>
      </c>
      <c r="K914" s="7">
        <f t="shared" si="62"/>
        <v>-1.7306220795389571E-2</v>
      </c>
      <c r="L914" s="7"/>
    </row>
    <row r="915" spans="1:12" x14ac:dyDescent="0.25">
      <c r="A915" s="2" t="s">
        <v>981</v>
      </c>
      <c r="B915" s="7">
        <v>-1.4136447449292211E-3</v>
      </c>
      <c r="C915" s="7">
        <v>-4.7265987025023604E-3</v>
      </c>
      <c r="D915" s="7">
        <v>2.2598870056497189E-2</v>
      </c>
      <c r="E915" s="7">
        <v>-5.0037825570085293E-2</v>
      </c>
      <c r="F915" s="7">
        <v>-1.6257460367924415E-3</v>
      </c>
      <c r="G915" s="7"/>
      <c r="H915" s="7">
        <f t="shared" si="59"/>
        <v>2.1210129186322035E-4</v>
      </c>
      <c r="I915" s="7">
        <f t="shared" si="60"/>
        <v>-3.1008526657099189E-3</v>
      </c>
      <c r="J915" s="7">
        <f t="shared" si="61"/>
        <v>2.422461609328963E-2</v>
      </c>
      <c r="K915" s="7">
        <f t="shared" si="62"/>
        <v>-4.8412079533292851E-2</v>
      </c>
      <c r="L915" s="7"/>
    </row>
    <row r="916" spans="1:12" x14ac:dyDescent="0.25">
      <c r="A916" s="2" t="s">
        <v>982</v>
      </c>
      <c r="B916" s="7">
        <v>-1.9017238206244791E-3</v>
      </c>
      <c r="C916" s="7">
        <v>3.2239548454989109E-2</v>
      </c>
      <c r="D916" s="7">
        <v>-1.6666666666666718E-2</v>
      </c>
      <c r="E916" s="7">
        <v>1.7931793179317923E-2</v>
      </c>
      <c r="F916" s="7">
        <v>-7.7734484990998887E-4</v>
      </c>
      <c r="G916" s="7"/>
      <c r="H916" s="7">
        <f t="shared" si="59"/>
        <v>-1.1243789707144902E-3</v>
      </c>
      <c r="I916" s="7">
        <f t="shared" si="60"/>
        <v>3.3016893304899098E-2</v>
      </c>
      <c r="J916" s="7">
        <f t="shared" si="61"/>
        <v>-1.588932181675673E-2</v>
      </c>
      <c r="K916" s="7">
        <f t="shared" si="62"/>
        <v>1.8709138029227912E-2</v>
      </c>
      <c r="L916" s="7"/>
    </row>
    <row r="917" spans="1:12" x14ac:dyDescent="0.25">
      <c r="A917" s="2" t="s">
        <v>983</v>
      </c>
      <c r="B917" s="7">
        <v>3.8214126488758771E-2</v>
      </c>
      <c r="C917" s="7">
        <v>1.2299050939376333E-2</v>
      </c>
      <c r="D917" s="7">
        <v>-1.6393442622950838E-2</v>
      </c>
      <c r="E917" s="7">
        <v>3.3424283765348006E-2</v>
      </c>
      <c r="F917" s="7">
        <v>1.5638481713144525E-2</v>
      </c>
      <c r="G917" s="7"/>
      <c r="H917" s="7">
        <f t="shared" si="59"/>
        <v>2.2575644775614245E-2</v>
      </c>
      <c r="I917" s="7">
        <f t="shared" si="60"/>
        <v>-3.3394307737681928E-3</v>
      </c>
      <c r="J917" s="7">
        <f t="shared" si="61"/>
        <v>-3.2031924336095363E-2</v>
      </c>
      <c r="K917" s="7">
        <f t="shared" si="62"/>
        <v>1.7785802052203481E-2</v>
      </c>
      <c r="L917" s="7"/>
    </row>
    <row r="918" spans="1:12" x14ac:dyDescent="0.25">
      <c r="A918" s="2" t="s">
        <v>984</v>
      </c>
      <c r="B918" s="7">
        <v>-9.2756183745582588E-3</v>
      </c>
      <c r="C918" s="7">
        <v>-1.1298353121409366E-2</v>
      </c>
      <c r="D918" s="7">
        <v>1.6666666666666607E-2</v>
      </c>
      <c r="E918" s="7">
        <v>2.5174825174825166E-2</v>
      </c>
      <c r="F918" s="7">
        <v>-6.6624095876541833E-3</v>
      </c>
      <c r="G918" s="7"/>
      <c r="H918" s="7">
        <f t="shared" si="59"/>
        <v>-2.6132087869040754E-3</v>
      </c>
      <c r="I918" s="7">
        <f t="shared" si="60"/>
        <v>-4.6359435337551824E-3</v>
      </c>
      <c r="J918" s="7">
        <f t="shared" si="61"/>
        <v>2.3329076254320791E-2</v>
      </c>
      <c r="K918" s="7">
        <f t="shared" si="62"/>
        <v>3.1837234762479349E-2</v>
      </c>
      <c r="L918" s="7"/>
    </row>
    <row r="919" spans="1:12" x14ac:dyDescent="0.25">
      <c r="A919" s="2" t="s">
        <v>175</v>
      </c>
      <c r="B919" s="7">
        <v>-6.1457418788412044E-3</v>
      </c>
      <c r="C919" s="7">
        <v>8.6248203162431203E-4</v>
      </c>
      <c r="D919" s="7">
        <v>5.2631578947368363E-2</v>
      </c>
      <c r="E919" s="7">
        <v>1.0957935666313201E-2</v>
      </c>
      <c r="F919" s="7">
        <v>-2.8230463236237346E-3</v>
      </c>
      <c r="G919" s="7"/>
      <c r="H919" s="7">
        <f t="shared" si="59"/>
        <v>-3.3226955552174697E-3</v>
      </c>
      <c r="I919" s="7">
        <f t="shared" si="60"/>
        <v>3.6855283552480467E-3</v>
      </c>
      <c r="J919" s="7">
        <f t="shared" si="61"/>
        <v>5.5454625270992097E-2</v>
      </c>
      <c r="K919" s="7">
        <f t="shared" si="62"/>
        <v>1.3780981989936936E-2</v>
      </c>
      <c r="L919" s="7"/>
    </row>
    <row r="920" spans="1:12" x14ac:dyDescent="0.25">
      <c r="A920" s="2" t="s">
        <v>985</v>
      </c>
      <c r="B920" s="7">
        <v>3.277202072538854E-2</v>
      </c>
      <c r="C920" s="7">
        <v>2.0438098963426521E-2</v>
      </c>
      <c r="D920" s="7">
        <v>-5.8139534883721034E-3</v>
      </c>
      <c r="E920" s="7">
        <v>-0.1112158341187558</v>
      </c>
      <c r="F920" s="7">
        <v>1.4207733466259809E-2</v>
      </c>
      <c r="G920" s="7"/>
      <c r="H920" s="7">
        <f t="shared" si="59"/>
        <v>1.8564287259128731E-2</v>
      </c>
      <c r="I920" s="7">
        <f t="shared" si="60"/>
        <v>6.2303654971667122E-3</v>
      </c>
      <c r="J920" s="7">
        <f t="shared" si="61"/>
        <v>-2.0021686954631912E-2</v>
      </c>
      <c r="K920" s="7">
        <f t="shared" si="62"/>
        <v>-0.12542356758501561</v>
      </c>
      <c r="L920" s="7"/>
    </row>
    <row r="921" spans="1:12" x14ac:dyDescent="0.25">
      <c r="A921" s="2" t="s">
        <v>986</v>
      </c>
      <c r="B921" s="7">
        <v>3.5749106272344733E-3</v>
      </c>
      <c r="C921" s="7">
        <v>1.087386318703043E-2</v>
      </c>
      <c r="D921" s="7">
        <v>-8.0213903743315607E-2</v>
      </c>
      <c r="E921" s="7">
        <v>-2.1719086159205037E-2</v>
      </c>
      <c r="F921" s="7">
        <v>1.2133382708562568E-2</v>
      </c>
      <c r="G921" s="7"/>
      <c r="H921" s="7">
        <f t="shared" si="59"/>
        <v>-8.5584720813280946E-3</v>
      </c>
      <c r="I921" s="7">
        <f t="shared" si="60"/>
        <v>-1.2595195215321375E-3</v>
      </c>
      <c r="J921" s="7">
        <f t="shared" si="61"/>
        <v>-9.2347286451878174E-2</v>
      </c>
      <c r="K921" s="7">
        <f t="shared" si="62"/>
        <v>-3.3852468867767604E-2</v>
      </c>
      <c r="L921" s="7"/>
    </row>
    <row r="922" spans="1:12" x14ac:dyDescent="0.25">
      <c r="A922" s="2" t="s">
        <v>987</v>
      </c>
      <c r="B922" s="7">
        <v>3.4285714285714253E-2</v>
      </c>
      <c r="C922" s="7">
        <v>-1.3361942845996344E-2</v>
      </c>
      <c r="D922" s="7">
        <v>6.25E-2</v>
      </c>
      <c r="E922" s="7">
        <v>1.3182478721195823E-2</v>
      </c>
      <c r="F922" s="7">
        <v>2.6156259165274642E-2</v>
      </c>
      <c r="G922" s="7"/>
      <c r="H922" s="7">
        <f t="shared" si="59"/>
        <v>8.1294551204396104E-3</v>
      </c>
      <c r="I922" s="7">
        <f t="shared" si="60"/>
        <v>-3.9518202011270986E-2</v>
      </c>
      <c r="J922" s="7">
        <f t="shared" si="61"/>
        <v>3.6343740834725358E-2</v>
      </c>
      <c r="K922" s="7">
        <f t="shared" si="62"/>
        <v>-1.297378044407882E-2</v>
      </c>
      <c r="L922" s="7"/>
    </row>
    <row r="923" spans="1:12" x14ac:dyDescent="0.25">
      <c r="A923" s="2" t="s">
        <v>988</v>
      </c>
      <c r="B923" s="7">
        <v>-8.8619402985075091E-3</v>
      </c>
      <c r="C923" s="7">
        <v>4.9437052200614007E-2</v>
      </c>
      <c r="D923" s="7">
        <v>-2.2222222222222254E-2</v>
      </c>
      <c r="E923" s="7">
        <v>3.7507814127943906E-3</v>
      </c>
      <c r="F923" s="7">
        <v>-1.1543193070554847E-2</v>
      </c>
      <c r="G923" s="7"/>
      <c r="H923" s="7">
        <f t="shared" si="59"/>
        <v>2.6812527720473378E-3</v>
      </c>
      <c r="I923" s="7">
        <f t="shared" si="60"/>
        <v>6.0980245271168854E-2</v>
      </c>
      <c r="J923" s="7">
        <f t="shared" si="61"/>
        <v>-1.0679029151667407E-2</v>
      </c>
      <c r="K923" s="7">
        <f t="shared" si="62"/>
        <v>1.5293974483349237E-2</v>
      </c>
      <c r="L923" s="7"/>
    </row>
    <row r="924" spans="1:12" x14ac:dyDescent="0.25">
      <c r="A924" s="2" t="s">
        <v>176</v>
      </c>
      <c r="B924" s="7">
        <v>-7.4074074074071961E-3</v>
      </c>
      <c r="C924" s="7">
        <v>0</v>
      </c>
      <c r="D924" s="7">
        <v>3.4482758620689724E-2</v>
      </c>
      <c r="E924" s="7">
        <v>4.5002616431188969E-3</v>
      </c>
      <c r="F924" s="7">
        <v>1.3151152429682345E-3</v>
      </c>
      <c r="G924" s="7"/>
      <c r="H924" s="7">
        <f t="shared" si="59"/>
        <v>-8.7225226503754305E-3</v>
      </c>
      <c r="I924" s="7">
        <f t="shared" si="60"/>
        <v>-1.3151152429682345E-3</v>
      </c>
      <c r="J924" s="7">
        <f t="shared" si="61"/>
        <v>3.316764337772149E-2</v>
      </c>
      <c r="K924" s="7">
        <f t="shared" si="62"/>
        <v>3.1851464001506624E-3</v>
      </c>
      <c r="L924" s="7"/>
    </row>
    <row r="925" spans="1:12" x14ac:dyDescent="0.25">
      <c r="A925" s="2" t="s">
        <v>989</v>
      </c>
      <c r="B925" s="7">
        <v>-8.0692777012399963E-3</v>
      </c>
      <c r="C925" s="7">
        <v>1.2297601967616867E-3</v>
      </c>
      <c r="D925" s="7">
        <v>1.1627906976744207E-2</v>
      </c>
      <c r="E925" s="7">
        <v>-4.2968750000000111E-2</v>
      </c>
      <c r="F925" s="7">
        <v>-9.3324497680640217E-3</v>
      </c>
      <c r="G925" s="7"/>
      <c r="H925" s="7">
        <f t="shared" si="59"/>
        <v>1.2631720668240254E-3</v>
      </c>
      <c r="I925" s="7">
        <f t="shared" si="60"/>
        <v>1.0562209964825708E-2</v>
      </c>
      <c r="J925" s="7">
        <f t="shared" si="61"/>
        <v>2.0960356744808228E-2</v>
      </c>
      <c r="K925" s="7">
        <f t="shared" si="62"/>
        <v>-3.3636300231936089E-2</v>
      </c>
      <c r="L925" s="7"/>
    </row>
    <row r="926" spans="1:12" x14ac:dyDescent="0.25">
      <c r="A926" s="2" t="s">
        <v>990</v>
      </c>
      <c r="B926" s="7">
        <v>1.5049610441499661E-2</v>
      </c>
      <c r="C926" s="7">
        <v>7.0175438596491446E-3</v>
      </c>
      <c r="D926" s="7">
        <v>-2.2727272727272707E-2</v>
      </c>
      <c r="E926" s="7">
        <v>1.1242783348526242E-2</v>
      </c>
      <c r="F926" s="7">
        <v>9.8613601353569891E-3</v>
      </c>
      <c r="G926" s="7"/>
      <c r="H926" s="7">
        <f t="shared" si="59"/>
        <v>5.1882503061426721E-3</v>
      </c>
      <c r="I926" s="7">
        <f t="shared" si="60"/>
        <v>-2.8438162757078445E-3</v>
      </c>
      <c r="J926" s="7">
        <f t="shared" si="61"/>
        <v>-3.2588632862629696E-2</v>
      </c>
      <c r="K926" s="7">
        <f t="shared" si="62"/>
        <v>1.3814232131692528E-3</v>
      </c>
      <c r="L926" s="7"/>
    </row>
    <row r="927" spans="1:12" x14ac:dyDescent="0.25">
      <c r="A927" s="2" t="s">
        <v>991</v>
      </c>
      <c r="B927" s="7">
        <v>1.3566414686825068E-2</v>
      </c>
      <c r="C927" s="7">
        <v>6.7532467532467333E-3</v>
      </c>
      <c r="D927" s="7">
        <v>2.3255813953488413E-2</v>
      </c>
      <c r="E927" s="7">
        <v>-7.539203860072341E-3</v>
      </c>
      <c r="F927" s="7">
        <v>5.8958160281861183E-3</v>
      </c>
      <c r="G927" s="7"/>
      <c r="H927" s="7">
        <f t="shared" si="59"/>
        <v>7.6705986586389496E-3</v>
      </c>
      <c r="I927" s="7">
        <f t="shared" si="60"/>
        <v>8.5743072506061502E-4</v>
      </c>
      <c r="J927" s="7">
        <f t="shared" si="61"/>
        <v>1.7359997925302295E-2</v>
      </c>
      <c r="K927" s="7">
        <f t="shared" si="62"/>
        <v>-1.3435019888258459E-2</v>
      </c>
      <c r="L927" s="7"/>
    </row>
    <row r="928" spans="1:12" x14ac:dyDescent="0.25">
      <c r="A928" s="2" t="s">
        <v>992</v>
      </c>
      <c r="B928" s="7">
        <v>2.6678677846303067E-2</v>
      </c>
      <c r="C928" s="7">
        <v>2.4917474177403864E-2</v>
      </c>
      <c r="D928" s="7">
        <v>7.4999999999999956E-2</v>
      </c>
      <c r="E928" s="7">
        <v>1.5620214395099641E-2</v>
      </c>
      <c r="F928" s="7">
        <v>2.7628333137554417E-2</v>
      </c>
      <c r="G928" s="7"/>
      <c r="H928" s="7">
        <f t="shared" si="59"/>
        <v>-9.4965529125135006E-4</v>
      </c>
      <c r="I928" s="7">
        <f t="shared" si="60"/>
        <v>-2.7108589601505528E-3</v>
      </c>
      <c r="J928" s="7">
        <f t="shared" si="61"/>
        <v>4.7371666862445538E-2</v>
      </c>
      <c r="K928" s="7">
        <f t="shared" si="62"/>
        <v>-1.2008118742454776E-2</v>
      </c>
      <c r="L928" s="7"/>
    </row>
    <row r="929" spans="1:12" x14ac:dyDescent="0.25">
      <c r="A929" s="2" t="s">
        <v>177</v>
      </c>
      <c r="B929" s="7">
        <v>-2.0631150322361624E-2</v>
      </c>
      <c r="C929" s="7">
        <v>-9.3881856540084518E-3</v>
      </c>
      <c r="D929" s="7">
        <v>4.5751633986928164E-2</v>
      </c>
      <c r="E929" s="7">
        <v>6.7838421214923006E-3</v>
      </c>
      <c r="F929" s="7">
        <v>-8.3636194203708936E-3</v>
      </c>
      <c r="G929" s="7"/>
      <c r="H929" s="7">
        <f t="shared" si="59"/>
        <v>-1.2267530901990731E-2</v>
      </c>
      <c r="I929" s="7">
        <f t="shared" si="60"/>
        <v>-1.0245662336375583E-3</v>
      </c>
      <c r="J929" s="7">
        <f t="shared" si="61"/>
        <v>5.4115253407299058E-2</v>
      </c>
      <c r="K929" s="7">
        <f t="shared" si="62"/>
        <v>1.5147461541863194E-2</v>
      </c>
      <c r="L929" s="7"/>
    </row>
    <row r="930" spans="1:12" x14ac:dyDescent="0.25">
      <c r="A930" s="2" t="s">
        <v>993</v>
      </c>
      <c r="B930" s="7">
        <v>1.1463481603514403E-2</v>
      </c>
      <c r="C930" s="7">
        <v>1.4229164437787434E-2</v>
      </c>
      <c r="D930" s="7">
        <v>4.081632653061229E-2</v>
      </c>
      <c r="E930" s="7">
        <v>-1.2685203978079929E-2</v>
      </c>
      <c r="F930" s="7">
        <v>1.9201241036518768E-2</v>
      </c>
      <c r="G930" s="7"/>
      <c r="H930" s="7">
        <f t="shared" si="59"/>
        <v>-7.7377594330043653E-3</v>
      </c>
      <c r="I930" s="7">
        <f t="shared" si="60"/>
        <v>-4.9720765987313342E-3</v>
      </c>
      <c r="J930" s="7">
        <f t="shared" si="61"/>
        <v>2.1615085494093522E-2</v>
      </c>
      <c r="K930" s="7">
        <f t="shared" si="62"/>
        <v>-3.1886445014598697E-2</v>
      </c>
      <c r="L930" s="7"/>
    </row>
    <row r="931" spans="1:12" x14ac:dyDescent="0.25">
      <c r="A931" s="2" t="s">
        <v>994</v>
      </c>
      <c r="B931" s="7">
        <v>2.0453908657887432E-2</v>
      </c>
      <c r="C931" s="7">
        <v>-5.3464499572275503E-4</v>
      </c>
      <c r="D931" s="7">
        <v>-6.7567567567567988E-3</v>
      </c>
      <c r="E931" s="7">
        <v>-4.8933500627352466E-2</v>
      </c>
      <c r="F931" s="7">
        <v>-2.99859539478875E-3</v>
      </c>
      <c r="G931" s="7"/>
      <c r="H931" s="7">
        <f t="shared" si="59"/>
        <v>2.3452504052676182E-2</v>
      </c>
      <c r="I931" s="7">
        <f t="shared" si="60"/>
        <v>2.463950399065995E-3</v>
      </c>
      <c r="J931" s="7">
        <f t="shared" si="61"/>
        <v>-3.7581613619680487E-3</v>
      </c>
      <c r="K931" s="7">
        <f t="shared" si="62"/>
        <v>-4.5934905232563716E-2</v>
      </c>
      <c r="L931" s="7"/>
    </row>
    <row r="932" spans="1:12" x14ac:dyDescent="0.25">
      <c r="A932" s="2" t="s">
        <v>995</v>
      </c>
      <c r="B932" s="7">
        <v>-2.5153717160425471E-3</v>
      </c>
      <c r="C932" s="7">
        <v>-1.4022140221402246E-2</v>
      </c>
      <c r="D932" s="7">
        <v>9.6296296296296102E-2</v>
      </c>
      <c r="E932" s="7">
        <v>-1.0605476282298243E-3</v>
      </c>
      <c r="F932" s="7">
        <v>-4.4568974546977946E-3</v>
      </c>
      <c r="G932" s="7"/>
      <c r="H932" s="7">
        <f t="shared" si="59"/>
        <v>1.9415257386552476E-3</v>
      </c>
      <c r="I932" s="7">
        <f t="shared" si="60"/>
        <v>-9.5652427667044515E-3</v>
      </c>
      <c r="J932" s="7">
        <f t="shared" si="61"/>
        <v>0.1007531937509939</v>
      </c>
      <c r="K932" s="7">
        <f t="shared" si="62"/>
        <v>3.3963498264679703E-3</v>
      </c>
      <c r="L932" s="7"/>
    </row>
    <row r="933" spans="1:12" x14ac:dyDescent="0.25">
      <c r="A933" s="2" t="s">
        <v>996</v>
      </c>
      <c r="B933" s="7">
        <v>6.823777699613176E-3</v>
      </c>
      <c r="C933" s="7">
        <v>9.2572887848476615E-3</v>
      </c>
      <c r="D933" s="7">
        <v>0</v>
      </c>
      <c r="E933" s="7">
        <v>-3.2673457620603363E-3</v>
      </c>
      <c r="F933" s="7">
        <v>-9.2439089567069033E-3</v>
      </c>
      <c r="G933" s="7"/>
      <c r="H933" s="7">
        <f t="shared" si="59"/>
        <v>1.6067686656320079E-2</v>
      </c>
      <c r="I933" s="7">
        <f t="shared" si="60"/>
        <v>1.8501197741554565E-2</v>
      </c>
      <c r="J933" s="7">
        <f t="shared" si="61"/>
        <v>9.2439089567069033E-3</v>
      </c>
      <c r="K933" s="7">
        <f t="shared" si="62"/>
        <v>5.9765631946465669E-3</v>
      </c>
      <c r="L933" s="7"/>
    </row>
    <row r="934" spans="1:12" x14ac:dyDescent="0.25">
      <c r="A934" s="2" t="s">
        <v>178</v>
      </c>
      <c r="B934" s="7">
        <v>-1.4762960909342926E-2</v>
      </c>
      <c r="C934" s="7">
        <v>2.2395222352564748E-3</v>
      </c>
      <c r="D934" s="7">
        <v>-2.1739130434782483E-2</v>
      </c>
      <c r="E934" s="7">
        <v>-9.3711896882076262E-2</v>
      </c>
      <c r="F934" s="7">
        <v>-1.1527473598367033E-2</v>
      </c>
      <c r="G934" s="7"/>
      <c r="H934" s="7">
        <f t="shared" si="59"/>
        <v>-3.235487310975893E-3</v>
      </c>
      <c r="I934" s="7">
        <f t="shared" si="60"/>
        <v>1.3766995833623508E-2</v>
      </c>
      <c r="J934" s="7">
        <f t="shared" si="61"/>
        <v>-1.021165683641545E-2</v>
      </c>
      <c r="K934" s="7">
        <f t="shared" si="62"/>
        <v>-8.2184423283709229E-2</v>
      </c>
      <c r="L934" s="7"/>
    </row>
    <row r="935" spans="1:12" x14ac:dyDescent="0.25">
      <c r="A935" s="2" t="s">
        <v>997</v>
      </c>
      <c r="B935" s="7">
        <v>4.7353760445683069E-3</v>
      </c>
      <c r="C935" s="7">
        <v>-1.0238547603968695E-2</v>
      </c>
      <c r="D935" s="7">
        <v>7.2992700729925808E-3</v>
      </c>
      <c r="E935" s="7">
        <v>-1.2131119332358331E-2</v>
      </c>
      <c r="F935" s="7">
        <v>-8.3021149894169088E-4</v>
      </c>
      <c r="G935" s="7"/>
      <c r="H935" s="7">
        <f t="shared" si="59"/>
        <v>5.5655875435099977E-3</v>
      </c>
      <c r="I935" s="7">
        <f t="shared" si="60"/>
        <v>-9.4083361050270042E-3</v>
      </c>
      <c r="J935" s="7">
        <f t="shared" si="61"/>
        <v>8.1294815719342717E-3</v>
      </c>
      <c r="K935" s="7">
        <f t="shared" si="62"/>
        <v>-1.130090783341664E-2</v>
      </c>
      <c r="L935" s="7"/>
    </row>
    <row r="936" spans="1:12" x14ac:dyDescent="0.25">
      <c r="A936" s="2" t="s">
        <v>998</v>
      </c>
      <c r="B936" s="7">
        <v>2.3958927552766518E-2</v>
      </c>
      <c r="C936" s="7">
        <v>1.5857913098635823E-3</v>
      </c>
      <c r="D936" s="7">
        <v>3.007518796992481E-2</v>
      </c>
      <c r="E936" s="7">
        <v>2.7402103774418984E-2</v>
      </c>
      <c r="F936" s="7">
        <v>1.4964578110208349E-2</v>
      </c>
      <c r="G936" s="7"/>
      <c r="H936" s="7">
        <f t="shared" si="59"/>
        <v>8.9943494425581694E-3</v>
      </c>
      <c r="I936" s="7">
        <f t="shared" si="60"/>
        <v>-1.3378786800344766E-2</v>
      </c>
      <c r="J936" s="7">
        <f t="shared" si="61"/>
        <v>1.5110609859716462E-2</v>
      </c>
      <c r="K936" s="7">
        <f t="shared" si="62"/>
        <v>1.2437525664210636E-2</v>
      </c>
      <c r="L936" s="7"/>
    </row>
    <row r="937" spans="1:12" x14ac:dyDescent="0.25">
      <c r="A937" s="2" t="s">
        <v>999</v>
      </c>
      <c r="B937" s="7">
        <v>9.6472282217423544E-3</v>
      </c>
      <c r="C937" s="7">
        <v>4.8868585998087521E-3</v>
      </c>
      <c r="D937" s="7">
        <v>-4.9999999999999933E-2</v>
      </c>
      <c r="E937" s="7">
        <v>-8.414409676571144E-3</v>
      </c>
      <c r="F937" s="7">
        <v>3.5731157621645693E-3</v>
      </c>
      <c r="G937" s="7"/>
      <c r="H937" s="7">
        <f t="shared" si="59"/>
        <v>6.0741124595777851E-3</v>
      </c>
      <c r="I937" s="7">
        <f t="shared" si="60"/>
        <v>1.3137428376441829E-3</v>
      </c>
      <c r="J937" s="7">
        <f t="shared" si="61"/>
        <v>-5.3573115762164503E-2</v>
      </c>
      <c r="K937" s="7">
        <f t="shared" si="62"/>
        <v>-1.1987525438735713E-2</v>
      </c>
      <c r="L937" s="7"/>
    </row>
    <row r="938" spans="1:12" x14ac:dyDescent="0.25">
      <c r="A938" s="2" t="s">
        <v>1000</v>
      </c>
      <c r="B938" s="7">
        <v>1.8926056338028241E-2</v>
      </c>
      <c r="C938" s="7">
        <v>5.6623931623931423E-3</v>
      </c>
      <c r="D938" s="7">
        <v>-4.7619047619047672E-2</v>
      </c>
      <c r="E938" s="7">
        <v>3.5675381263616579E-2</v>
      </c>
      <c r="F938" s="7">
        <v>1.5841770513915776E-3</v>
      </c>
      <c r="G938" s="7"/>
      <c r="H938" s="7">
        <f t="shared" si="59"/>
        <v>1.7341879286636663E-2</v>
      </c>
      <c r="I938" s="7">
        <f t="shared" si="60"/>
        <v>4.0782161110015647E-3</v>
      </c>
      <c r="J938" s="7">
        <f t="shared" si="61"/>
        <v>-4.920322467043925E-2</v>
      </c>
      <c r="K938" s="7">
        <f t="shared" si="62"/>
        <v>3.4091204212225001E-2</v>
      </c>
      <c r="L938" s="7"/>
    </row>
    <row r="939" spans="1:12" x14ac:dyDescent="0.25">
      <c r="A939" s="2" t="s">
        <v>1001</v>
      </c>
      <c r="B939" s="7">
        <v>1.6175922474841453E-2</v>
      </c>
      <c r="C939" s="7">
        <v>-7.1072451469184061E-3</v>
      </c>
      <c r="D939" s="7">
        <v>-3.289473684210531E-2</v>
      </c>
      <c r="E939" s="7">
        <v>2.037791774731379E-2</v>
      </c>
      <c r="F939" s="7">
        <v>1.0553762105785847E-2</v>
      </c>
      <c r="G939" s="7"/>
      <c r="H939" s="7">
        <f t="shared" si="59"/>
        <v>5.6221603690556066E-3</v>
      </c>
      <c r="I939" s="7">
        <f t="shared" si="60"/>
        <v>-1.7661007252704253E-2</v>
      </c>
      <c r="J939" s="7">
        <f t="shared" si="61"/>
        <v>-4.3448498947891157E-2</v>
      </c>
      <c r="K939" s="7">
        <f t="shared" si="62"/>
        <v>9.824155641527943E-3</v>
      </c>
      <c r="L939" s="7"/>
    </row>
    <row r="940" spans="1:12" x14ac:dyDescent="0.25">
      <c r="A940" s="2" t="s">
        <v>1002</v>
      </c>
      <c r="B940" s="7">
        <v>-1.8079344166300637E-2</v>
      </c>
      <c r="C940" s="7">
        <v>-2.855933996192217E-3</v>
      </c>
      <c r="D940" s="7">
        <v>0</v>
      </c>
      <c r="E940" s="7">
        <v>-2.0237771122606496E-2</v>
      </c>
      <c r="F940" s="7">
        <v>-8.7592273026031453E-3</v>
      </c>
      <c r="G940" s="7"/>
      <c r="H940" s="7">
        <f t="shared" si="59"/>
        <v>-9.3201168636974918E-3</v>
      </c>
      <c r="I940" s="7">
        <f t="shared" si="60"/>
        <v>5.9032933064109283E-3</v>
      </c>
      <c r="J940" s="7">
        <f t="shared" si="61"/>
        <v>8.7592273026031453E-3</v>
      </c>
      <c r="K940" s="7">
        <f t="shared" si="62"/>
        <v>-1.1478543820003351E-2</v>
      </c>
      <c r="L940" s="7"/>
    </row>
    <row r="941" spans="1:12" x14ac:dyDescent="0.25">
      <c r="A941" s="2" t="s">
        <v>1003</v>
      </c>
      <c r="B941" s="7">
        <v>1.3050570962479524E-2</v>
      </c>
      <c r="C941" s="7">
        <v>-4.2131872761743683E-3</v>
      </c>
      <c r="D941" s="7">
        <v>-3.1847133757961776E-2</v>
      </c>
      <c r="E941" s="7">
        <v>-6.31256199837682E-3</v>
      </c>
      <c r="F941" s="7">
        <v>-7.1175308448145902E-4</v>
      </c>
      <c r="G941" s="7"/>
      <c r="H941" s="7">
        <f t="shared" si="59"/>
        <v>1.3762324046960983E-2</v>
      </c>
      <c r="I941" s="7">
        <f t="shared" si="60"/>
        <v>-3.5014341916929093E-3</v>
      </c>
      <c r="J941" s="7">
        <f t="shared" si="61"/>
        <v>-3.1135380673480317E-2</v>
      </c>
      <c r="K941" s="7">
        <f t="shared" si="62"/>
        <v>-5.600808913895361E-3</v>
      </c>
      <c r="L941" s="7"/>
    </row>
    <row r="942" spans="1:12" x14ac:dyDescent="0.25">
      <c r="A942" s="2" t="s">
        <v>1004</v>
      </c>
      <c r="B942" s="7">
        <v>-2.9784172661870389E-2</v>
      </c>
      <c r="C942" s="7">
        <v>-1.8606574322927449E-2</v>
      </c>
      <c r="D942" s="7">
        <v>-1.2578616352201255E-2</v>
      </c>
      <c r="E942" s="7">
        <v>-1.6583894998226323E-2</v>
      </c>
      <c r="F942" s="7">
        <v>-2.0143021607082812E-2</v>
      </c>
      <c r="G942" s="7"/>
      <c r="H942" s="7">
        <f t="shared" si="59"/>
        <v>-9.6411510547875778E-3</v>
      </c>
      <c r="I942" s="7">
        <f t="shared" si="60"/>
        <v>1.5364472841553622E-3</v>
      </c>
      <c r="J942" s="7">
        <f t="shared" si="61"/>
        <v>7.5644052548815566E-3</v>
      </c>
      <c r="K942" s="7">
        <f t="shared" si="62"/>
        <v>3.5591266088564888E-3</v>
      </c>
      <c r="L942" s="7"/>
    </row>
    <row r="943" spans="1:12" x14ac:dyDescent="0.25">
      <c r="A943" s="2" t="s">
        <v>179</v>
      </c>
      <c r="B943" s="7">
        <v>0</v>
      </c>
      <c r="C943" s="7">
        <v>-1.1444921316166035E-2</v>
      </c>
      <c r="D943" s="7">
        <v>4.6052631578947345E-2</v>
      </c>
      <c r="E943" s="7">
        <v>9.4897045658013379E-3</v>
      </c>
      <c r="F943" s="7">
        <v>-2.973101484249896E-3</v>
      </c>
      <c r="G943" s="7"/>
      <c r="H943" s="7">
        <f t="shared" si="59"/>
        <v>2.973101484249896E-3</v>
      </c>
      <c r="I943" s="7">
        <f t="shared" si="60"/>
        <v>-8.4718198319161386E-3</v>
      </c>
      <c r="J943" s="7">
        <f t="shared" si="61"/>
        <v>4.9025733063197241E-2</v>
      </c>
      <c r="K943" s="7">
        <f t="shared" si="62"/>
        <v>1.2462806050051234E-2</v>
      </c>
      <c r="L943" s="7"/>
    </row>
    <row r="944" spans="1:12" x14ac:dyDescent="0.25">
      <c r="A944" s="2" t="s">
        <v>1005</v>
      </c>
      <c r="B944" s="7">
        <v>2.4544851477850793E-2</v>
      </c>
      <c r="C944" s="7">
        <v>3.2169602362619898E-2</v>
      </c>
      <c r="D944" s="7">
        <v>4.8275862068965614E-2</v>
      </c>
      <c r="E944" s="7">
        <v>4.9121818352587665E-2</v>
      </c>
      <c r="F944" s="7">
        <v>3.0563290855777359E-2</v>
      </c>
      <c r="G944" s="7"/>
      <c r="H944" s="7">
        <f t="shared" si="59"/>
        <v>-6.0184393779265655E-3</v>
      </c>
      <c r="I944" s="7">
        <f t="shared" si="60"/>
        <v>1.6063115068425393E-3</v>
      </c>
      <c r="J944" s="7">
        <f t="shared" si="61"/>
        <v>1.7712571213188255E-2</v>
      </c>
      <c r="K944" s="7">
        <f t="shared" si="62"/>
        <v>1.8558527496810306E-2</v>
      </c>
      <c r="L944" s="7"/>
    </row>
    <row r="945" spans="1:12" x14ac:dyDescent="0.25">
      <c r="A945" s="2" t="s">
        <v>1006</v>
      </c>
      <c r="B945" s="7">
        <v>2.153452300278591E-2</v>
      </c>
      <c r="C945" s="7">
        <v>-1.8949363090851046E-3</v>
      </c>
      <c r="D945" s="7">
        <v>0</v>
      </c>
      <c r="E945" s="7">
        <v>6.6192669737632714E-2</v>
      </c>
      <c r="F945" s="7">
        <v>9.5321937609877949E-3</v>
      </c>
      <c r="G945" s="7"/>
      <c r="H945" s="7">
        <f t="shared" si="59"/>
        <v>1.2002329241798115E-2</v>
      </c>
      <c r="I945" s="7">
        <f t="shared" si="60"/>
        <v>-1.1427130070072899E-2</v>
      </c>
      <c r="J945" s="7">
        <f t="shared" si="61"/>
        <v>-9.5321937609877949E-3</v>
      </c>
      <c r="K945" s="7">
        <f t="shared" si="62"/>
        <v>5.666047597664492E-2</v>
      </c>
      <c r="L945" s="7"/>
    </row>
    <row r="946" spans="1:12" x14ac:dyDescent="0.25">
      <c r="A946" s="2" t="s">
        <v>1007</v>
      </c>
      <c r="B946" s="7">
        <v>-3.8253825382537077E-3</v>
      </c>
      <c r="C946" s="7">
        <v>2.956393200295615E-3</v>
      </c>
      <c r="D946" s="7">
        <v>-2.684563758389269E-2</v>
      </c>
      <c r="E946" s="7">
        <v>-1.1678543151227294E-2</v>
      </c>
      <c r="F946" s="7">
        <v>-1.3015334188627437E-3</v>
      </c>
      <c r="G946" s="7"/>
      <c r="H946" s="7">
        <f t="shared" si="59"/>
        <v>-2.523849119390964E-3</v>
      </c>
      <c r="I946" s="7">
        <f t="shared" si="60"/>
        <v>4.2579266191583587E-3</v>
      </c>
      <c r="J946" s="7">
        <f t="shared" si="61"/>
        <v>-2.5544104165029946E-2</v>
      </c>
      <c r="K946" s="7">
        <f t="shared" si="62"/>
        <v>-1.037700973236455E-2</v>
      </c>
      <c r="L946" s="7"/>
    </row>
    <row r="947" spans="1:12" x14ac:dyDescent="0.25">
      <c r="A947" s="2" t="s">
        <v>1008</v>
      </c>
      <c r="B947" s="7">
        <v>3.2767836393214012E-2</v>
      </c>
      <c r="C947" s="7">
        <v>1.2686330478908214E-3</v>
      </c>
      <c r="D947" s="7">
        <v>0.10370370370370363</v>
      </c>
      <c r="E947" s="7">
        <v>4.0576725025746718E-2</v>
      </c>
      <c r="F947" s="7">
        <v>2.447725615264873E-2</v>
      </c>
      <c r="G947" s="7"/>
      <c r="H947" s="7">
        <f t="shared" si="59"/>
        <v>8.2905802405652818E-3</v>
      </c>
      <c r="I947" s="7">
        <f t="shared" si="60"/>
        <v>-2.3208623104757908E-2</v>
      </c>
      <c r="J947" s="7">
        <f t="shared" si="61"/>
        <v>7.9226447551054902E-2</v>
      </c>
      <c r="K947" s="7">
        <f t="shared" si="62"/>
        <v>1.6099468873097988E-2</v>
      </c>
      <c r="L947" s="7"/>
    </row>
    <row r="948" spans="1:12" x14ac:dyDescent="0.25">
      <c r="A948" s="2" t="s">
        <v>1009</v>
      </c>
      <c r="B948" s="7">
        <v>1.1518570756934743E-2</v>
      </c>
      <c r="C948" s="7">
        <v>-8.3866233357794417E-3</v>
      </c>
      <c r="D948" s="7">
        <v>-2.8776978417266008E-2</v>
      </c>
      <c r="E948" s="7">
        <v>7.7841203943953552E-3</v>
      </c>
      <c r="F948" s="7">
        <v>2.2008470670371594E-3</v>
      </c>
      <c r="G948" s="7"/>
      <c r="H948" s="7">
        <f t="shared" si="59"/>
        <v>9.3177236898975835E-3</v>
      </c>
      <c r="I948" s="7">
        <f t="shared" si="60"/>
        <v>-1.0587470402816601E-2</v>
      </c>
      <c r="J948" s="7">
        <f t="shared" si="61"/>
        <v>-3.0977825484303168E-2</v>
      </c>
      <c r="K948" s="7">
        <f t="shared" si="62"/>
        <v>5.5832733273581958E-3</v>
      </c>
      <c r="L948" s="7"/>
    </row>
    <row r="949" spans="1:12" x14ac:dyDescent="0.25">
      <c r="A949" s="2" t="s">
        <v>1010</v>
      </c>
      <c r="B949" s="7">
        <v>-3.9656859056362292E-2</v>
      </c>
      <c r="C949" s="7">
        <v>-2.5240138974044535E-2</v>
      </c>
      <c r="D949" s="7">
        <v>-5.4421768707483054E-2</v>
      </c>
      <c r="E949" s="7">
        <v>-6.0916179337231924E-2</v>
      </c>
      <c r="F949" s="7">
        <v>-3.2511959134456814E-2</v>
      </c>
      <c r="G949" s="7"/>
      <c r="H949" s="7">
        <f t="shared" si="59"/>
        <v>-7.1448999219054787E-3</v>
      </c>
      <c r="I949" s="7">
        <f t="shared" si="60"/>
        <v>7.271820160412279E-3</v>
      </c>
      <c r="J949" s="7">
        <f t="shared" si="61"/>
        <v>-2.190980957302624E-2</v>
      </c>
      <c r="K949" s="7">
        <f t="shared" si="62"/>
        <v>-2.840422020277511E-2</v>
      </c>
      <c r="L949" s="7"/>
    </row>
    <row r="950" spans="1:12" x14ac:dyDescent="0.25">
      <c r="A950" s="2" t="s">
        <v>1011</v>
      </c>
      <c r="B950" s="7">
        <v>2.0112074921317058E-2</v>
      </c>
      <c r="C950" s="7">
        <v>-6.799959403227418E-3</v>
      </c>
      <c r="D950" s="7">
        <v>2.7972027972027913E-2</v>
      </c>
      <c r="E950" s="7">
        <v>2.6615969581748944E-2</v>
      </c>
      <c r="F950" s="7">
        <v>1.4592502168395916E-2</v>
      </c>
      <c r="G950" s="7"/>
      <c r="H950" s="7">
        <f t="shared" si="59"/>
        <v>5.5195727529211425E-3</v>
      </c>
      <c r="I950" s="7">
        <f t="shared" si="60"/>
        <v>-2.1392461571623334E-2</v>
      </c>
      <c r="J950" s="7">
        <f t="shared" si="61"/>
        <v>1.3379525803631998E-2</v>
      </c>
      <c r="K950" s="7">
        <f t="shared" si="62"/>
        <v>1.2023467413353028E-2</v>
      </c>
      <c r="L950" s="7"/>
    </row>
    <row r="951" spans="1:12" x14ac:dyDescent="0.25">
      <c r="A951" s="2" t="s">
        <v>1012</v>
      </c>
      <c r="B951" s="7">
        <v>6.7233384853169209E-3</v>
      </c>
      <c r="C951" s="7">
        <v>-8.1538151801893166E-3</v>
      </c>
      <c r="D951" s="7">
        <v>2.877697841726623E-2</v>
      </c>
      <c r="E951" s="7">
        <v>6.8191534843950352E-2</v>
      </c>
      <c r="F951" s="7">
        <v>-3.7737056722930706E-3</v>
      </c>
      <c r="G951" s="7"/>
      <c r="H951" s="7">
        <f t="shared" si="59"/>
        <v>1.0497044157609992E-2</v>
      </c>
      <c r="I951" s="7">
        <f t="shared" si="60"/>
        <v>-4.380109507896246E-3</v>
      </c>
      <c r="J951" s="7">
        <f t="shared" si="61"/>
        <v>3.2550684089559301E-2</v>
      </c>
      <c r="K951" s="7">
        <f t="shared" si="62"/>
        <v>7.1965240516243423E-2</v>
      </c>
      <c r="L951" s="7"/>
    </row>
    <row r="952" spans="1:12" x14ac:dyDescent="0.25">
      <c r="A952" s="2" t="s">
        <v>180</v>
      </c>
      <c r="B952" s="7">
        <v>-3.8347205707491061E-2</v>
      </c>
      <c r="C952" s="7">
        <v>-9.3737534902272879E-3</v>
      </c>
      <c r="D952" s="7">
        <v>-5.4421768707483054E-2</v>
      </c>
      <c r="E952" s="7">
        <v>-0.10305819192790722</v>
      </c>
      <c r="F952" s="7">
        <v>-3.8768374153391849E-2</v>
      </c>
      <c r="G952" s="7"/>
      <c r="H952" s="7">
        <f t="shared" si="59"/>
        <v>4.2116844590078806E-4</v>
      </c>
      <c r="I952" s="7">
        <f t="shared" si="60"/>
        <v>2.9394620663164561E-2</v>
      </c>
      <c r="J952" s="7">
        <f t="shared" si="61"/>
        <v>-1.5653394554091205E-2</v>
      </c>
      <c r="K952" s="7">
        <f t="shared" si="62"/>
        <v>-6.4289817774515368E-2</v>
      </c>
      <c r="L952" s="7"/>
    </row>
    <row r="953" spans="1:12" x14ac:dyDescent="0.25">
      <c r="A953" s="2" t="s">
        <v>1013</v>
      </c>
      <c r="B953" s="7">
        <v>-3.8582452129179767E-2</v>
      </c>
      <c r="C953" s="7">
        <v>-4.5225173759878112E-2</v>
      </c>
      <c r="D953" s="7">
        <v>2.7972027972027913E-2</v>
      </c>
      <c r="E953" s="7">
        <v>-5.7487783845933116E-4</v>
      </c>
      <c r="F953" s="7">
        <v>-2.9110313553120881E-2</v>
      </c>
      <c r="G953" s="7"/>
      <c r="H953" s="7">
        <f t="shared" si="59"/>
        <v>-9.4721385760588861E-3</v>
      </c>
      <c r="I953" s="7">
        <f t="shared" si="60"/>
        <v>-1.6114860206757231E-2</v>
      </c>
      <c r="J953" s="7">
        <f t="shared" si="61"/>
        <v>5.7082341525148794E-2</v>
      </c>
      <c r="K953" s="7">
        <f t="shared" si="62"/>
        <v>2.853543571466155E-2</v>
      </c>
      <c r="L953" s="7"/>
    </row>
    <row r="954" spans="1:12" x14ac:dyDescent="0.25">
      <c r="A954" s="2" t="s">
        <v>1014</v>
      </c>
      <c r="B954" s="7">
        <v>-3.5955365752858515E-2</v>
      </c>
      <c r="C954" s="7">
        <v>-8.5897677930903971E-3</v>
      </c>
      <c r="D954" s="7">
        <v>-7.1428571428571508E-2</v>
      </c>
      <c r="E954" s="7">
        <v>-8.1249999999999933E-2</v>
      </c>
      <c r="F954" s="7">
        <v>-2.3798705952956634E-2</v>
      </c>
      <c r="G954" s="7"/>
      <c r="H954" s="7">
        <f t="shared" si="59"/>
        <v>-1.2156659799901881E-2</v>
      </c>
      <c r="I954" s="7">
        <f t="shared" si="60"/>
        <v>1.5208938159866237E-2</v>
      </c>
      <c r="J954" s="7">
        <f t="shared" si="61"/>
        <v>-4.7629865475614874E-2</v>
      </c>
      <c r="K954" s="7">
        <f t="shared" si="62"/>
        <v>-5.74512940470433E-2</v>
      </c>
      <c r="L954" s="7"/>
    </row>
    <row r="955" spans="1:12" x14ac:dyDescent="0.25">
      <c r="A955" s="2" t="s">
        <v>1015</v>
      </c>
      <c r="B955" s="7">
        <v>-5.0712719298244835E-3</v>
      </c>
      <c r="C955" s="7">
        <v>-9.8140013085334932E-3</v>
      </c>
      <c r="D955" s="7">
        <v>-5.5214723926380271E-2</v>
      </c>
      <c r="E955" s="7">
        <v>0.14666397496719497</v>
      </c>
      <c r="F955" s="7">
        <v>-1.0793908688002896E-2</v>
      </c>
      <c r="G955" s="7"/>
      <c r="H955" s="7">
        <f t="shared" si="59"/>
        <v>5.7226367581784121E-3</v>
      </c>
      <c r="I955" s="7">
        <f t="shared" si="60"/>
        <v>9.7990737946940243E-4</v>
      </c>
      <c r="J955" s="7">
        <f t="shared" si="61"/>
        <v>-4.4420815238377376E-2</v>
      </c>
      <c r="K955" s="7">
        <f t="shared" si="62"/>
        <v>0.15745788365519786</v>
      </c>
      <c r="L955" s="7"/>
    </row>
    <row r="956" spans="1:12" x14ac:dyDescent="0.25">
      <c r="A956" s="2" t="s">
        <v>1016</v>
      </c>
      <c r="B956" s="7">
        <v>1.7573221757322122E-2</v>
      </c>
      <c r="C956" s="7">
        <v>4.5066190967983921E-3</v>
      </c>
      <c r="D956" s="7">
        <v>7.2368421052631415E-2</v>
      </c>
      <c r="E956" s="7">
        <v>5.3599914920769987E-2</v>
      </c>
      <c r="F956" s="7">
        <v>9.5233935794130087E-3</v>
      </c>
      <c r="G956" s="7"/>
      <c r="H956" s="7">
        <f t="shared" si="59"/>
        <v>8.049828177909113E-3</v>
      </c>
      <c r="I956" s="7">
        <f t="shared" si="60"/>
        <v>-5.0167744826146166E-3</v>
      </c>
      <c r="J956" s="7">
        <f t="shared" si="61"/>
        <v>6.2845027473218407E-2</v>
      </c>
      <c r="K956" s="7">
        <f t="shared" si="62"/>
        <v>4.4076521341356978E-2</v>
      </c>
      <c r="L956" s="7"/>
    </row>
    <row r="957" spans="1:12" x14ac:dyDescent="0.25">
      <c r="A957" s="2" t="s">
        <v>181</v>
      </c>
      <c r="B957" s="7">
        <v>5.2576235541534899E-3</v>
      </c>
      <c r="C957" s="7">
        <v>1.598645852924685E-3</v>
      </c>
      <c r="D957" s="7">
        <v>-1.2987012987012991E-2</v>
      </c>
      <c r="E957" s="7">
        <v>6.2245820153637554E-2</v>
      </c>
      <c r="F957" s="7">
        <v>3.1373675320187644E-3</v>
      </c>
      <c r="G957" s="7"/>
      <c r="H957" s="7">
        <f t="shared" si="59"/>
        <v>2.1202560221347255E-3</v>
      </c>
      <c r="I957" s="7">
        <f t="shared" si="60"/>
        <v>-1.5387216790940794E-3</v>
      </c>
      <c r="J957" s="7">
        <f t="shared" si="61"/>
        <v>-1.6124380519031756E-2</v>
      </c>
      <c r="K957" s="7">
        <f t="shared" si="62"/>
        <v>5.910845262161879E-2</v>
      </c>
      <c r="L957" s="7"/>
    </row>
    <row r="958" spans="1:12" x14ac:dyDescent="0.25">
      <c r="A958" s="2" t="s">
        <v>1017</v>
      </c>
      <c r="B958" s="7">
        <v>-3.8552267978701926E-2</v>
      </c>
      <c r="C958" s="7">
        <v>-1.4914312181565581E-2</v>
      </c>
      <c r="D958" s="7">
        <v>6.944444444444442E-2</v>
      </c>
      <c r="E958" s="7">
        <v>-4.4060475161987078E-2</v>
      </c>
      <c r="F958" s="7">
        <v>-1.6347364741597592E-2</v>
      </c>
      <c r="G958" s="7"/>
      <c r="H958" s="7">
        <f t="shared" si="59"/>
        <v>-2.2204903237104334E-2</v>
      </c>
      <c r="I958" s="7">
        <f t="shared" si="60"/>
        <v>1.433052560032011E-3</v>
      </c>
      <c r="J958" s="7">
        <f t="shared" si="61"/>
        <v>8.5791809186042012E-2</v>
      </c>
      <c r="K958" s="7">
        <f t="shared" si="62"/>
        <v>-2.7713110420389486E-2</v>
      </c>
      <c r="L958" s="7"/>
    </row>
    <row r="959" spans="1:12" x14ac:dyDescent="0.25">
      <c r="A959" s="2" t="s">
        <v>1018</v>
      </c>
      <c r="B959" s="7">
        <v>1.6790021929824706E-2</v>
      </c>
      <c r="C959" s="7">
        <v>1.2094505906619313E-2</v>
      </c>
      <c r="D959" s="7">
        <v>-3.3557046979865834E-2</v>
      </c>
      <c r="E959" s="7">
        <v>4.4203879115922273E-2</v>
      </c>
      <c r="F959" s="7">
        <v>1.8431056049039052E-2</v>
      </c>
      <c r="G959" s="7"/>
      <c r="H959" s="7">
        <f t="shared" si="59"/>
        <v>-1.6410341192143463E-3</v>
      </c>
      <c r="I959" s="7">
        <f t="shared" si="60"/>
        <v>-6.336550142419739E-3</v>
      </c>
      <c r="J959" s="7">
        <f t="shared" si="61"/>
        <v>-5.1988103028904886E-2</v>
      </c>
      <c r="K959" s="7">
        <f t="shared" si="62"/>
        <v>2.5772823066883221E-2</v>
      </c>
      <c r="L959" s="7"/>
    </row>
    <row r="960" spans="1:12" x14ac:dyDescent="0.25">
      <c r="A960" s="2" t="s">
        <v>1019</v>
      </c>
      <c r="B960" s="7">
        <v>-8.9010612803852585E-4</v>
      </c>
      <c r="C960" s="7">
        <v>-1.9308569326958569E-2</v>
      </c>
      <c r="D960" s="7">
        <v>2.7586206896551779E-2</v>
      </c>
      <c r="E960" s="7">
        <v>-2.7844770883578063E-2</v>
      </c>
      <c r="F960" s="7">
        <v>-7.4827874109120174E-3</v>
      </c>
      <c r="G960" s="7"/>
      <c r="H960" s="7">
        <f t="shared" si="59"/>
        <v>6.5926812828734915E-3</v>
      </c>
      <c r="I960" s="7">
        <f t="shared" si="60"/>
        <v>-1.1825781916046552E-2</v>
      </c>
      <c r="J960" s="7">
        <f t="shared" si="61"/>
        <v>3.5068994307463797E-2</v>
      </c>
      <c r="K960" s="7">
        <f t="shared" si="62"/>
        <v>-2.0361983472666045E-2</v>
      </c>
      <c r="L960" s="7"/>
    </row>
    <row r="961" spans="1:12" x14ac:dyDescent="0.25">
      <c r="A961" s="2" t="s">
        <v>1020</v>
      </c>
      <c r="B961" s="7">
        <v>-5.3122658857182037E-3</v>
      </c>
      <c r="C961" s="7">
        <v>-1.4689680499448965E-3</v>
      </c>
      <c r="D961" s="7">
        <v>-0.1049382716049384</v>
      </c>
      <c r="E961" s="7">
        <v>2.8294442565663491E-2</v>
      </c>
      <c r="F961" s="7">
        <v>-6.2742891223209751E-3</v>
      </c>
      <c r="G961" s="7"/>
      <c r="H961" s="7">
        <f t="shared" si="59"/>
        <v>9.6202323660277145E-4</v>
      </c>
      <c r="I961" s="7">
        <f t="shared" si="60"/>
        <v>4.8053210723760786E-3</v>
      </c>
      <c r="J961" s="7">
        <f t="shared" si="61"/>
        <v>-9.8663982482617429E-2</v>
      </c>
      <c r="K961" s="7">
        <f t="shared" si="62"/>
        <v>3.4568731687984466E-2</v>
      </c>
      <c r="L961" s="7"/>
    </row>
    <row r="962" spans="1:12" x14ac:dyDescent="0.25">
      <c r="A962" s="2" t="s">
        <v>1021</v>
      </c>
      <c r="B962" s="7">
        <v>4.0757017295151687E-2</v>
      </c>
      <c r="C962" s="7">
        <v>1.6803584764749857E-2</v>
      </c>
      <c r="D962" s="7">
        <v>3.8461538461538547E-2</v>
      </c>
      <c r="E962" s="7">
        <v>-1.136743564025422E-2</v>
      </c>
      <c r="F962" s="7">
        <v>2.4742227391912897E-2</v>
      </c>
      <c r="G962" s="7"/>
      <c r="H962" s="7">
        <f t="shared" si="59"/>
        <v>1.6014789903238791E-2</v>
      </c>
      <c r="I962" s="7">
        <f t="shared" si="60"/>
        <v>-7.9386426271630395E-3</v>
      </c>
      <c r="J962" s="7">
        <f t="shared" si="61"/>
        <v>1.371931106962565E-2</v>
      </c>
      <c r="K962" s="7">
        <f t="shared" si="62"/>
        <v>-3.6109663032167116E-2</v>
      </c>
      <c r="L962" s="7"/>
    </row>
    <row r="963" spans="1:12" x14ac:dyDescent="0.25">
      <c r="A963" s="2" t="s">
        <v>1022</v>
      </c>
      <c r="B963" s="7">
        <v>2.3208587177255602E-2</v>
      </c>
      <c r="C963" s="7">
        <v>8.5679314565485498E-3</v>
      </c>
      <c r="D963" s="7">
        <v>-1.2658227848101222E-2</v>
      </c>
      <c r="E963" s="7">
        <v>0.14788281949597026</v>
      </c>
      <c r="F963" s="7">
        <v>1.988322907058282E-2</v>
      </c>
      <c r="G963" s="7"/>
      <c r="H963" s="7">
        <f t="shared" ref="H963:H1026" si="63">B963-$F963</f>
        <v>3.3253581066727822E-3</v>
      </c>
      <c r="I963" s="7">
        <f t="shared" ref="I963:I1026" si="64">C963-$F963</f>
        <v>-1.131529761403427E-2</v>
      </c>
      <c r="J963" s="7">
        <f t="shared" ref="J963:J1026" si="65">D963-$F963</f>
        <v>-3.2541456918684042E-2</v>
      </c>
      <c r="K963" s="7">
        <f t="shared" ref="K963:K1026" si="66">E963-$F963</f>
        <v>0.12799959042538744</v>
      </c>
      <c r="L963" s="7"/>
    </row>
    <row r="964" spans="1:12" x14ac:dyDescent="0.25">
      <c r="A964" s="2" t="s">
        <v>1023</v>
      </c>
      <c r="B964" s="7">
        <v>1.1617775196048896E-3</v>
      </c>
      <c r="C964" s="7">
        <v>2.8253908457331889E-4</v>
      </c>
      <c r="D964" s="7">
        <v>3.9473684210526327E-2</v>
      </c>
      <c r="E964" s="7">
        <v>-1.9152196118487064E-3</v>
      </c>
      <c r="F964" s="7">
        <v>9.4507646873762674E-3</v>
      </c>
      <c r="G964" s="7"/>
      <c r="H964" s="7">
        <f t="shared" si="63"/>
        <v>-8.2889871677713778E-3</v>
      </c>
      <c r="I964" s="7">
        <f t="shared" si="64"/>
        <v>-9.1682256028029485E-3</v>
      </c>
      <c r="J964" s="7">
        <f t="shared" si="65"/>
        <v>3.002291952315006E-2</v>
      </c>
      <c r="K964" s="7">
        <f t="shared" si="66"/>
        <v>-1.1365984299224974E-2</v>
      </c>
      <c r="L964" s="7"/>
    </row>
    <row r="965" spans="1:12" x14ac:dyDescent="0.25">
      <c r="A965" s="2" t="s">
        <v>1024</v>
      </c>
      <c r="B965" s="7">
        <v>-1.9228030195128865E-2</v>
      </c>
      <c r="C965" s="7">
        <v>9.507510933637553E-3</v>
      </c>
      <c r="D965" s="7">
        <v>-8.9820359281437057E-2</v>
      </c>
      <c r="E965" s="7">
        <v>-5.4563013037180252E-2</v>
      </c>
      <c r="F965" s="7">
        <v>-8.1207927021075266E-3</v>
      </c>
      <c r="G965" s="7"/>
      <c r="H965" s="7">
        <f t="shared" si="63"/>
        <v>-1.1107237493021338E-2</v>
      </c>
      <c r="I965" s="7">
        <f t="shared" si="64"/>
        <v>1.762830363574508E-2</v>
      </c>
      <c r="J965" s="7">
        <f t="shared" si="65"/>
        <v>-8.169956657932953E-2</v>
      </c>
      <c r="K965" s="7">
        <f t="shared" si="66"/>
        <v>-4.6442220335072726E-2</v>
      </c>
      <c r="L965" s="7"/>
    </row>
    <row r="966" spans="1:12" x14ac:dyDescent="0.25">
      <c r="A966" s="2" t="s">
        <v>182</v>
      </c>
      <c r="B966" s="7">
        <v>4.0071105844011523E-2</v>
      </c>
      <c r="C966" s="7">
        <v>3.8175224279444198E-3</v>
      </c>
      <c r="D966" s="7">
        <v>-0.11170212765957444</v>
      </c>
      <c r="E966" s="7">
        <v>5.095850521718015E-3</v>
      </c>
      <c r="F966" s="7">
        <v>1.8555067976295359E-2</v>
      </c>
      <c r="G966" s="7"/>
      <c r="H966" s="7">
        <f t="shared" si="63"/>
        <v>2.1516037867716165E-2</v>
      </c>
      <c r="I966" s="7">
        <f t="shared" si="64"/>
        <v>-1.4737545548350939E-2</v>
      </c>
      <c r="J966" s="7">
        <f t="shared" si="65"/>
        <v>-0.13025719563586979</v>
      </c>
      <c r="K966" s="7">
        <f t="shared" si="66"/>
        <v>-1.3459217454577344E-2</v>
      </c>
      <c r="L966" s="7"/>
    </row>
    <row r="967" spans="1:12" x14ac:dyDescent="0.25">
      <c r="A967" s="2" t="s">
        <v>1025</v>
      </c>
      <c r="B967" s="7">
        <v>1.7808117533575363E-3</v>
      </c>
      <c r="C967" s="7">
        <v>-2.1296469269568519E-2</v>
      </c>
      <c r="D967" s="7">
        <v>-5.0505050505050497E-2</v>
      </c>
      <c r="E967" s="7">
        <v>-1.0326609029778999E-2</v>
      </c>
      <c r="F967" s="7">
        <v>1.4612424662696633E-4</v>
      </c>
      <c r="G967" s="7"/>
      <c r="H967" s="7">
        <f t="shared" si="63"/>
        <v>1.63468750673057E-3</v>
      </c>
      <c r="I967" s="7">
        <f t="shared" si="64"/>
        <v>-2.1442593516195485E-2</v>
      </c>
      <c r="J967" s="7">
        <f t="shared" si="65"/>
        <v>-5.0651174751677464E-2</v>
      </c>
      <c r="K967" s="7">
        <f t="shared" si="66"/>
        <v>-1.0472733276405966E-2</v>
      </c>
      <c r="L967" s="7"/>
    </row>
    <row r="968" spans="1:12" x14ac:dyDescent="0.25">
      <c r="A968" s="2" t="s">
        <v>1026</v>
      </c>
      <c r="B968" s="7">
        <v>-2.4677956288898462E-2</v>
      </c>
      <c r="C968" s="7">
        <v>-3.2585420351921579E-3</v>
      </c>
      <c r="D968" s="7">
        <v>7.0270270270270219E-2</v>
      </c>
      <c r="E968" s="7">
        <v>4.341534008682979E-3</v>
      </c>
      <c r="F968" s="7">
        <v>-5.8338090771927753E-3</v>
      </c>
      <c r="G968" s="7"/>
      <c r="H968" s="7">
        <f t="shared" si="63"/>
        <v>-1.8844147211705686E-2</v>
      </c>
      <c r="I968" s="7">
        <f t="shared" si="64"/>
        <v>2.5752670420006174E-3</v>
      </c>
      <c r="J968" s="7">
        <f t="shared" si="65"/>
        <v>7.6104079347462994E-2</v>
      </c>
      <c r="K968" s="7">
        <f t="shared" si="66"/>
        <v>1.0175343085875754E-2</v>
      </c>
      <c r="L968" s="7"/>
    </row>
    <row r="969" spans="1:12" x14ac:dyDescent="0.25">
      <c r="A969" s="2" t="s">
        <v>1027</v>
      </c>
      <c r="B969" s="7">
        <v>-5.6405353728489427E-2</v>
      </c>
      <c r="C969" s="7">
        <v>-2.239009738782205E-2</v>
      </c>
      <c r="D969" s="7">
        <v>0</v>
      </c>
      <c r="E969" s="7">
        <v>-5.0824175824175755E-2</v>
      </c>
      <c r="F969" s="7">
        <v>-4.0395221150201222E-2</v>
      </c>
      <c r="G969" s="7"/>
      <c r="H969" s="7">
        <f t="shared" si="63"/>
        <v>-1.6010132578288205E-2</v>
      </c>
      <c r="I969" s="7">
        <f t="shared" si="64"/>
        <v>1.8005123762379172E-2</v>
      </c>
      <c r="J969" s="7">
        <f t="shared" si="65"/>
        <v>4.0395221150201222E-2</v>
      </c>
      <c r="K969" s="7">
        <f t="shared" si="66"/>
        <v>-1.0428954673974533E-2</v>
      </c>
      <c r="L969" s="7"/>
    </row>
    <row r="970" spans="1:12" x14ac:dyDescent="0.25">
      <c r="A970" s="2" t="s">
        <v>1028</v>
      </c>
      <c r="B970" s="7">
        <v>2.5418388068062514E-2</v>
      </c>
      <c r="C970" s="7">
        <v>1.2253547079417615E-2</v>
      </c>
      <c r="D970" s="7">
        <v>-5.1282051282051211E-2</v>
      </c>
      <c r="E970" s="7">
        <v>6.3679532448557286E-2</v>
      </c>
      <c r="F970" s="7">
        <v>2.0169610355263545E-2</v>
      </c>
      <c r="G970" s="7"/>
      <c r="H970" s="7">
        <f t="shared" si="63"/>
        <v>5.2487777127989688E-3</v>
      </c>
      <c r="I970" s="7">
        <f t="shared" si="64"/>
        <v>-7.9160632758459304E-3</v>
      </c>
      <c r="J970" s="7">
        <f t="shared" si="65"/>
        <v>-7.1451661637314756E-2</v>
      </c>
      <c r="K970" s="7">
        <f t="shared" si="66"/>
        <v>4.350992209329374E-2</v>
      </c>
      <c r="L970" s="7"/>
    </row>
    <row r="971" spans="1:12" x14ac:dyDescent="0.25">
      <c r="A971" s="2" t="s">
        <v>183</v>
      </c>
      <c r="B971" s="7">
        <v>-1.0668514028403187E-2</v>
      </c>
      <c r="C971" s="7">
        <v>8.0802451936472508E-3</v>
      </c>
      <c r="D971" s="7">
        <v>0.10169491525423724</v>
      </c>
      <c r="E971" s="7">
        <v>-1.7113451412159031E-2</v>
      </c>
      <c r="F971" s="7">
        <v>-3.9464299471405617E-3</v>
      </c>
      <c r="G971" s="7"/>
      <c r="H971" s="7">
        <f t="shared" si="63"/>
        <v>-6.7220840812626248E-3</v>
      </c>
      <c r="I971" s="7">
        <f t="shared" si="64"/>
        <v>1.2026675140787813E-2</v>
      </c>
      <c r="J971" s="7">
        <f t="shared" si="65"/>
        <v>0.1056413452013778</v>
      </c>
      <c r="K971" s="7">
        <f t="shared" si="66"/>
        <v>-1.3167021465018469E-2</v>
      </c>
      <c r="L971" s="7"/>
    </row>
    <row r="972" spans="1:12" x14ac:dyDescent="0.25">
      <c r="A972" s="2" t="s">
        <v>1029</v>
      </c>
      <c r="B972" s="7">
        <v>3.195596225336006E-2</v>
      </c>
      <c r="C972" s="7">
        <v>-1.9466073414904361E-3</v>
      </c>
      <c r="D972" s="7">
        <v>9.259259259259256E-2</v>
      </c>
      <c r="E972" s="7">
        <v>8.5053889105310976E-2</v>
      </c>
      <c r="F972" s="7">
        <v>2.386974310955492E-2</v>
      </c>
      <c r="G972" s="7"/>
      <c r="H972" s="7">
        <f t="shared" si="63"/>
        <v>8.0862191438051401E-3</v>
      </c>
      <c r="I972" s="7">
        <f t="shared" si="64"/>
        <v>-2.5816350451045356E-2</v>
      </c>
      <c r="J972" s="7">
        <f t="shared" si="65"/>
        <v>6.872284948303764E-2</v>
      </c>
      <c r="K972" s="7">
        <f t="shared" si="66"/>
        <v>6.1184145995756056E-2</v>
      </c>
      <c r="L972" s="7"/>
    </row>
    <row r="973" spans="1:12" x14ac:dyDescent="0.25">
      <c r="A973" s="2" t="s">
        <v>1030</v>
      </c>
      <c r="B973" s="7">
        <v>-2.692173913043483E-2</v>
      </c>
      <c r="C973" s="7">
        <v>2.1687659816270299E-2</v>
      </c>
      <c r="D973" s="7">
        <v>-1.8181818181818077E-2</v>
      </c>
      <c r="E973" s="7">
        <v>-7.8587992785364991E-3</v>
      </c>
      <c r="F973" s="7">
        <v>-1.2960017076728558E-3</v>
      </c>
      <c r="G973" s="7"/>
      <c r="H973" s="7">
        <f t="shared" si="63"/>
        <v>-2.5625737422761974E-2</v>
      </c>
      <c r="I973" s="7">
        <f t="shared" si="64"/>
        <v>2.2983661523943155E-2</v>
      </c>
      <c r="J973" s="7">
        <f t="shared" si="65"/>
        <v>-1.6885816474145221E-2</v>
      </c>
      <c r="K973" s="7">
        <f t="shared" si="66"/>
        <v>-6.5627975708636432E-3</v>
      </c>
      <c r="L973" s="7"/>
    </row>
    <row r="974" spans="1:12" x14ac:dyDescent="0.25">
      <c r="A974" s="2" t="s">
        <v>1031</v>
      </c>
      <c r="B974" s="7">
        <v>-5.1843545940241542E-2</v>
      </c>
      <c r="C974" s="7">
        <v>-1.8132787799888472E-2</v>
      </c>
      <c r="D974" s="7">
        <v>-1.19760479041916E-2</v>
      </c>
      <c r="E974" s="7">
        <v>-3.3615537848605492E-2</v>
      </c>
      <c r="F974" s="7">
        <v>-1.6463178415666024E-2</v>
      </c>
      <c r="G974" s="7"/>
      <c r="H974" s="7">
        <f t="shared" si="63"/>
        <v>-3.5380367524575518E-2</v>
      </c>
      <c r="I974" s="7">
        <f t="shared" si="64"/>
        <v>-1.669609384222448E-3</v>
      </c>
      <c r="J974" s="7">
        <f t="shared" si="65"/>
        <v>4.4871305114744242E-3</v>
      </c>
      <c r="K974" s="7">
        <f t="shared" si="66"/>
        <v>-1.7152359432939468E-2</v>
      </c>
      <c r="L974" s="7"/>
    </row>
    <row r="975" spans="1:12" x14ac:dyDescent="0.25">
      <c r="A975" s="2" t="s">
        <v>1032</v>
      </c>
      <c r="B975" s="7">
        <v>1.6152815013404931E-2</v>
      </c>
      <c r="C975" s="7">
        <v>-2.1474067333939972E-2</v>
      </c>
      <c r="D975" s="7">
        <v>0.11333333333333329</v>
      </c>
      <c r="E975" s="7">
        <v>-3.1028918952463735E-3</v>
      </c>
      <c r="F975" s="7">
        <v>2.4578827632515399E-3</v>
      </c>
      <c r="G975" s="7"/>
      <c r="H975" s="7">
        <f t="shared" si="63"/>
        <v>1.3694932250153391E-2</v>
      </c>
      <c r="I975" s="7">
        <f t="shared" si="64"/>
        <v>-2.3931950097191512E-2</v>
      </c>
      <c r="J975" s="7">
        <f t="shared" si="65"/>
        <v>0.11087545057008175</v>
      </c>
      <c r="K975" s="7">
        <f t="shared" si="66"/>
        <v>-5.5607746584979134E-3</v>
      </c>
      <c r="L975" s="7"/>
    </row>
    <row r="976" spans="1:12" x14ac:dyDescent="0.25">
      <c r="A976" s="2" t="s">
        <v>184</v>
      </c>
      <c r="B976" s="7">
        <v>-3.3240458757208713E-2</v>
      </c>
      <c r="C976" s="7">
        <v>1.9102373887240454E-2</v>
      </c>
      <c r="D976" s="7">
        <v>-0.15254237288135597</v>
      </c>
      <c r="E976" s="7">
        <v>-5.7881197380729721E-2</v>
      </c>
      <c r="F976" s="7">
        <v>-3.2037134944001844E-2</v>
      </c>
      <c r="G976" s="7"/>
      <c r="H976" s="7">
        <f t="shared" si="63"/>
        <v>-1.2033238132068691E-3</v>
      </c>
      <c r="I976" s="7">
        <f t="shared" si="64"/>
        <v>5.1139508831242297E-2</v>
      </c>
      <c r="J976" s="7">
        <f t="shared" si="65"/>
        <v>-0.12050523793735413</v>
      </c>
      <c r="K976" s="7">
        <f t="shared" si="66"/>
        <v>-2.5844062436727877E-2</v>
      </c>
      <c r="L976" s="7"/>
    </row>
    <row r="977" spans="1:12" x14ac:dyDescent="0.25">
      <c r="A977" s="2" t="s">
        <v>1033</v>
      </c>
      <c r="B977" s="7">
        <v>4.7526041666667851E-3</v>
      </c>
      <c r="C977" s="7">
        <v>4.6386492253458478E-4</v>
      </c>
      <c r="D977" s="7">
        <v>-6.8421052631578938E-2</v>
      </c>
      <c r="E977" s="7">
        <v>-4.8509123275478405E-2</v>
      </c>
      <c r="F977" s="7">
        <v>-5.6741590645473794E-3</v>
      </c>
      <c r="G977" s="7"/>
      <c r="H977" s="7">
        <f t="shared" si="63"/>
        <v>1.0426763231214164E-2</v>
      </c>
      <c r="I977" s="7">
        <f t="shared" si="64"/>
        <v>6.1380239870819642E-3</v>
      </c>
      <c r="J977" s="7">
        <f t="shared" si="65"/>
        <v>-6.2746893567031559E-2</v>
      </c>
      <c r="K977" s="7">
        <f t="shared" si="66"/>
        <v>-4.2834964210931026E-2</v>
      </c>
      <c r="L977" s="7"/>
    </row>
    <row r="978" spans="1:12" x14ac:dyDescent="0.25">
      <c r="A978" s="2" t="s">
        <v>1034</v>
      </c>
      <c r="B978" s="7">
        <v>-5.5699004057543355E-2</v>
      </c>
      <c r="C978" s="7">
        <v>-3.0926908208217196E-2</v>
      </c>
      <c r="D978" s="7">
        <v>-1.041666666666663E-2</v>
      </c>
      <c r="E978" s="7">
        <v>-6.676357595265292E-2</v>
      </c>
      <c r="F978" s="7">
        <v>-3.5649753381843063E-2</v>
      </c>
      <c r="G978" s="7"/>
      <c r="H978" s="7">
        <f t="shared" si="63"/>
        <v>-2.0049250675700292E-2</v>
      </c>
      <c r="I978" s="7">
        <f t="shared" si="64"/>
        <v>4.722845173625867E-3</v>
      </c>
      <c r="J978" s="7">
        <f t="shared" si="65"/>
        <v>2.5233086715176434E-2</v>
      </c>
      <c r="K978" s="7">
        <f t="shared" si="66"/>
        <v>-3.1113822570809857E-2</v>
      </c>
      <c r="L978" s="7"/>
    </row>
    <row r="979" spans="1:12" x14ac:dyDescent="0.25">
      <c r="A979" s="2" t="s">
        <v>1035</v>
      </c>
      <c r="B979" s="7">
        <v>4.0957378727761506E-2</v>
      </c>
      <c r="C979" s="7">
        <v>4.157692667852797E-2</v>
      </c>
      <c r="D979" s="7">
        <v>2.6737967914438387E-2</v>
      </c>
      <c r="E979" s="7">
        <v>1.0280079723067326E-2</v>
      </c>
      <c r="F979" s="7">
        <v>2.9862434977535601E-2</v>
      </c>
      <c r="G979" s="7"/>
      <c r="H979" s="7">
        <f t="shared" si="63"/>
        <v>1.1094943750225905E-2</v>
      </c>
      <c r="I979" s="7">
        <f t="shared" si="64"/>
        <v>1.1714491700992369E-2</v>
      </c>
      <c r="J979" s="7">
        <f t="shared" si="65"/>
        <v>-3.1244670630972138E-3</v>
      </c>
      <c r="K979" s="7">
        <f t="shared" si="66"/>
        <v>-1.9582355254468276E-2</v>
      </c>
      <c r="L979" s="7"/>
    </row>
    <row r="980" spans="1:12" x14ac:dyDescent="0.25">
      <c r="A980" s="2" t="s">
        <v>1036</v>
      </c>
      <c r="B980" s="7">
        <v>9.6271887316661253E-3</v>
      </c>
      <c r="C980" s="7">
        <v>1.4824669770977961E-2</v>
      </c>
      <c r="D980" s="7">
        <v>6.25E-2</v>
      </c>
      <c r="E980" s="7">
        <v>-8.2188930503538371E-3</v>
      </c>
      <c r="F980" s="7">
        <v>4.8371027439124692E-3</v>
      </c>
      <c r="G980" s="7"/>
      <c r="H980" s="7">
        <f t="shared" si="63"/>
        <v>4.7900859877536561E-3</v>
      </c>
      <c r="I980" s="7">
        <f t="shared" si="64"/>
        <v>9.9875670270654915E-3</v>
      </c>
      <c r="J980" s="7">
        <f t="shared" si="65"/>
        <v>5.7662897256087531E-2</v>
      </c>
      <c r="K980" s="7">
        <f t="shared" si="66"/>
        <v>-1.3055995794266306E-2</v>
      </c>
      <c r="L980" s="7"/>
    </row>
    <row r="981" spans="1:12" x14ac:dyDescent="0.25">
      <c r="A981" s="2" t="s">
        <v>185</v>
      </c>
      <c r="B981" s="7">
        <v>2.0069921015148928E-3</v>
      </c>
      <c r="C981" s="7">
        <v>1.172964138063648E-2</v>
      </c>
      <c r="D981" s="7">
        <v>-2.7624309392265234E-2</v>
      </c>
      <c r="E981" s="7">
        <v>4.2403210063984398E-2</v>
      </c>
      <c r="F981" s="7">
        <v>5.6753139573999523E-3</v>
      </c>
      <c r="G981" s="7"/>
      <c r="H981" s="7">
        <f t="shared" si="63"/>
        <v>-3.6683218558850594E-3</v>
      </c>
      <c r="I981" s="7">
        <f t="shared" si="64"/>
        <v>6.0543274232365274E-3</v>
      </c>
      <c r="J981" s="7">
        <f t="shared" si="65"/>
        <v>-3.3299623349665186E-2</v>
      </c>
      <c r="K981" s="7">
        <f t="shared" si="66"/>
        <v>3.6727896106584446E-2</v>
      </c>
      <c r="L981" s="7"/>
    </row>
    <row r="982" spans="1:12" x14ac:dyDescent="0.25">
      <c r="A982" s="2" t="s">
        <v>1037</v>
      </c>
      <c r="B982" s="7">
        <v>-3.6611987775213684E-2</v>
      </c>
      <c r="C982" s="7">
        <v>-1.9883151149641898E-2</v>
      </c>
      <c r="D982" s="7">
        <v>-6.2176165803108696E-2</v>
      </c>
      <c r="E982" s="7">
        <v>6.7987028028723584E-2</v>
      </c>
      <c r="F982" s="7">
        <v>-3.6284548104956182E-2</v>
      </c>
      <c r="G982" s="7"/>
      <c r="H982" s="7">
        <f t="shared" si="63"/>
        <v>-3.2743967025750109E-4</v>
      </c>
      <c r="I982" s="7">
        <f t="shared" si="64"/>
        <v>1.6401396955314285E-2</v>
      </c>
      <c r="J982" s="7">
        <f t="shared" si="65"/>
        <v>-2.5891617698152514E-2</v>
      </c>
      <c r="K982" s="7">
        <f t="shared" si="66"/>
        <v>0.10427157613367977</v>
      </c>
      <c r="L982" s="7"/>
    </row>
    <row r="983" spans="1:12" x14ac:dyDescent="0.25">
      <c r="A983" s="2" t="s">
        <v>1038</v>
      </c>
      <c r="B983" s="7">
        <v>4.5176010430247659E-2</v>
      </c>
      <c r="C983" s="7">
        <v>2.0384615384615445E-2</v>
      </c>
      <c r="D983" s="7">
        <v>-4.9261083743842304E-2</v>
      </c>
      <c r="E983" s="7">
        <v>2.9327610872675436E-2</v>
      </c>
      <c r="F983" s="7">
        <v>2.474689050564538E-2</v>
      </c>
      <c r="G983" s="7"/>
      <c r="H983" s="7">
        <f t="shared" si="63"/>
        <v>2.0429119924602279E-2</v>
      </c>
      <c r="I983" s="7">
        <f t="shared" si="64"/>
        <v>-4.3622751210299349E-3</v>
      </c>
      <c r="J983" s="7">
        <f t="shared" si="65"/>
        <v>-7.4007974249487685E-2</v>
      </c>
      <c r="K983" s="7">
        <f t="shared" si="66"/>
        <v>4.5807203670300556E-3</v>
      </c>
      <c r="L983" s="7"/>
    </row>
    <row r="984" spans="1:12" x14ac:dyDescent="0.25">
      <c r="A984" s="2" t="s">
        <v>1039</v>
      </c>
      <c r="B984" s="7">
        <v>-1.4971034303195019E-3</v>
      </c>
      <c r="C984" s="7">
        <v>-9.6144601480663283E-5</v>
      </c>
      <c r="D984" s="7">
        <v>0.12777777777777755</v>
      </c>
      <c r="E984" s="7">
        <v>5.1654964894684019E-2</v>
      </c>
      <c r="F984" s="7">
        <v>2.0981030848821192E-3</v>
      </c>
      <c r="G984" s="7"/>
      <c r="H984" s="7">
        <f t="shared" si="63"/>
        <v>-3.595206515201621E-3</v>
      </c>
      <c r="I984" s="7">
        <f t="shared" si="64"/>
        <v>-2.1942476863627824E-3</v>
      </c>
      <c r="J984" s="7">
        <f t="shared" si="65"/>
        <v>0.12567967469289543</v>
      </c>
      <c r="K984" s="7">
        <f t="shared" si="66"/>
        <v>4.95568618098019E-2</v>
      </c>
      <c r="L984" s="7"/>
    </row>
    <row r="985" spans="1:12" x14ac:dyDescent="0.25">
      <c r="A985" s="2" t="s">
        <v>1040</v>
      </c>
      <c r="B985" s="7">
        <v>-3.7345698352027168E-2</v>
      </c>
      <c r="C985" s="7">
        <v>-2.9485863581226068E-2</v>
      </c>
      <c r="D985" s="7">
        <v>4.6511627906976827E-2</v>
      </c>
      <c r="E985" s="7">
        <v>-2.158979391560345E-2</v>
      </c>
      <c r="F985" s="7">
        <v>-2.8146327383778869E-2</v>
      </c>
      <c r="G985" s="7"/>
      <c r="H985" s="7">
        <f t="shared" si="63"/>
        <v>-9.1993709682482994E-3</v>
      </c>
      <c r="I985" s="7">
        <f t="shared" si="64"/>
        <v>-1.3395361974471998E-3</v>
      </c>
      <c r="J985" s="7">
        <f t="shared" si="65"/>
        <v>7.4657955290755695E-2</v>
      </c>
      <c r="K985" s="7">
        <f t="shared" si="66"/>
        <v>6.5565334681754184E-3</v>
      </c>
      <c r="L985" s="7"/>
    </row>
    <row r="986" spans="1:12" x14ac:dyDescent="0.25">
      <c r="A986" s="2" t="s">
        <v>186</v>
      </c>
      <c r="B986" s="7">
        <v>6.7499369164774059E-3</v>
      </c>
      <c r="C986" s="7">
        <v>-3.8111173080498384E-3</v>
      </c>
      <c r="D986" s="7">
        <v>-0.12690355329949243</v>
      </c>
      <c r="E986" s="7">
        <v>-7.5480886291697802E-3</v>
      </c>
      <c r="F986" s="7">
        <v>5.6978589721381478E-3</v>
      </c>
      <c r="G986" s="7"/>
      <c r="H986" s="7">
        <f t="shared" si="63"/>
        <v>1.0520779443392581E-3</v>
      </c>
      <c r="I986" s="7">
        <f t="shared" si="64"/>
        <v>-9.5089762801879862E-3</v>
      </c>
      <c r="J986" s="7">
        <f t="shared" si="65"/>
        <v>-0.13260141227163058</v>
      </c>
      <c r="K986" s="7">
        <f t="shared" si="66"/>
        <v>-1.3245947601307928E-2</v>
      </c>
      <c r="L986" s="7"/>
    </row>
    <row r="987" spans="1:12" x14ac:dyDescent="0.25">
      <c r="A987" s="2" t="s">
        <v>1041</v>
      </c>
      <c r="B987" s="7">
        <v>-2.7842511958788174E-2</v>
      </c>
      <c r="C987" s="7">
        <v>-1.7175223826055186E-2</v>
      </c>
      <c r="D987" s="7">
        <v>-3.9024390243902363E-2</v>
      </c>
      <c r="E987" s="7">
        <v>5.8780308596619868E-3</v>
      </c>
      <c r="F987" s="7">
        <v>-2.773997077607282E-2</v>
      </c>
      <c r="G987" s="7"/>
      <c r="H987" s="7">
        <f t="shared" si="63"/>
        <v>-1.025411827153544E-4</v>
      </c>
      <c r="I987" s="7">
        <f t="shared" si="64"/>
        <v>1.0564746950017634E-2</v>
      </c>
      <c r="J987" s="7">
        <f t="shared" si="65"/>
        <v>-1.1284419467829543E-2</v>
      </c>
      <c r="K987" s="7">
        <f t="shared" si="66"/>
        <v>3.3618001635734807E-2</v>
      </c>
      <c r="L987" s="7"/>
    </row>
    <row r="988" spans="1:12" x14ac:dyDescent="0.25">
      <c r="A988" s="2" t="s">
        <v>1042</v>
      </c>
      <c r="B988" s="7">
        <v>-4.8214830637778316E-3</v>
      </c>
      <c r="C988" s="7">
        <v>7.9189686924494573E-3</v>
      </c>
      <c r="D988" s="7">
        <v>4.9019607843137081E-3</v>
      </c>
      <c r="E988" s="7">
        <v>-3.8275821458014336E-2</v>
      </c>
      <c r="F988" s="7">
        <v>-1.475294038502506E-2</v>
      </c>
      <c r="G988" s="7"/>
      <c r="H988" s="7">
        <f t="shared" si="63"/>
        <v>9.9314573212472279E-3</v>
      </c>
      <c r="I988" s="7">
        <f t="shared" si="64"/>
        <v>2.2671909077474517E-2</v>
      </c>
      <c r="J988" s="7">
        <f t="shared" si="65"/>
        <v>1.9654901169338768E-2</v>
      </c>
      <c r="K988" s="7">
        <f t="shared" si="66"/>
        <v>-2.3522881072989277E-2</v>
      </c>
      <c r="L988" s="7"/>
    </row>
    <row r="989" spans="1:12" x14ac:dyDescent="0.25">
      <c r="A989" s="2" t="s">
        <v>1043</v>
      </c>
      <c r="B989" s="7">
        <v>-1.0364589684185299E-3</v>
      </c>
      <c r="C989" s="7">
        <v>3.2332563510391044E-3</v>
      </c>
      <c r="D989" s="7">
        <v>9.6774193548387011E-2</v>
      </c>
      <c r="E989" s="7">
        <v>-4.3806306306306331E-2</v>
      </c>
      <c r="F989" s="7">
        <v>-6.1852759058855789E-4</v>
      </c>
      <c r="G989" s="7"/>
      <c r="H989" s="7">
        <f t="shared" si="63"/>
        <v>-4.1793137782997203E-4</v>
      </c>
      <c r="I989" s="7">
        <f t="shared" si="64"/>
        <v>3.8517839416276622E-3</v>
      </c>
      <c r="J989" s="7">
        <f t="shared" si="65"/>
        <v>9.7392721138975569E-2</v>
      </c>
      <c r="K989" s="7">
        <f t="shared" si="66"/>
        <v>-4.3187778715717773E-2</v>
      </c>
      <c r="L989" s="7"/>
    </row>
    <row r="990" spans="1:12" x14ac:dyDescent="0.25">
      <c r="A990" s="2" t="s">
        <v>1044</v>
      </c>
      <c r="B990" s="7">
        <v>1.4159401471588673E-2</v>
      </c>
      <c r="C990" s="7">
        <v>2.684500094858655E-2</v>
      </c>
      <c r="D990" s="7">
        <v>-6.9999999999999951E-2</v>
      </c>
      <c r="E990" s="7">
        <v>-1.278488048916071E-2</v>
      </c>
      <c r="F990" s="7">
        <v>1.6057599693967584E-2</v>
      </c>
      <c r="G990" s="7"/>
      <c r="H990" s="7">
        <f t="shared" si="63"/>
        <v>-1.8981982223789107E-3</v>
      </c>
      <c r="I990" s="7">
        <f t="shared" si="64"/>
        <v>1.0787401254618967E-2</v>
      </c>
      <c r="J990" s="7">
        <f t="shared" si="65"/>
        <v>-8.6057599693967535E-2</v>
      </c>
      <c r="K990" s="7">
        <f t="shared" si="66"/>
        <v>-2.8842480183128294E-2</v>
      </c>
      <c r="L990" s="7"/>
    </row>
    <row r="991" spans="1:12" x14ac:dyDescent="0.25">
      <c r="A991" s="2" t="s">
        <v>187</v>
      </c>
      <c r="B991" s="7">
        <v>-1.3584439641864954E-3</v>
      </c>
      <c r="C991" s="7">
        <v>-8.1851538244426258E-3</v>
      </c>
      <c r="D991" s="7">
        <v>5.2631578947368363E-2</v>
      </c>
      <c r="E991" s="7">
        <v>-8.159664792149024E-3</v>
      </c>
      <c r="F991" s="7">
        <v>-2.0489050878880199E-4</v>
      </c>
      <c r="G991" s="7"/>
      <c r="H991" s="7">
        <f t="shared" si="63"/>
        <v>-1.1535534553976934E-3</v>
      </c>
      <c r="I991" s="7">
        <f t="shared" si="64"/>
        <v>-7.9802633156538239E-3</v>
      </c>
      <c r="J991" s="7">
        <f t="shared" si="65"/>
        <v>5.2836469456157165E-2</v>
      </c>
      <c r="K991" s="7">
        <f t="shared" si="66"/>
        <v>-7.954774283360222E-3</v>
      </c>
      <c r="L991" s="7"/>
    </row>
    <row r="992" spans="1:12" x14ac:dyDescent="0.25">
      <c r="A992" s="2" t="s">
        <v>1045</v>
      </c>
      <c r="B992" s="7">
        <v>-3.0007187350263642E-2</v>
      </c>
      <c r="C992" s="7">
        <v>-8.5812890588563562E-3</v>
      </c>
      <c r="D992" s="7">
        <v>-4.0404040404040442E-2</v>
      </c>
      <c r="E992" s="7">
        <v>-4.5368421052631613E-2</v>
      </c>
      <c r="F992" s="7">
        <v>-1.2144137417661627E-2</v>
      </c>
      <c r="G992" s="7"/>
      <c r="H992" s="7">
        <f t="shared" si="63"/>
        <v>-1.7863049932602015E-2</v>
      </c>
      <c r="I992" s="7">
        <f t="shared" si="64"/>
        <v>3.5628483588052706E-3</v>
      </c>
      <c r="J992" s="7">
        <f t="shared" si="65"/>
        <v>-2.8259902986378815E-2</v>
      </c>
      <c r="K992" s="7">
        <f t="shared" si="66"/>
        <v>-3.3224283634969987E-2</v>
      </c>
      <c r="L992" s="7"/>
    </row>
    <row r="993" spans="1:12" x14ac:dyDescent="0.25">
      <c r="A993" s="2" t="s">
        <v>1046</v>
      </c>
      <c r="B993" s="7">
        <v>1.6375479393681225E-2</v>
      </c>
      <c r="C993" s="7">
        <v>4.6659201194465538E-4</v>
      </c>
      <c r="D993" s="7">
        <v>8.7912087912087822E-2</v>
      </c>
      <c r="E993" s="7">
        <v>2.8502058482000603E-3</v>
      </c>
      <c r="F993" s="7">
        <v>1.1174658040455254E-2</v>
      </c>
      <c r="G993" s="7"/>
      <c r="H993" s="7">
        <f t="shared" si="63"/>
        <v>5.2008213532259706E-3</v>
      </c>
      <c r="I993" s="7">
        <f t="shared" si="64"/>
        <v>-1.0708066028510599E-2</v>
      </c>
      <c r="J993" s="7">
        <f t="shared" si="65"/>
        <v>7.6737429871632568E-2</v>
      </c>
      <c r="K993" s="7">
        <f t="shared" si="66"/>
        <v>-8.3244521922551939E-3</v>
      </c>
      <c r="L993" s="7"/>
    </row>
    <row r="994" spans="1:12" x14ac:dyDescent="0.25">
      <c r="A994" s="2" t="s">
        <v>1047</v>
      </c>
      <c r="B994" s="7">
        <v>1.1514778325123265E-2</v>
      </c>
      <c r="C994" s="7">
        <v>-1.0252147409254619E-2</v>
      </c>
      <c r="D994" s="7">
        <v>-2.1505376344086002E-2</v>
      </c>
      <c r="E994" s="7">
        <v>-1.7731231854002383E-2</v>
      </c>
      <c r="F994" s="7">
        <v>-3.4175405039739148E-3</v>
      </c>
      <c r="G994" s="7"/>
      <c r="H994" s="7">
        <f t="shared" si="63"/>
        <v>1.493231882909718E-2</v>
      </c>
      <c r="I994" s="7">
        <f t="shared" si="64"/>
        <v>-6.8346069052807046E-3</v>
      </c>
      <c r="J994" s="7">
        <f t="shared" si="65"/>
        <v>-1.8087835840112088E-2</v>
      </c>
      <c r="K994" s="7">
        <f t="shared" si="66"/>
        <v>-1.4313691350028468E-2</v>
      </c>
      <c r="L994" s="7"/>
    </row>
    <row r="995" spans="1:12" x14ac:dyDescent="0.25">
      <c r="A995" s="2" t="s">
        <v>188</v>
      </c>
      <c r="B995" s="7">
        <v>-2.5502550255025458E-2</v>
      </c>
      <c r="C995" s="7">
        <v>2.1288411699369458E-3</v>
      </c>
      <c r="D995" s="7">
        <v>-6.9999999999999951E-2</v>
      </c>
      <c r="E995" s="7">
        <v>-1.9121236777868145E-2</v>
      </c>
      <c r="F995" s="7">
        <v>-1.6877289295676778E-2</v>
      </c>
      <c r="G995" s="7"/>
      <c r="H995" s="7">
        <f t="shared" si="63"/>
        <v>-8.6252609593486795E-3</v>
      </c>
      <c r="I995" s="7">
        <f t="shared" si="64"/>
        <v>1.9006130465613724E-2</v>
      </c>
      <c r="J995" s="7">
        <f t="shared" si="65"/>
        <v>-5.3122710704323173E-2</v>
      </c>
      <c r="K995" s="7">
        <f t="shared" si="66"/>
        <v>-2.2439474821913663E-3</v>
      </c>
      <c r="L995" s="7"/>
    </row>
    <row r="996" spans="1:12" x14ac:dyDescent="0.25">
      <c r="A996" s="2" t="s">
        <v>1048</v>
      </c>
      <c r="B996" s="7">
        <v>-1.1917467093561007E-2</v>
      </c>
      <c r="C996" s="7">
        <v>-9.247272054743183E-4</v>
      </c>
      <c r="D996" s="7">
        <v>8.6956521739130377E-2</v>
      </c>
      <c r="E996" s="7">
        <v>-7.069278933548806E-3</v>
      </c>
      <c r="F996" s="7">
        <v>-2.6509873983658894E-3</v>
      </c>
      <c r="G996" s="7"/>
      <c r="H996" s="7">
        <f t="shared" si="63"/>
        <v>-9.2664796951951178E-3</v>
      </c>
      <c r="I996" s="7">
        <f t="shared" si="64"/>
        <v>1.7262601928915711E-3</v>
      </c>
      <c r="J996" s="7">
        <f t="shared" si="65"/>
        <v>8.9607509137496266E-2</v>
      </c>
      <c r="K996" s="7">
        <f t="shared" si="66"/>
        <v>-4.4182915351829166E-3</v>
      </c>
      <c r="L996" s="7"/>
    </row>
    <row r="997" spans="1:12" x14ac:dyDescent="0.25">
      <c r="A997" s="2" t="s">
        <v>1049</v>
      </c>
      <c r="B997" s="7">
        <v>1.7818959372770671E-3</v>
      </c>
      <c r="C997" s="7">
        <v>-2.3985239852398754E-3</v>
      </c>
      <c r="D997" s="7">
        <v>3.9548022598870025E-2</v>
      </c>
      <c r="E997" s="7">
        <v>-3.1683942890670891E-2</v>
      </c>
      <c r="F997" s="7">
        <v>4.2533724601945266E-3</v>
      </c>
      <c r="G997" s="7"/>
      <c r="H997" s="7">
        <f t="shared" si="63"/>
        <v>-2.4714765229174596E-3</v>
      </c>
      <c r="I997" s="7">
        <f t="shared" si="64"/>
        <v>-6.6518964454344021E-3</v>
      </c>
      <c r="J997" s="7">
        <f t="shared" si="65"/>
        <v>3.5294650138675498E-2</v>
      </c>
      <c r="K997" s="7">
        <f t="shared" si="66"/>
        <v>-3.5937315350865418E-2</v>
      </c>
      <c r="L997" s="7"/>
    </row>
    <row r="998" spans="1:12" x14ac:dyDescent="0.25">
      <c r="A998" s="2" t="s">
        <v>1050</v>
      </c>
      <c r="B998" s="7">
        <v>-1.8423507462686506E-2</v>
      </c>
      <c r="C998" s="7">
        <v>9.4049725300306974E-3</v>
      </c>
      <c r="D998" s="7">
        <v>5.3571428571428603E-2</v>
      </c>
      <c r="E998" s="7">
        <v>-2.9975336748245041E-2</v>
      </c>
      <c r="F998" s="7">
        <v>-9.7168693868892042E-3</v>
      </c>
      <c r="G998" s="7"/>
      <c r="H998" s="7">
        <f t="shared" si="63"/>
        <v>-8.7066380757973016E-3</v>
      </c>
      <c r="I998" s="7">
        <f t="shared" si="64"/>
        <v>1.9121841916919902E-2</v>
      </c>
      <c r="J998" s="7">
        <f t="shared" si="65"/>
        <v>6.3288297958317807E-2</v>
      </c>
      <c r="K998" s="7">
        <f t="shared" si="66"/>
        <v>-2.0258467361355836E-2</v>
      </c>
      <c r="L998" s="7"/>
    </row>
    <row r="999" spans="1:12" x14ac:dyDescent="0.25">
      <c r="A999" s="2" t="s">
        <v>1051</v>
      </c>
      <c r="B999" s="7">
        <v>-1.8932677458102121E-2</v>
      </c>
      <c r="C999" s="7">
        <v>-4.1728486646884777E-3</v>
      </c>
      <c r="D999" s="7">
        <v>7.6923076923076872E-2</v>
      </c>
      <c r="E999" s="7">
        <v>-5.5291692804014692E-2</v>
      </c>
      <c r="F999" s="7">
        <v>-1.2551716914267819E-2</v>
      </c>
      <c r="G999" s="7"/>
      <c r="H999" s="7">
        <f t="shared" si="63"/>
        <v>-6.380960543834302E-3</v>
      </c>
      <c r="I999" s="7">
        <f t="shared" si="64"/>
        <v>8.378868249579341E-3</v>
      </c>
      <c r="J999" s="7">
        <f t="shared" si="65"/>
        <v>8.947479383734469E-2</v>
      </c>
      <c r="K999" s="7">
        <f t="shared" si="66"/>
        <v>-4.2739975889746873E-2</v>
      </c>
      <c r="L999" s="7"/>
    </row>
    <row r="1000" spans="1:12" x14ac:dyDescent="0.25">
      <c r="A1000" s="2" t="s">
        <v>189</v>
      </c>
      <c r="B1000" s="7">
        <v>2.365478072486682E-2</v>
      </c>
      <c r="C1000" s="7">
        <v>-1.1115227862170673E-3</v>
      </c>
      <c r="D1000" s="7">
        <v>1.2987012987013102E-2</v>
      </c>
      <c r="E1000" s="7">
        <v>6.6214408561054983E-2</v>
      </c>
      <c r="F1000" s="7">
        <v>8.0908782936564005E-3</v>
      </c>
      <c r="G1000" s="7"/>
      <c r="H1000" s="7">
        <f t="shared" si="63"/>
        <v>1.5563902431210419E-2</v>
      </c>
      <c r="I1000" s="7">
        <f t="shared" si="64"/>
        <v>-9.2024010798734679E-3</v>
      </c>
      <c r="J1000" s="7">
        <f t="shared" si="65"/>
        <v>4.8961346933567018E-3</v>
      </c>
      <c r="K1000" s="7">
        <f t="shared" si="66"/>
        <v>5.8123530267398582E-2</v>
      </c>
      <c r="L1000" s="7"/>
    </row>
    <row r="1001" spans="1:12" x14ac:dyDescent="0.25">
      <c r="A1001" s="2" t="s">
        <v>1052</v>
      </c>
      <c r="B1001" s="7">
        <v>-1.6951133972411547E-3</v>
      </c>
      <c r="C1001" s="7">
        <v>5.4950172301386768E-3</v>
      </c>
      <c r="D1001" s="7">
        <v>2.6666666666666616E-2</v>
      </c>
      <c r="E1001" s="7">
        <v>1.2871382947837073E-2</v>
      </c>
      <c r="F1001" s="7">
        <v>3.4102873691344016E-3</v>
      </c>
      <c r="G1001" s="7"/>
      <c r="H1001" s="7">
        <f t="shared" si="63"/>
        <v>-5.1054007663755563E-3</v>
      </c>
      <c r="I1001" s="7">
        <f t="shared" si="64"/>
        <v>2.0847298610042753E-3</v>
      </c>
      <c r="J1001" s="7">
        <f t="shared" si="65"/>
        <v>2.3256379297532215E-2</v>
      </c>
      <c r="K1001" s="7">
        <f t="shared" si="66"/>
        <v>9.4610955787026718E-3</v>
      </c>
      <c r="L1001" s="7"/>
    </row>
    <row r="1002" spans="1:12" x14ac:dyDescent="0.25">
      <c r="A1002" s="2" t="s">
        <v>1053</v>
      </c>
      <c r="B1002" s="7">
        <v>-1.7797680560339812E-2</v>
      </c>
      <c r="C1002" s="7">
        <v>-1.6848273967585259E-2</v>
      </c>
      <c r="D1002" s="7">
        <v>3.4482758620689724E-2</v>
      </c>
      <c r="E1002" s="7">
        <v>-6.674494219653182E-2</v>
      </c>
      <c r="F1002" s="7">
        <v>-1.5652532890091164E-2</v>
      </c>
      <c r="G1002" s="7"/>
      <c r="H1002" s="7">
        <f t="shared" si="63"/>
        <v>-2.1451476702486483E-3</v>
      </c>
      <c r="I1002" s="7">
        <f t="shared" si="64"/>
        <v>-1.1957410774940946E-3</v>
      </c>
      <c r="J1002" s="7">
        <f t="shared" si="65"/>
        <v>5.0135291510780888E-2</v>
      </c>
      <c r="K1002" s="7">
        <f t="shared" si="66"/>
        <v>-5.1092409306440656E-2</v>
      </c>
      <c r="L1002" s="7"/>
    </row>
    <row r="1003" spans="1:12" x14ac:dyDescent="0.25">
      <c r="A1003" s="2" t="s">
        <v>1054</v>
      </c>
      <c r="B1003" s="7">
        <v>-6.6157180335347787E-3</v>
      </c>
      <c r="C1003" s="7">
        <v>-4.2851932895697775E-3</v>
      </c>
      <c r="D1003" s="7">
        <v>0.10687022900763354</v>
      </c>
      <c r="E1003" s="7">
        <v>-1.0826416456153343E-3</v>
      </c>
      <c r="F1003" s="7">
        <v>-6.2937213921756552E-3</v>
      </c>
      <c r="G1003" s="7"/>
      <c r="H1003" s="7">
        <f t="shared" si="63"/>
        <v>-3.2199664135912354E-4</v>
      </c>
      <c r="I1003" s="7">
        <f t="shared" si="64"/>
        <v>2.0085281026058777E-3</v>
      </c>
      <c r="J1003" s="7">
        <f t="shared" si="65"/>
        <v>0.1131639503998092</v>
      </c>
      <c r="K1003" s="7">
        <f t="shared" si="66"/>
        <v>5.2110797465603209E-3</v>
      </c>
      <c r="L1003" s="7"/>
    </row>
    <row r="1004" spans="1:12" x14ac:dyDescent="0.25">
      <c r="A1004" s="2" t="s">
        <v>1055</v>
      </c>
      <c r="B1004" s="7">
        <v>1.9122348154606117E-2</v>
      </c>
      <c r="C1004" s="7">
        <v>1.7439703153989017E-2</v>
      </c>
      <c r="D1004" s="7">
        <v>3.1496062992125928E-2</v>
      </c>
      <c r="E1004" s="7">
        <v>1.4089661482159288E-2</v>
      </c>
      <c r="F1004" s="7">
        <v>1.2256530405287291E-2</v>
      </c>
      <c r="G1004" s="7"/>
      <c r="H1004" s="7">
        <f t="shared" si="63"/>
        <v>6.8658177493188255E-3</v>
      </c>
      <c r="I1004" s="7">
        <f t="shared" si="64"/>
        <v>5.1831727487017254E-3</v>
      </c>
      <c r="J1004" s="7">
        <f t="shared" si="65"/>
        <v>1.9239532586838637E-2</v>
      </c>
      <c r="K1004" s="7">
        <f t="shared" si="66"/>
        <v>1.8331310768719966E-3</v>
      </c>
      <c r="L1004" s="7"/>
    </row>
    <row r="1005" spans="1:12" x14ac:dyDescent="0.25">
      <c r="A1005" s="2" t="s">
        <v>190</v>
      </c>
      <c r="B1005" s="7">
        <v>5.0236579239442136E-3</v>
      </c>
      <c r="C1005" s="7">
        <v>-6.5431757441710703E-3</v>
      </c>
      <c r="D1005" s="7">
        <v>-4.5112781954887216E-2</v>
      </c>
      <c r="E1005" s="7">
        <v>1.8544404062994957E-2</v>
      </c>
      <c r="F1005" s="7">
        <v>7.1449639670178033E-3</v>
      </c>
      <c r="G1005" s="7"/>
      <c r="H1005" s="7">
        <f t="shared" si="63"/>
        <v>-2.1213060430735897E-3</v>
      </c>
      <c r="I1005" s="7">
        <f t="shared" si="64"/>
        <v>-1.3688139711188874E-2</v>
      </c>
      <c r="J1005" s="7">
        <f t="shared" si="65"/>
        <v>-5.2257745921905019E-2</v>
      </c>
      <c r="K1005" s="7">
        <f t="shared" si="66"/>
        <v>1.1399440095977154E-2</v>
      </c>
      <c r="L1005" s="7"/>
    </row>
    <row r="1006" spans="1:12" x14ac:dyDescent="0.25">
      <c r="A1006" s="2" t="s">
        <v>1056</v>
      </c>
      <c r="B1006" s="7">
        <v>3.7525652301377832E-3</v>
      </c>
      <c r="C1006" s="7">
        <v>9.9590469099033463E-3</v>
      </c>
      <c r="D1006" s="7">
        <v>2.3076923076922995E-2</v>
      </c>
      <c r="E1006" s="7">
        <v>-1.8745427944403814E-2</v>
      </c>
      <c r="F1006" s="7">
        <v>5.0661923471737591E-3</v>
      </c>
      <c r="G1006" s="7"/>
      <c r="H1006" s="7">
        <f t="shared" si="63"/>
        <v>-1.3136271170359759E-3</v>
      </c>
      <c r="I1006" s="7">
        <f t="shared" si="64"/>
        <v>4.8928545627295872E-3</v>
      </c>
      <c r="J1006" s="7">
        <f t="shared" si="65"/>
        <v>1.8010730729749236E-2</v>
      </c>
      <c r="K1006" s="7">
        <f t="shared" si="66"/>
        <v>-2.3811620291577573E-2</v>
      </c>
      <c r="L1006" s="7"/>
    </row>
    <row r="1007" spans="1:12" x14ac:dyDescent="0.25">
      <c r="A1007" s="2" t="s">
        <v>1057</v>
      </c>
      <c r="B1007" s="7">
        <v>2.266594711279013E-2</v>
      </c>
      <c r="C1007" s="7">
        <v>8.7315745000469125E-3</v>
      </c>
      <c r="D1007" s="7">
        <v>-2.2556390977443663E-2</v>
      </c>
      <c r="E1007" s="7">
        <v>-1.778336626549315E-2</v>
      </c>
      <c r="F1007" s="7">
        <v>1.4343931206577842E-2</v>
      </c>
      <c r="G1007" s="7"/>
      <c r="H1007" s="7">
        <f t="shared" si="63"/>
        <v>8.3220159062122878E-3</v>
      </c>
      <c r="I1007" s="7">
        <f t="shared" si="64"/>
        <v>-5.6123567065309299E-3</v>
      </c>
      <c r="J1007" s="7">
        <f t="shared" si="65"/>
        <v>-3.6900322184021506E-2</v>
      </c>
      <c r="K1007" s="7">
        <f t="shared" si="66"/>
        <v>-3.2127297472070993E-2</v>
      </c>
      <c r="L1007" s="7"/>
    </row>
    <row r="1008" spans="1:12" x14ac:dyDescent="0.25">
      <c r="A1008" s="2" t="s">
        <v>1058</v>
      </c>
      <c r="B1008" s="7">
        <v>8.2219938335046372E-3</v>
      </c>
      <c r="C1008" s="7">
        <v>-1.5073053449232487E-2</v>
      </c>
      <c r="D1008" s="7">
        <v>7.575757575757569E-3</v>
      </c>
      <c r="E1008" s="7">
        <v>1.9503708451606983E-2</v>
      </c>
      <c r="F1008" s="7">
        <v>-1.2272780670315009E-2</v>
      </c>
      <c r="G1008" s="7"/>
      <c r="H1008" s="7">
        <f t="shared" si="63"/>
        <v>2.0494774503819646E-2</v>
      </c>
      <c r="I1008" s="7">
        <f t="shared" si="64"/>
        <v>-2.8002727789174786E-3</v>
      </c>
      <c r="J1008" s="7">
        <f t="shared" si="65"/>
        <v>1.9848538246072578E-2</v>
      </c>
      <c r="K1008" s="7">
        <f t="shared" si="66"/>
        <v>3.1776489121921991E-2</v>
      </c>
      <c r="L1008" s="7"/>
    </row>
    <row r="1009" spans="1:12" x14ac:dyDescent="0.25">
      <c r="A1009" s="2" t="s">
        <v>1059</v>
      </c>
      <c r="B1009" s="7">
        <v>2.0797333991606992E-2</v>
      </c>
      <c r="C1009" s="7">
        <v>9.1452034341172883E-3</v>
      </c>
      <c r="D1009" s="7">
        <v>7.6335877862594437E-3</v>
      </c>
      <c r="E1009" s="7">
        <v>0.11008335027444605</v>
      </c>
      <c r="F1009" s="7">
        <v>1.1304184094790948E-2</v>
      </c>
      <c r="G1009" s="7"/>
      <c r="H1009" s="7">
        <f t="shared" si="63"/>
        <v>9.4931498968160444E-3</v>
      </c>
      <c r="I1009" s="7">
        <f t="shared" si="64"/>
        <v>-2.1589806606736595E-3</v>
      </c>
      <c r="J1009" s="7">
        <f t="shared" si="65"/>
        <v>-3.6705963085315041E-3</v>
      </c>
      <c r="K1009" s="7">
        <f t="shared" si="66"/>
        <v>9.8779166179655098E-2</v>
      </c>
      <c r="L1009" s="7"/>
    </row>
    <row r="1010" spans="1:12" x14ac:dyDescent="0.25">
      <c r="A1010" s="2" t="s">
        <v>191</v>
      </c>
      <c r="B1010" s="7">
        <v>8.5267940499160755E-3</v>
      </c>
      <c r="C1010" s="7">
        <v>1.7761989342806039E-3</v>
      </c>
      <c r="D1010" s="7">
        <v>-2.9629629629629672E-2</v>
      </c>
      <c r="E1010" s="7">
        <v>-4.3461351482741883E-2</v>
      </c>
      <c r="F1010" s="7">
        <v>-4.3467350194470455E-4</v>
      </c>
      <c r="G1010" s="7"/>
      <c r="H1010" s="7">
        <f t="shared" si="63"/>
        <v>8.96146755186078E-3</v>
      </c>
      <c r="I1010" s="7">
        <f t="shared" si="64"/>
        <v>2.2108724362253085E-3</v>
      </c>
      <c r="J1010" s="7">
        <f t="shared" si="65"/>
        <v>-2.9194956127684968E-2</v>
      </c>
      <c r="K1010" s="7">
        <f t="shared" si="66"/>
        <v>-4.3026677980797179E-2</v>
      </c>
      <c r="L1010" s="7"/>
    </row>
    <row r="1011" spans="1:12" x14ac:dyDescent="0.25">
      <c r="A1011" s="2" t="s">
        <v>1060</v>
      </c>
      <c r="B1011" s="7">
        <v>2.096968926733167E-2</v>
      </c>
      <c r="C1011" s="7">
        <v>4.3188433010983296E-3</v>
      </c>
      <c r="D1011" s="7">
        <v>-1.4598540145985384E-2</v>
      </c>
      <c r="E1011" s="7">
        <v>7.8997062526227513E-2</v>
      </c>
      <c r="F1011" s="7">
        <v>1.1662250349640857E-2</v>
      </c>
      <c r="G1011" s="7"/>
      <c r="H1011" s="7">
        <f t="shared" si="63"/>
        <v>9.3074389176908134E-3</v>
      </c>
      <c r="I1011" s="7">
        <f t="shared" si="64"/>
        <v>-7.3434070485425273E-3</v>
      </c>
      <c r="J1011" s="7">
        <f t="shared" si="65"/>
        <v>-2.6260790495626241E-2</v>
      </c>
      <c r="K1011" s="7">
        <f t="shared" si="66"/>
        <v>6.7334812176586656E-2</v>
      </c>
      <c r="L1011" s="7"/>
    </row>
    <row r="1012" spans="1:12" x14ac:dyDescent="0.25">
      <c r="A1012" s="2" t="s">
        <v>1061</v>
      </c>
      <c r="B1012" s="7">
        <v>6.4594525454080287E-3</v>
      </c>
      <c r="C1012" s="7">
        <v>1.4960930055269772E-2</v>
      </c>
      <c r="D1012" s="7">
        <v>2.2388059701492491E-2</v>
      </c>
      <c r="E1012" s="7">
        <v>-4.3931795386158545E-2</v>
      </c>
      <c r="F1012" s="7">
        <v>1.2347803738532281E-2</v>
      </c>
      <c r="G1012" s="7"/>
      <c r="H1012" s="7">
        <f t="shared" si="63"/>
        <v>-5.8883511931242527E-3</v>
      </c>
      <c r="I1012" s="7">
        <f t="shared" si="64"/>
        <v>2.6131263167374907E-3</v>
      </c>
      <c r="J1012" s="7">
        <f t="shared" si="65"/>
        <v>1.004025596296021E-2</v>
      </c>
      <c r="K1012" s="7">
        <f t="shared" si="66"/>
        <v>-5.6279599124690827E-2</v>
      </c>
      <c r="L1012" s="7"/>
    </row>
    <row r="1013" spans="1:12" x14ac:dyDescent="0.25">
      <c r="A1013" s="2" t="s">
        <v>1062</v>
      </c>
      <c r="B1013" s="7">
        <v>2.9022704837117663E-2</v>
      </c>
      <c r="C1013" s="7">
        <v>8.2628747117601264E-3</v>
      </c>
      <c r="D1013" s="7">
        <v>1.5151515151515138E-2</v>
      </c>
      <c r="E1013" s="7">
        <v>0.36762688614540462</v>
      </c>
      <c r="F1013" s="7">
        <v>2.2383840279651235E-2</v>
      </c>
      <c r="G1013" s="7"/>
      <c r="H1013" s="7">
        <f t="shared" si="63"/>
        <v>6.6388645574664285E-3</v>
      </c>
      <c r="I1013" s="7">
        <f t="shared" si="64"/>
        <v>-1.4120965567891108E-2</v>
      </c>
      <c r="J1013" s="7">
        <f t="shared" si="65"/>
        <v>-7.2323251281360967E-3</v>
      </c>
      <c r="K1013" s="7">
        <f t="shared" si="66"/>
        <v>0.34524304586575338</v>
      </c>
      <c r="L1013" s="7"/>
    </row>
    <row r="1014" spans="1:12" x14ac:dyDescent="0.25">
      <c r="A1014" s="2" t="s">
        <v>1063</v>
      </c>
      <c r="B1014" s="7">
        <v>2.9611058408998359E-2</v>
      </c>
      <c r="C1014" s="7">
        <v>5.7982218786238882E-3</v>
      </c>
      <c r="D1014" s="7">
        <v>-2.2222222222222254E-2</v>
      </c>
      <c r="E1014" s="7">
        <v>-1.2863913337846866E-2</v>
      </c>
      <c r="F1014" s="7">
        <v>2.1408493905025416E-2</v>
      </c>
      <c r="G1014" s="7"/>
      <c r="H1014" s="7">
        <f t="shared" si="63"/>
        <v>8.2025645039729422E-3</v>
      </c>
      <c r="I1014" s="7">
        <f t="shared" si="64"/>
        <v>-1.5610272026401528E-2</v>
      </c>
      <c r="J1014" s="7">
        <f t="shared" si="65"/>
        <v>-4.3630716127247671E-2</v>
      </c>
      <c r="K1014" s="7">
        <f t="shared" si="66"/>
        <v>-3.4272407242872283E-2</v>
      </c>
      <c r="L1014" s="7"/>
    </row>
    <row r="1015" spans="1:12" x14ac:dyDescent="0.25">
      <c r="A1015" s="2" t="s">
        <v>192</v>
      </c>
      <c r="B1015" s="7">
        <v>-2.6517150395778288E-2</v>
      </c>
      <c r="C1015" s="7">
        <v>1.7902813299232712E-2</v>
      </c>
      <c r="D1015" s="7">
        <v>-5.5944055944055826E-2</v>
      </c>
      <c r="E1015" s="7">
        <v>-0.10321797207043104</v>
      </c>
      <c r="F1015" s="7">
        <v>-7.4209561140831104E-3</v>
      </c>
      <c r="G1015" s="7"/>
      <c r="H1015" s="7">
        <f t="shared" si="63"/>
        <v>-1.9096194281695178E-2</v>
      </c>
      <c r="I1015" s="7">
        <f t="shared" si="64"/>
        <v>2.5323769413315822E-2</v>
      </c>
      <c r="J1015" s="7">
        <f t="shared" si="65"/>
        <v>-4.8523099829972716E-2</v>
      </c>
      <c r="K1015" s="7">
        <f t="shared" si="66"/>
        <v>-9.5797015956347931E-2</v>
      </c>
      <c r="L1015" s="7"/>
    </row>
    <row r="1016" spans="1:12" x14ac:dyDescent="0.25">
      <c r="A1016" s="2" t="s">
        <v>1064</v>
      </c>
      <c r="B1016" s="7">
        <v>-2.3950553695596177E-2</v>
      </c>
      <c r="C1016" s="7">
        <v>-2.0616570327553041E-2</v>
      </c>
      <c r="D1016" s="7">
        <v>-7.7419354838709764E-2</v>
      </c>
      <c r="E1016" s="7">
        <v>-6.6855524079320161E-2</v>
      </c>
      <c r="F1016" s="7">
        <v>-1.2961554353542182E-2</v>
      </c>
      <c r="G1016" s="7"/>
      <c r="H1016" s="7">
        <f t="shared" si="63"/>
        <v>-1.0988999342053996E-2</v>
      </c>
      <c r="I1016" s="7">
        <f t="shared" si="64"/>
        <v>-7.6550159740108592E-3</v>
      </c>
      <c r="J1016" s="7">
        <f t="shared" si="65"/>
        <v>-6.4457800485167582E-2</v>
      </c>
      <c r="K1016" s="7">
        <f t="shared" si="66"/>
        <v>-5.3893969725777979E-2</v>
      </c>
      <c r="L1016" s="7"/>
    </row>
    <row r="1017" spans="1:12" x14ac:dyDescent="0.25">
      <c r="A1017" s="2" t="s">
        <v>1065</v>
      </c>
      <c r="B1017" s="7">
        <v>-2.7182763372165852E-2</v>
      </c>
      <c r="C1017" s="7">
        <v>-1.8254043317885271E-2</v>
      </c>
      <c r="D1017" s="7">
        <v>2.6490066225165476E-2</v>
      </c>
      <c r="E1017" s="7">
        <v>-7.9290558163797598E-2</v>
      </c>
      <c r="F1017" s="7">
        <v>-4.2918454935622075E-3</v>
      </c>
      <c r="G1017" s="7"/>
      <c r="H1017" s="7">
        <f t="shared" si="63"/>
        <v>-2.2890917878603645E-2</v>
      </c>
      <c r="I1017" s="7">
        <f t="shared" si="64"/>
        <v>-1.3962197824323064E-2</v>
      </c>
      <c r="J1017" s="7">
        <f t="shared" si="65"/>
        <v>3.0781911718727684E-2</v>
      </c>
      <c r="K1017" s="7">
        <f t="shared" si="66"/>
        <v>-7.499871267023539E-2</v>
      </c>
      <c r="L1017" s="7"/>
    </row>
    <row r="1018" spans="1:12" x14ac:dyDescent="0.25">
      <c r="A1018" s="2" t="s">
        <v>1066</v>
      </c>
      <c r="B1018" s="7">
        <v>3.5005834305717576E-2</v>
      </c>
      <c r="C1018" s="7">
        <v>8.296776654587168E-3</v>
      </c>
      <c r="D1018" s="7">
        <v>6.6666666666665986E-3</v>
      </c>
      <c r="E1018" s="7">
        <v>3.5097192224621931E-2</v>
      </c>
      <c r="F1018" s="7">
        <v>2.5698324022346508E-2</v>
      </c>
      <c r="G1018" s="7"/>
      <c r="H1018" s="7">
        <f t="shared" si="63"/>
        <v>9.3075102833710677E-3</v>
      </c>
      <c r="I1018" s="7">
        <f t="shared" si="64"/>
        <v>-1.740154736775934E-2</v>
      </c>
      <c r="J1018" s="7">
        <f t="shared" si="65"/>
        <v>-1.903165735567991E-2</v>
      </c>
      <c r="K1018" s="7">
        <f t="shared" si="66"/>
        <v>9.3988682022754233E-3</v>
      </c>
      <c r="L1018" s="7"/>
    </row>
    <row r="1019" spans="1:12" x14ac:dyDescent="0.25">
      <c r="A1019" s="2" t="s">
        <v>1067</v>
      </c>
      <c r="B1019" s="7">
        <v>-1.1660686827268174E-2</v>
      </c>
      <c r="C1019" s="7">
        <v>1.4806929255782419E-2</v>
      </c>
      <c r="D1019" s="7">
        <v>-7.4074074074074181E-2</v>
      </c>
      <c r="E1019" s="7">
        <v>-1.1739594450373647E-2</v>
      </c>
      <c r="F1019" s="7">
        <v>-7.2338369327961116E-3</v>
      </c>
      <c r="G1019" s="7"/>
      <c r="H1019" s="7">
        <f t="shared" si="63"/>
        <v>-4.4268498944720625E-3</v>
      </c>
      <c r="I1019" s="7">
        <f t="shared" si="64"/>
        <v>2.2040766188578531E-2</v>
      </c>
      <c r="J1019" s="7">
        <f t="shared" si="65"/>
        <v>-6.6840237141278069E-2</v>
      </c>
      <c r="K1019" s="7">
        <f t="shared" si="66"/>
        <v>-4.5057575175775355E-3</v>
      </c>
      <c r="L1019" s="7"/>
    </row>
    <row r="1020" spans="1:12" x14ac:dyDescent="0.25">
      <c r="A1020" s="2" t="s">
        <v>193</v>
      </c>
      <c r="B1020" s="7">
        <v>-2.3706761743916838E-2</v>
      </c>
      <c r="C1020" s="7">
        <v>-2.3530523530523428E-2</v>
      </c>
      <c r="D1020" s="7">
        <v>1.8867924528301883E-2</v>
      </c>
      <c r="E1020" s="7">
        <v>-1.9258949131253922E-2</v>
      </c>
      <c r="F1020" s="7">
        <v>-2.9518095946517109E-2</v>
      </c>
      <c r="G1020" s="7"/>
      <c r="H1020" s="7">
        <f t="shared" si="63"/>
        <v>5.8113342026002712E-3</v>
      </c>
      <c r="I1020" s="7">
        <f t="shared" si="64"/>
        <v>5.9875724159936805E-3</v>
      </c>
      <c r="J1020" s="7">
        <f t="shared" si="65"/>
        <v>4.8386020474818991E-2</v>
      </c>
      <c r="K1020" s="7">
        <f t="shared" si="66"/>
        <v>1.0259146815263187E-2</v>
      </c>
      <c r="L1020" s="7"/>
    </row>
    <row r="1021" spans="1:12" x14ac:dyDescent="0.25">
      <c r="A1021" s="2" t="s">
        <v>1068</v>
      </c>
      <c r="B1021" s="7">
        <v>-1.841959845275376E-2</v>
      </c>
      <c r="C1021" s="7">
        <v>-1.0565684899485839E-2</v>
      </c>
      <c r="D1021" s="7">
        <v>1.9230769230769162E-2</v>
      </c>
      <c r="E1021" s="7">
        <v>-1.4238547255468359E-2</v>
      </c>
      <c r="F1021" s="7">
        <v>-7.93401612012401E-3</v>
      </c>
      <c r="G1021" s="7"/>
      <c r="H1021" s="7">
        <f t="shared" si="63"/>
        <v>-1.048558233262975E-2</v>
      </c>
      <c r="I1021" s="7">
        <f t="shared" si="64"/>
        <v>-2.6316687793618287E-3</v>
      </c>
      <c r="J1021" s="7">
        <f t="shared" si="65"/>
        <v>2.7164785350893172E-2</v>
      </c>
      <c r="K1021" s="7">
        <f t="shared" si="66"/>
        <v>-6.3045311353443489E-3</v>
      </c>
      <c r="L1021" s="7"/>
    </row>
    <row r="1022" spans="1:12" x14ac:dyDescent="0.25">
      <c r="A1022" s="2" t="s">
        <v>1069</v>
      </c>
      <c r="B1022" s="7">
        <v>-1.9609044671854425E-3</v>
      </c>
      <c r="C1022" s="7">
        <v>7.346708109635447E-3</v>
      </c>
      <c r="D1022" s="7">
        <v>-1.8867924528301883E-2</v>
      </c>
      <c r="E1022" s="7">
        <v>-3.1961646024770252E-2</v>
      </c>
      <c r="F1022" s="7">
        <v>-5.2547110022934662E-3</v>
      </c>
      <c r="G1022" s="7"/>
      <c r="H1022" s="7">
        <f t="shared" si="63"/>
        <v>3.2938065351080237E-3</v>
      </c>
      <c r="I1022" s="7">
        <f t="shared" si="64"/>
        <v>1.2601419111928913E-2</v>
      </c>
      <c r="J1022" s="7">
        <f t="shared" si="65"/>
        <v>-1.3613213526008416E-2</v>
      </c>
      <c r="K1022" s="7">
        <f t="shared" si="66"/>
        <v>-2.6706935022476785E-2</v>
      </c>
      <c r="L1022" s="7"/>
    </row>
    <row r="1023" spans="1:12" x14ac:dyDescent="0.25">
      <c r="A1023" s="2" t="s">
        <v>1070</v>
      </c>
      <c r="B1023" s="7">
        <v>2.0575359599749765E-2</v>
      </c>
      <c r="C1023" s="7">
        <v>1.705144170897599E-2</v>
      </c>
      <c r="D1023" s="7">
        <v>-1.851851851851849E-2</v>
      </c>
      <c r="E1023" s="7">
        <v>-1.5535889872173025E-2</v>
      </c>
      <c r="F1023" s="7">
        <v>1.8642627244987553E-2</v>
      </c>
      <c r="G1023" s="7"/>
      <c r="H1023" s="7">
        <f t="shared" si="63"/>
        <v>1.9327323547622122E-3</v>
      </c>
      <c r="I1023" s="7">
        <f t="shared" si="64"/>
        <v>-1.5911855360115634E-3</v>
      </c>
      <c r="J1023" s="7">
        <f t="shared" si="65"/>
        <v>-3.7161145763506043E-2</v>
      </c>
      <c r="K1023" s="7">
        <f t="shared" si="66"/>
        <v>-3.4178517117160578E-2</v>
      </c>
      <c r="L1023" s="7"/>
    </row>
    <row r="1024" spans="1:12" x14ac:dyDescent="0.25">
      <c r="A1024" s="2" t="s">
        <v>1071</v>
      </c>
      <c r="B1024" s="7">
        <v>-1.1620719495611276E-2</v>
      </c>
      <c r="C1024" s="7">
        <v>-2.630351646301643E-2</v>
      </c>
      <c r="D1024" s="7">
        <v>-4.7058823529411709E-2</v>
      </c>
      <c r="E1024" s="7">
        <v>1.8018018018018056E-2</v>
      </c>
      <c r="F1024" s="7">
        <v>-1.5473463284818578E-2</v>
      </c>
      <c r="G1024" s="7"/>
      <c r="H1024" s="7">
        <f t="shared" si="63"/>
        <v>3.8527437892073024E-3</v>
      </c>
      <c r="I1024" s="7">
        <f t="shared" si="64"/>
        <v>-1.0830053178197852E-2</v>
      </c>
      <c r="J1024" s="7">
        <f t="shared" si="65"/>
        <v>-3.158536024459313E-2</v>
      </c>
      <c r="K1024" s="7">
        <f t="shared" si="66"/>
        <v>3.3491481302836634E-2</v>
      </c>
      <c r="L1024" s="7"/>
    </row>
    <row r="1025" spans="1:12" x14ac:dyDescent="0.25">
      <c r="A1025" s="2" t="s">
        <v>194</v>
      </c>
      <c r="B1025" s="7">
        <v>1.6097077761267897E-3</v>
      </c>
      <c r="C1025" s="7">
        <v>-1.2344541685859078E-2</v>
      </c>
      <c r="D1025" s="7">
        <v>0.25925925925925908</v>
      </c>
      <c r="E1025" s="7">
        <v>-2.5460930640913038E-2</v>
      </c>
      <c r="F1025" s="7">
        <v>-2.4426122951660689E-3</v>
      </c>
      <c r="G1025" s="7"/>
      <c r="H1025" s="7">
        <f t="shared" si="63"/>
        <v>4.0523200712928586E-3</v>
      </c>
      <c r="I1025" s="7">
        <f t="shared" si="64"/>
        <v>-9.9019293906930095E-3</v>
      </c>
      <c r="J1025" s="7">
        <f t="shared" si="65"/>
        <v>0.26170187155442515</v>
      </c>
      <c r="K1025" s="7">
        <f t="shared" si="66"/>
        <v>-2.3018318345746969E-2</v>
      </c>
      <c r="L1025" s="7"/>
    </row>
    <row r="1026" spans="1:12" x14ac:dyDescent="0.25">
      <c r="A1026" s="2" t="s">
        <v>1072</v>
      </c>
      <c r="B1026" s="7">
        <v>1.2982126058325605E-2</v>
      </c>
      <c r="C1026" s="7">
        <v>4.7375530683133826E-2</v>
      </c>
      <c r="D1026" s="7">
        <v>0.12500000000000022</v>
      </c>
      <c r="E1026" s="7">
        <v>-9.0865152247462389E-3</v>
      </c>
      <c r="F1026" s="7">
        <v>2.2372746986266234E-2</v>
      </c>
      <c r="G1026" s="7"/>
      <c r="H1026" s="7">
        <f t="shared" si="63"/>
        <v>-9.3906209279406294E-3</v>
      </c>
      <c r="I1026" s="7">
        <f t="shared" si="64"/>
        <v>2.5002783696867592E-2</v>
      </c>
      <c r="J1026" s="7">
        <f t="shared" si="65"/>
        <v>0.10262725301373399</v>
      </c>
      <c r="K1026" s="7">
        <f t="shared" si="66"/>
        <v>-3.1459262211012473E-2</v>
      </c>
      <c r="L1026" s="7"/>
    </row>
    <row r="1027" spans="1:12" x14ac:dyDescent="0.25">
      <c r="A1027" s="2" t="s">
        <v>1073</v>
      </c>
      <c r="B1027" s="7">
        <v>1.6705987374864284E-2</v>
      </c>
      <c r="C1027" s="7">
        <v>-4.7056563910495841E-3</v>
      </c>
      <c r="D1027" s="7">
        <v>9.0909090909090828E-2</v>
      </c>
      <c r="E1027" s="7">
        <v>-7.1976967370441791E-3</v>
      </c>
      <c r="F1027" s="7">
        <v>1.4956809844988816E-2</v>
      </c>
      <c r="G1027" s="7"/>
      <c r="H1027" s="7">
        <f t="shared" ref="H1027:H1090" si="67">B1027-$F1027</f>
        <v>1.7491775298754675E-3</v>
      </c>
      <c r="I1027" s="7">
        <f t="shared" ref="I1027:I1090" si="68">C1027-$F1027</f>
        <v>-1.9662466236038401E-2</v>
      </c>
      <c r="J1027" s="7">
        <f t="shared" ref="J1027:J1090" si="69">D1027-$F1027</f>
        <v>7.5952281064102012E-2</v>
      </c>
      <c r="K1027" s="7">
        <f t="shared" ref="K1027:K1090" si="70">E1027-$F1027</f>
        <v>-2.2154506582032996E-2</v>
      </c>
      <c r="L1027" s="7"/>
    </row>
    <row r="1028" spans="1:12" x14ac:dyDescent="0.25">
      <c r="A1028" s="2" t="s">
        <v>1074</v>
      </c>
      <c r="B1028" s="7">
        <v>-2.590062111801239E-2</v>
      </c>
      <c r="C1028" s="7">
        <v>-1.6156462585034115E-2</v>
      </c>
      <c r="D1028" s="7">
        <v>1.8518518518518601E-2</v>
      </c>
      <c r="E1028" s="7">
        <v>-2.8438228438228408E-2</v>
      </c>
      <c r="F1028" s="7">
        <v>-1.8412176288573612E-2</v>
      </c>
      <c r="G1028" s="7"/>
      <c r="H1028" s="7">
        <f t="shared" si="67"/>
        <v>-7.4884448294387784E-3</v>
      </c>
      <c r="I1028" s="7">
        <f t="shared" si="68"/>
        <v>2.255713703539497E-3</v>
      </c>
      <c r="J1028" s="7">
        <f t="shared" si="69"/>
        <v>3.6930694807092213E-2</v>
      </c>
      <c r="K1028" s="7">
        <f t="shared" si="70"/>
        <v>-1.0026052149654796E-2</v>
      </c>
      <c r="L1028" s="7"/>
    </row>
    <row r="1029" spans="1:12" x14ac:dyDescent="0.25">
      <c r="A1029" s="2" t="s">
        <v>1075</v>
      </c>
      <c r="B1029" s="7">
        <v>-1.7813567593948143E-2</v>
      </c>
      <c r="C1029" s="7">
        <v>-5.8237835806874694E-3</v>
      </c>
      <c r="D1029" s="7">
        <v>-9.1743119266055606E-3</v>
      </c>
      <c r="E1029" s="7">
        <v>-5.0884955752212413E-2</v>
      </c>
      <c r="F1029" s="7">
        <v>-1.0142864698185927E-2</v>
      </c>
      <c r="G1029" s="7"/>
      <c r="H1029" s="7">
        <f t="shared" si="67"/>
        <v>-7.6707028957622159E-3</v>
      </c>
      <c r="I1029" s="7">
        <f t="shared" si="68"/>
        <v>4.3190811174984578E-3</v>
      </c>
      <c r="J1029" s="7">
        <f t="shared" si="69"/>
        <v>9.6855277158036657E-4</v>
      </c>
      <c r="K1029" s="7">
        <f t="shared" si="70"/>
        <v>-4.0742091054026486E-2</v>
      </c>
      <c r="L1029" s="7"/>
    </row>
    <row r="1030" spans="1:12" x14ac:dyDescent="0.25">
      <c r="A1030" s="2" t="s">
        <v>1076</v>
      </c>
      <c r="B1030" s="7">
        <v>-9.367256904574961E-3</v>
      </c>
      <c r="C1030" s="7">
        <v>-6.9029850746269439E-3</v>
      </c>
      <c r="D1030" s="7">
        <v>-9.0909090909091494E-3</v>
      </c>
      <c r="E1030" s="7">
        <v>-4.3750528899043739E-2</v>
      </c>
      <c r="F1030" s="7">
        <v>-7.1662412733491943E-3</v>
      </c>
      <c r="G1030" s="7"/>
      <c r="H1030" s="7">
        <f t="shared" si="67"/>
        <v>-2.2010156312257667E-3</v>
      </c>
      <c r="I1030" s="7">
        <f t="shared" si="68"/>
        <v>2.6325619872225037E-4</v>
      </c>
      <c r="J1030" s="7">
        <f t="shared" si="69"/>
        <v>-1.9246678175599552E-3</v>
      </c>
      <c r="K1030" s="7">
        <f t="shared" si="70"/>
        <v>-3.6584287625694545E-2</v>
      </c>
      <c r="L1030" s="7"/>
    </row>
    <row r="1031" spans="1:12" x14ac:dyDescent="0.25">
      <c r="A1031" s="2" t="s">
        <v>1077</v>
      </c>
      <c r="B1031" s="7">
        <v>-2.1235064474151244E-2</v>
      </c>
      <c r="C1031" s="7">
        <v>-3.5711073131240445E-2</v>
      </c>
      <c r="D1031" s="7">
        <v>5.7692307692307709E-2</v>
      </c>
      <c r="E1031" s="7">
        <v>-8.9734988258972637E-3</v>
      </c>
      <c r="F1031" s="7">
        <v>-2.1173137043269175E-2</v>
      </c>
      <c r="G1031" s="7"/>
      <c r="H1031" s="7">
        <f t="shared" si="67"/>
        <v>-6.1927430882069423E-5</v>
      </c>
      <c r="I1031" s="7">
        <f t="shared" si="68"/>
        <v>-1.453793608797127E-2</v>
      </c>
      <c r="J1031" s="7">
        <f t="shared" si="69"/>
        <v>7.8865444735576884E-2</v>
      </c>
      <c r="K1031" s="7">
        <f t="shared" si="70"/>
        <v>1.2199638217371911E-2</v>
      </c>
      <c r="L1031" s="7"/>
    </row>
    <row r="1032" spans="1:12" x14ac:dyDescent="0.25">
      <c r="A1032" s="2" t="s">
        <v>1078</v>
      </c>
      <c r="B1032" s="7">
        <v>-1.4176018901359555E-3</v>
      </c>
      <c r="C1032" s="7">
        <v>-1.0855058279206298E-2</v>
      </c>
      <c r="D1032" s="7">
        <v>2.9702970297029729E-2</v>
      </c>
      <c r="E1032" s="7">
        <v>-5.421636500125171E-3</v>
      </c>
      <c r="F1032" s="7">
        <v>8.8122082633468324E-4</v>
      </c>
      <c r="G1032" s="7"/>
      <c r="H1032" s="7">
        <f t="shared" si="67"/>
        <v>-2.2988227164706387E-3</v>
      </c>
      <c r="I1032" s="7">
        <f t="shared" si="68"/>
        <v>-1.1736279105540981E-2</v>
      </c>
      <c r="J1032" s="7">
        <f t="shared" si="69"/>
        <v>2.8821749470695046E-2</v>
      </c>
      <c r="K1032" s="7">
        <f t="shared" si="70"/>
        <v>-6.3028573264598542E-3</v>
      </c>
      <c r="L1032" s="7"/>
    </row>
    <row r="1033" spans="1:12" x14ac:dyDescent="0.25">
      <c r="A1033" s="2" t="s">
        <v>1079</v>
      </c>
      <c r="B1033" s="7">
        <v>2.3146189641626957E-2</v>
      </c>
      <c r="C1033" s="7">
        <v>-4.2526800744219218E-3</v>
      </c>
      <c r="D1033" s="7">
        <v>-1.9417475728155331E-2</v>
      </c>
      <c r="E1033" s="7">
        <v>3.5408929959409141E-2</v>
      </c>
      <c r="F1033" s="7">
        <v>1.5766743077059386E-2</v>
      </c>
      <c r="G1033" s="7"/>
      <c r="H1033" s="7">
        <f t="shared" si="67"/>
        <v>7.3794465645675711E-3</v>
      </c>
      <c r="I1033" s="7">
        <f t="shared" si="68"/>
        <v>-2.0019423151481308E-2</v>
      </c>
      <c r="J1033" s="7">
        <f t="shared" si="69"/>
        <v>-3.5184218805214718E-2</v>
      </c>
      <c r="K1033" s="7">
        <f t="shared" si="70"/>
        <v>1.9642186882349755E-2</v>
      </c>
      <c r="L1033" s="7"/>
    </row>
    <row r="1034" spans="1:12" x14ac:dyDescent="0.25">
      <c r="A1034" s="2" t="s">
        <v>195</v>
      </c>
      <c r="B1034" s="7">
        <v>1.4525207286812947E-3</v>
      </c>
      <c r="C1034" s="7">
        <v>-9.5647595647594397E-3</v>
      </c>
      <c r="D1034" s="7">
        <v>-5.5045871559633031E-2</v>
      </c>
      <c r="E1034" s="7">
        <v>-2.6701119724374944E-3</v>
      </c>
      <c r="F1034" s="7">
        <v>-3.8405482229827426E-3</v>
      </c>
      <c r="G1034" s="7"/>
      <c r="H1034" s="7">
        <f t="shared" si="67"/>
        <v>5.2930689516640372E-3</v>
      </c>
      <c r="I1034" s="7">
        <f t="shared" si="68"/>
        <v>-5.7242113417766971E-3</v>
      </c>
      <c r="J1034" s="7">
        <f t="shared" si="69"/>
        <v>-5.1205323336650288E-2</v>
      </c>
      <c r="K1034" s="7">
        <f t="shared" si="70"/>
        <v>1.1704362505452481E-3</v>
      </c>
      <c r="L1034" s="7"/>
    </row>
    <row r="1035" spans="1:12" x14ac:dyDescent="0.25">
      <c r="A1035" s="2" t="s">
        <v>1080</v>
      </c>
      <c r="B1035" s="7">
        <v>-2.0220588235294046E-2</v>
      </c>
      <c r="C1035" s="7">
        <v>-1.2269938650306678E-3</v>
      </c>
      <c r="D1035" s="7">
        <v>3.8095238095238182E-2</v>
      </c>
      <c r="E1035" s="7">
        <v>-1.392899609308651E-2</v>
      </c>
      <c r="F1035" s="7">
        <v>-1.89694676826343E-2</v>
      </c>
      <c r="G1035" s="7"/>
      <c r="H1035" s="7">
        <f t="shared" si="67"/>
        <v>-1.2511205526597458E-3</v>
      </c>
      <c r="I1035" s="7">
        <f t="shared" si="68"/>
        <v>1.7742473817603632E-2</v>
      </c>
      <c r="J1035" s="7">
        <f t="shared" si="69"/>
        <v>5.7064705777872482E-2</v>
      </c>
      <c r="K1035" s="7">
        <f t="shared" si="70"/>
        <v>5.0404715895477903E-3</v>
      </c>
      <c r="L1035" s="7"/>
    </row>
    <row r="1036" spans="1:12" x14ac:dyDescent="0.25">
      <c r="A1036" s="2" t="s">
        <v>1081</v>
      </c>
      <c r="B1036" s="7">
        <v>-2.3622047244094557E-2</v>
      </c>
      <c r="C1036" s="7">
        <v>-2.3868594404996224E-2</v>
      </c>
      <c r="D1036" s="7">
        <v>0</v>
      </c>
      <c r="E1036" s="7">
        <v>-1.9976693857166716E-2</v>
      </c>
      <c r="F1036" s="7">
        <v>-1.8115705073705524E-2</v>
      </c>
      <c r="G1036" s="7"/>
      <c r="H1036" s="7">
        <f t="shared" si="67"/>
        <v>-5.5063421703890336E-3</v>
      </c>
      <c r="I1036" s="7">
        <f t="shared" si="68"/>
        <v>-5.7528893312907003E-3</v>
      </c>
      <c r="J1036" s="7">
        <f t="shared" si="69"/>
        <v>1.8115705073705524E-2</v>
      </c>
      <c r="K1036" s="7">
        <f t="shared" si="70"/>
        <v>-1.8609887834611927E-3</v>
      </c>
      <c r="L1036" s="7"/>
    </row>
    <row r="1037" spans="1:12" x14ac:dyDescent="0.25">
      <c r="A1037" s="2" t="s">
        <v>1082</v>
      </c>
      <c r="B1037" s="7">
        <v>8.2895504962055E-3</v>
      </c>
      <c r="C1037" s="7">
        <v>7.5855529695716406E-3</v>
      </c>
      <c r="D1037" s="7">
        <v>6.0606060606060552E-2</v>
      </c>
      <c r="E1037" s="7">
        <v>3.7747257493305764E-2</v>
      </c>
      <c r="F1037" s="7">
        <v>1.4517177775713597E-2</v>
      </c>
      <c r="G1037" s="7"/>
      <c r="H1037" s="7">
        <f t="shared" si="67"/>
        <v>-6.2276272795080967E-3</v>
      </c>
      <c r="I1037" s="7">
        <f t="shared" si="68"/>
        <v>-6.9316248061419561E-3</v>
      </c>
      <c r="J1037" s="7">
        <f t="shared" si="69"/>
        <v>4.6088882830346956E-2</v>
      </c>
      <c r="K1037" s="7">
        <f t="shared" si="70"/>
        <v>2.3230079717592167E-2</v>
      </c>
      <c r="L1037" s="7"/>
    </row>
    <row r="1038" spans="1:12" x14ac:dyDescent="0.25">
      <c r="A1038" s="2" t="s">
        <v>1083</v>
      </c>
      <c r="B1038" s="7">
        <v>1.8490992330102873E-2</v>
      </c>
      <c r="C1038" s="7">
        <v>7.7310632383600364E-3</v>
      </c>
      <c r="D1038" s="7">
        <v>-3.8834951456310662E-2</v>
      </c>
      <c r="E1038" s="7">
        <v>6.1720469552457802E-2</v>
      </c>
      <c r="F1038" s="7">
        <v>8.4012248347966612E-3</v>
      </c>
      <c r="G1038" s="7"/>
      <c r="H1038" s="7">
        <f t="shared" si="67"/>
        <v>1.0089767495306212E-2</v>
      </c>
      <c r="I1038" s="7">
        <f t="shared" si="68"/>
        <v>-6.7016159643662476E-4</v>
      </c>
      <c r="J1038" s="7">
        <f t="shared" si="69"/>
        <v>-4.7236176291107324E-2</v>
      </c>
      <c r="K1038" s="7">
        <f t="shared" si="70"/>
        <v>5.3319244717661141E-2</v>
      </c>
      <c r="L1038" s="7"/>
    </row>
    <row r="1039" spans="1:12" x14ac:dyDescent="0.25">
      <c r="A1039" s="2" t="s">
        <v>196</v>
      </c>
      <c r="B1039" s="7">
        <v>-4.2626250666034649E-3</v>
      </c>
      <c r="C1039" s="7">
        <v>2.700113230554857E-3</v>
      </c>
      <c r="D1039" s="7">
        <v>1.980198019801982E-2</v>
      </c>
      <c r="E1039" s="7">
        <v>-6.0566899284914211E-2</v>
      </c>
      <c r="F1039" s="7">
        <v>-3.701786234065696E-3</v>
      </c>
      <c r="G1039" s="7"/>
      <c r="H1039" s="7">
        <f t="shared" si="67"/>
        <v>-5.6083883253776889E-4</v>
      </c>
      <c r="I1039" s="7">
        <f t="shared" si="68"/>
        <v>6.4018994646205529E-3</v>
      </c>
      <c r="J1039" s="7">
        <f t="shared" si="69"/>
        <v>2.3503766432085516E-2</v>
      </c>
      <c r="K1039" s="7">
        <f t="shared" si="70"/>
        <v>-5.6865113050848515E-2</v>
      </c>
      <c r="L1039" s="7"/>
    </row>
    <row r="1040" spans="1:12" x14ac:dyDescent="0.25">
      <c r="A1040" s="2" t="s">
        <v>1084</v>
      </c>
      <c r="B1040" s="7">
        <v>-1.6549441456350511E-3</v>
      </c>
      <c r="C1040" s="7">
        <v>-2.2227899846704147E-2</v>
      </c>
      <c r="D1040" s="7">
        <v>2.020202020202011E-2</v>
      </c>
      <c r="E1040" s="7">
        <v>-1.0148388197168789E-2</v>
      </c>
      <c r="F1040" s="7">
        <v>5.156964694110977E-3</v>
      </c>
      <c r="G1040" s="7"/>
      <c r="H1040" s="7">
        <f t="shared" si="67"/>
        <v>-6.8119088397460281E-3</v>
      </c>
      <c r="I1040" s="7">
        <f t="shared" si="68"/>
        <v>-2.7384864540815124E-2</v>
      </c>
      <c r="J1040" s="7">
        <f t="shared" si="69"/>
        <v>1.5045055507909133E-2</v>
      </c>
      <c r="K1040" s="7">
        <f t="shared" si="70"/>
        <v>-1.5305352891279767E-2</v>
      </c>
      <c r="L1040" s="7"/>
    </row>
    <row r="1041" spans="1:12" x14ac:dyDescent="0.25">
      <c r="A1041" s="2" t="s">
        <v>1085</v>
      </c>
      <c r="B1041" s="7">
        <v>-1.6737374324402809E-2</v>
      </c>
      <c r="C1041" s="7">
        <v>-1.3608870967741993E-2</v>
      </c>
      <c r="D1041" s="7">
        <v>-5.7142857142857162E-2</v>
      </c>
      <c r="E1041" s="7">
        <v>4.7986289631534174E-3</v>
      </c>
      <c r="F1041" s="7">
        <v>-2.4391094221877574E-2</v>
      </c>
      <c r="G1041" s="7"/>
      <c r="H1041" s="7">
        <f t="shared" si="67"/>
        <v>7.6537198974747644E-3</v>
      </c>
      <c r="I1041" s="7">
        <f t="shared" si="68"/>
        <v>1.0782223254135581E-2</v>
      </c>
      <c r="J1041" s="7">
        <f t="shared" si="69"/>
        <v>-3.2751762920979588E-2</v>
      </c>
      <c r="K1041" s="7">
        <f t="shared" si="70"/>
        <v>2.9189723185030991E-2</v>
      </c>
      <c r="L1041" s="7"/>
    </row>
    <row r="1042" spans="1:12" x14ac:dyDescent="0.25">
      <c r="A1042" s="2" t="s">
        <v>1086</v>
      </c>
      <c r="B1042" s="7">
        <v>7.0818213742243064E-3</v>
      </c>
      <c r="C1042" s="7">
        <v>-4.5990467430386817E-3</v>
      </c>
      <c r="D1042" s="7">
        <v>-4.5454545454545525E-2</v>
      </c>
      <c r="E1042" s="7">
        <v>-3.410031451746387E-2</v>
      </c>
      <c r="F1042" s="7">
        <v>9.4225498950850639E-3</v>
      </c>
      <c r="G1042" s="7"/>
      <c r="H1042" s="7">
        <f t="shared" si="67"/>
        <v>-2.3407285208607576E-3</v>
      </c>
      <c r="I1042" s="7">
        <f t="shared" si="68"/>
        <v>-1.4021596638123746E-2</v>
      </c>
      <c r="J1042" s="7">
        <f t="shared" si="69"/>
        <v>-5.4877095349630589E-2</v>
      </c>
      <c r="K1042" s="7">
        <f t="shared" si="70"/>
        <v>-4.3522864412548934E-2</v>
      </c>
      <c r="L1042" s="7"/>
    </row>
    <row r="1043" spans="1:12" x14ac:dyDescent="0.25">
      <c r="A1043" s="2" t="s">
        <v>1087</v>
      </c>
      <c r="B1043" s="7">
        <v>-9.9397766473707794E-4</v>
      </c>
      <c r="C1043" s="7">
        <v>8.4324142001854785E-3</v>
      </c>
      <c r="D1043" s="7">
        <v>9.1743119266054496E-3</v>
      </c>
      <c r="E1043" s="7">
        <v>1.1384563870751707E-2</v>
      </c>
      <c r="F1043" s="7">
        <v>6.8629513569775646E-3</v>
      </c>
      <c r="G1043" s="7"/>
      <c r="H1043" s="7">
        <f t="shared" si="67"/>
        <v>-7.8569290217146426E-3</v>
      </c>
      <c r="I1043" s="7">
        <f t="shared" si="68"/>
        <v>1.5694628432079138E-3</v>
      </c>
      <c r="J1043" s="7">
        <f t="shared" si="69"/>
        <v>2.3113605696278849E-3</v>
      </c>
      <c r="K1043" s="7">
        <f t="shared" si="70"/>
        <v>4.5216125137741425E-3</v>
      </c>
      <c r="L1043" s="7"/>
    </row>
    <row r="1044" spans="1:12" x14ac:dyDescent="0.25">
      <c r="A1044" s="2" t="s">
        <v>197</v>
      </c>
      <c r="B1044" s="7">
        <v>2.6159476810463822E-2</v>
      </c>
      <c r="C1044" s="7">
        <v>1.7939914163090265E-2</v>
      </c>
      <c r="D1044" s="7">
        <v>2.8301886792452935E-2</v>
      </c>
      <c r="E1044" s="7">
        <v>9.1656766882938667E-2</v>
      </c>
      <c r="F1044" s="7">
        <v>1.8886018254227865E-2</v>
      </c>
      <c r="G1044" s="7"/>
      <c r="H1044" s="7">
        <f t="shared" si="67"/>
        <v>7.2734585562359566E-3</v>
      </c>
      <c r="I1044" s="7">
        <f t="shared" si="68"/>
        <v>-9.4610409113760063E-4</v>
      </c>
      <c r="J1044" s="7">
        <f t="shared" si="69"/>
        <v>9.4158685382250695E-3</v>
      </c>
      <c r="K1044" s="7">
        <f t="shared" si="70"/>
        <v>7.2770748628710802E-2</v>
      </c>
      <c r="L1044" s="7"/>
    </row>
    <row r="1045" spans="1:12" x14ac:dyDescent="0.25">
      <c r="A1045" s="2" t="s">
        <v>1088</v>
      </c>
      <c r="B1045" s="7">
        <v>6.9768934531450499E-2</v>
      </c>
      <c r="C1045" s="7">
        <v>-4.1467829521145361E-2</v>
      </c>
      <c r="D1045" s="7">
        <v>9.52380952380949E-3</v>
      </c>
      <c r="E1045" s="7">
        <v>3.0705472355656127E-2</v>
      </c>
      <c r="F1045" s="7">
        <v>2.4347568825681787E-2</v>
      </c>
      <c r="G1045" s="7"/>
      <c r="H1045" s="7">
        <f t="shared" si="67"/>
        <v>4.5421365705768713E-2</v>
      </c>
      <c r="I1045" s="7">
        <f t="shared" si="68"/>
        <v>-6.5815398346827148E-2</v>
      </c>
      <c r="J1045" s="7">
        <f t="shared" si="69"/>
        <v>-1.4823759301872297E-2</v>
      </c>
      <c r="K1045" s="7">
        <f t="shared" si="70"/>
        <v>6.3579035299743403E-3</v>
      </c>
      <c r="L1045" s="7"/>
    </row>
    <row r="1046" spans="1:12" x14ac:dyDescent="0.25">
      <c r="A1046" s="2" t="s">
        <v>1089</v>
      </c>
      <c r="B1046" s="7">
        <v>-2.9438115960577216E-3</v>
      </c>
      <c r="C1046" s="7">
        <v>5.0442404696930954E-3</v>
      </c>
      <c r="D1046" s="7">
        <v>9.6153846153845812E-3</v>
      </c>
      <c r="E1046" s="7">
        <v>-1.3931457230426325E-2</v>
      </c>
      <c r="F1046" s="7">
        <v>-5.3839946849719711E-3</v>
      </c>
      <c r="G1046" s="7"/>
      <c r="H1046" s="7">
        <f t="shared" si="67"/>
        <v>2.4401830889142495E-3</v>
      </c>
      <c r="I1046" s="7">
        <f t="shared" si="68"/>
        <v>1.0428235154665066E-2</v>
      </c>
      <c r="J1046" s="7">
        <f t="shared" si="69"/>
        <v>1.4999379300356552E-2</v>
      </c>
      <c r="K1046" s="7">
        <f t="shared" si="70"/>
        <v>-8.547462545454354E-3</v>
      </c>
      <c r="L1046" s="7"/>
    </row>
    <row r="1047" spans="1:12" x14ac:dyDescent="0.25">
      <c r="A1047" s="2" t="s">
        <v>1090</v>
      </c>
      <c r="B1047" s="7">
        <v>-5.7563159577866951E-4</v>
      </c>
      <c r="C1047" s="7">
        <v>-2.5622431713802185E-2</v>
      </c>
      <c r="D1047" s="7">
        <v>-2.8037383177570097E-2</v>
      </c>
      <c r="E1047" s="7">
        <v>-4.8431285903667742E-2</v>
      </c>
      <c r="F1047" s="7">
        <v>-1.4966314315554285E-3</v>
      </c>
      <c r="G1047" s="7"/>
      <c r="H1047" s="7">
        <f t="shared" si="67"/>
        <v>9.2099983577675903E-4</v>
      </c>
      <c r="I1047" s="7">
        <f t="shared" si="68"/>
        <v>-2.4125800282246757E-2</v>
      </c>
      <c r="J1047" s="7">
        <f t="shared" si="69"/>
        <v>-2.6540751746014668E-2</v>
      </c>
      <c r="K1047" s="7">
        <f t="shared" si="70"/>
        <v>-4.6934654472112314E-2</v>
      </c>
      <c r="L1047" s="7"/>
    </row>
    <row r="1048" spans="1:12" x14ac:dyDescent="0.25">
      <c r="A1048" s="2" t="s">
        <v>1091</v>
      </c>
      <c r="B1048" s="7">
        <v>-1.1381599747075644E-2</v>
      </c>
      <c r="C1048" s="7">
        <v>5.5091954954225031E-3</v>
      </c>
      <c r="D1048" s="7">
        <v>0</v>
      </c>
      <c r="E1048" s="7">
        <v>-1.0147843583238503E-2</v>
      </c>
      <c r="F1048" s="7">
        <v>-1.2171976789799865E-2</v>
      </c>
      <c r="G1048" s="7"/>
      <c r="H1048" s="7">
        <f t="shared" si="67"/>
        <v>7.9037704272422182E-4</v>
      </c>
      <c r="I1048" s="7">
        <f t="shared" si="68"/>
        <v>1.7681172285222369E-2</v>
      </c>
      <c r="J1048" s="7">
        <f t="shared" si="69"/>
        <v>1.2171976789799865E-2</v>
      </c>
      <c r="K1048" s="7">
        <f t="shared" si="70"/>
        <v>2.0241332065613626E-3</v>
      </c>
      <c r="L1048" s="7"/>
    </row>
    <row r="1049" spans="1:12" x14ac:dyDescent="0.25">
      <c r="A1049" s="2" t="s">
        <v>198</v>
      </c>
      <c r="B1049" s="7">
        <v>-4.8452051346588032E-3</v>
      </c>
      <c r="C1049" s="7">
        <v>8.919883230620318E-4</v>
      </c>
      <c r="D1049" s="7">
        <v>-9.2592592592593004E-3</v>
      </c>
      <c r="E1049" s="7">
        <v>-2.3241903785354179E-2</v>
      </c>
      <c r="F1049" s="7">
        <v>2.7717522294530283E-3</v>
      </c>
      <c r="G1049" s="7"/>
      <c r="H1049" s="7">
        <f t="shared" si="67"/>
        <v>-7.6169573641118316E-3</v>
      </c>
      <c r="I1049" s="7">
        <f t="shared" si="68"/>
        <v>-1.8797639063909966E-3</v>
      </c>
      <c r="J1049" s="7">
        <f t="shared" si="69"/>
        <v>-1.2031011488712329E-2</v>
      </c>
      <c r="K1049" s="7">
        <f t="shared" si="70"/>
        <v>-2.6013656014807207E-2</v>
      </c>
      <c r="L1049" s="7"/>
    </row>
    <row r="1050" spans="1:12" x14ac:dyDescent="0.25">
      <c r="A1050" s="2" t="s">
        <v>1092</v>
      </c>
      <c r="B1050" s="7">
        <v>-1.2796620698223404E-2</v>
      </c>
      <c r="C1050" s="7">
        <v>-5.3234392643976003E-3</v>
      </c>
      <c r="D1050" s="7">
        <v>-5.2631578947368252E-2</v>
      </c>
      <c r="E1050" s="7">
        <v>-5.9546769527483057E-2</v>
      </c>
      <c r="F1050" s="7">
        <v>-1.8914813071498782E-2</v>
      </c>
      <c r="G1050" s="7"/>
      <c r="H1050" s="7">
        <f t="shared" si="67"/>
        <v>6.1181923732753773E-3</v>
      </c>
      <c r="I1050" s="7">
        <f t="shared" si="68"/>
        <v>1.3591373807101181E-2</v>
      </c>
      <c r="J1050" s="7">
        <f t="shared" si="69"/>
        <v>-3.371676587586947E-2</v>
      </c>
      <c r="K1050" s="7">
        <f t="shared" si="70"/>
        <v>-4.0631956455984275E-2</v>
      </c>
      <c r="L1050" s="7"/>
    </row>
    <row r="1051" spans="1:12" x14ac:dyDescent="0.25">
      <c r="A1051" s="2" t="s">
        <v>1093</v>
      </c>
      <c r="B1051" s="7">
        <v>-1.0328292143120699E-2</v>
      </c>
      <c r="C1051" s="7">
        <v>-2.7531571103615926E-2</v>
      </c>
      <c r="D1051" s="7">
        <v>-1.7241379310344862E-2</v>
      </c>
      <c r="E1051" s="7">
        <v>2.5801665155386955E-2</v>
      </c>
      <c r="F1051" s="7">
        <v>-1.103742532143781E-2</v>
      </c>
      <c r="G1051" s="7"/>
      <c r="H1051" s="7">
        <f t="shared" si="67"/>
        <v>7.0913317831711176E-4</v>
      </c>
      <c r="I1051" s="7">
        <f t="shared" si="68"/>
        <v>-1.6494145782178116E-2</v>
      </c>
      <c r="J1051" s="7">
        <f t="shared" si="69"/>
        <v>-6.2039539889070516E-3</v>
      </c>
      <c r="K1051" s="7">
        <f t="shared" si="70"/>
        <v>3.6839090476824765E-2</v>
      </c>
      <c r="L1051" s="7"/>
    </row>
    <row r="1052" spans="1:12" x14ac:dyDescent="0.25">
      <c r="A1052" s="2" t="s">
        <v>1094</v>
      </c>
      <c r="B1052" s="7">
        <v>-2.1064034665382758E-2</v>
      </c>
      <c r="C1052" s="7">
        <v>1.177948798492201E-3</v>
      </c>
      <c r="D1052" s="7">
        <v>-8.5470085470085166E-3</v>
      </c>
      <c r="E1052" s="7">
        <v>-6.7141570457708299E-3</v>
      </c>
      <c r="F1052" s="7">
        <v>-9.6895202431227512E-3</v>
      </c>
      <c r="G1052" s="7"/>
      <c r="H1052" s="7">
        <f t="shared" si="67"/>
        <v>-1.1374514422260007E-2</v>
      </c>
      <c r="I1052" s="7">
        <f t="shared" si="68"/>
        <v>1.0867469041614952E-2</v>
      </c>
      <c r="J1052" s="7">
        <f t="shared" si="69"/>
        <v>1.1425116961142345E-3</v>
      </c>
      <c r="K1052" s="7">
        <f t="shared" si="70"/>
        <v>2.9753631973519212E-3</v>
      </c>
      <c r="L1052" s="7"/>
    </row>
    <row r="1053" spans="1:12" x14ac:dyDescent="0.25">
      <c r="A1053" s="2" t="s">
        <v>1095</v>
      </c>
      <c r="B1053" s="7">
        <v>-1.8894662257912254E-2</v>
      </c>
      <c r="C1053" s="7">
        <v>-2.5847889089057885E-3</v>
      </c>
      <c r="D1053" s="7">
        <v>-3.3057851239669422E-2</v>
      </c>
      <c r="E1053" s="7">
        <v>-2.2569027611044512E-2</v>
      </c>
      <c r="F1053" s="7">
        <v>-1.8387895814791499E-2</v>
      </c>
      <c r="G1053" s="7"/>
      <c r="H1053" s="7">
        <f t="shared" si="67"/>
        <v>-5.0676644312075414E-4</v>
      </c>
      <c r="I1053" s="7">
        <f t="shared" si="68"/>
        <v>1.5803106905885711E-2</v>
      </c>
      <c r="J1053" s="7">
        <f t="shared" si="69"/>
        <v>-1.4669955424877923E-2</v>
      </c>
      <c r="K1053" s="7">
        <f t="shared" si="70"/>
        <v>-4.1811317962530126E-3</v>
      </c>
      <c r="L1053" s="7"/>
    </row>
    <row r="1054" spans="1:12" x14ac:dyDescent="0.25">
      <c r="A1054" s="2" t="s">
        <v>1096</v>
      </c>
      <c r="B1054" s="7">
        <v>5.1635111876076056E-3</v>
      </c>
      <c r="C1054" s="7">
        <v>-1.2606341840680657E-2</v>
      </c>
      <c r="D1054" s="7">
        <v>-8.1967213114754189E-3</v>
      </c>
      <c r="E1054" s="7">
        <v>1.5229240141070299E-3</v>
      </c>
      <c r="F1054" s="7">
        <v>8.1991315788920716E-4</v>
      </c>
      <c r="G1054" s="7"/>
      <c r="H1054" s="7">
        <f t="shared" si="67"/>
        <v>4.3435980297183985E-3</v>
      </c>
      <c r="I1054" s="7">
        <f t="shared" si="68"/>
        <v>-1.3426254998569864E-2</v>
      </c>
      <c r="J1054" s="7">
        <f t="shared" si="69"/>
        <v>-9.0166344693646261E-3</v>
      </c>
      <c r="K1054" s="7">
        <f t="shared" si="70"/>
        <v>7.0301085621782278E-4</v>
      </c>
      <c r="L1054" s="7"/>
    </row>
    <row r="1055" spans="1:12" x14ac:dyDescent="0.25">
      <c r="A1055" s="2" t="s">
        <v>1097</v>
      </c>
      <c r="B1055" s="7">
        <v>-1.9038192827200651E-2</v>
      </c>
      <c r="C1055" s="7">
        <v>8.8951310861424826E-3</v>
      </c>
      <c r="D1055" s="7">
        <v>8.2644628099173278E-3</v>
      </c>
      <c r="E1055" s="7">
        <v>-4.3984674329501927E-2</v>
      </c>
      <c r="F1055" s="7">
        <v>-1.4243549462058636E-2</v>
      </c>
      <c r="G1055" s="7"/>
      <c r="H1055" s="7">
        <f t="shared" si="67"/>
        <v>-4.7946433651420151E-3</v>
      </c>
      <c r="I1055" s="7">
        <f t="shared" si="68"/>
        <v>2.3138680548201118E-2</v>
      </c>
      <c r="J1055" s="7">
        <f t="shared" si="69"/>
        <v>2.2508012271975963E-2</v>
      </c>
      <c r="K1055" s="7">
        <f t="shared" si="70"/>
        <v>-2.9741124867443292E-2</v>
      </c>
      <c r="L1055" s="7"/>
    </row>
    <row r="1056" spans="1:12" x14ac:dyDescent="0.25">
      <c r="A1056" s="2" t="s">
        <v>1098</v>
      </c>
      <c r="B1056" s="7">
        <v>2.5682932523931612E-3</v>
      </c>
      <c r="C1056" s="7">
        <v>2.5031289111387967E-3</v>
      </c>
      <c r="D1056" s="7">
        <v>-3.9682539682539764E-2</v>
      </c>
      <c r="E1056" s="7">
        <v>3.9509319738728621E-2</v>
      </c>
      <c r="F1056" s="7">
        <v>2.8176963210817529E-3</v>
      </c>
      <c r="G1056" s="7"/>
      <c r="H1056" s="7">
        <f t="shared" si="67"/>
        <v>-2.4940306868859174E-4</v>
      </c>
      <c r="I1056" s="7">
        <f t="shared" si="68"/>
        <v>-3.1456740994295629E-4</v>
      </c>
      <c r="J1056" s="7">
        <f t="shared" si="69"/>
        <v>-4.2500236003621517E-2</v>
      </c>
      <c r="K1056" s="7">
        <f t="shared" si="70"/>
        <v>3.6691623417646868E-2</v>
      </c>
      <c r="L1056" s="7"/>
    </row>
    <row r="1057" spans="1:12" x14ac:dyDescent="0.25">
      <c r="A1057" s="2" t="s">
        <v>1099</v>
      </c>
      <c r="B1057" s="7">
        <v>1.6796249035550881E-2</v>
      </c>
      <c r="C1057" s="7">
        <v>8.8383838383838675E-3</v>
      </c>
      <c r="D1057" s="7">
        <v>2.4390243902439046E-2</v>
      </c>
      <c r="E1057" s="7">
        <v>3.028313500205182E-2</v>
      </c>
      <c r="F1057" s="7">
        <v>9.1600307475552256E-3</v>
      </c>
      <c r="G1057" s="7"/>
      <c r="H1057" s="7">
        <f t="shared" si="67"/>
        <v>7.6362182879956553E-3</v>
      </c>
      <c r="I1057" s="7">
        <f t="shared" si="68"/>
        <v>-3.2164690917135808E-4</v>
      </c>
      <c r="J1057" s="7">
        <f t="shared" si="69"/>
        <v>1.523021315488382E-2</v>
      </c>
      <c r="K1057" s="7">
        <f t="shared" si="70"/>
        <v>2.1123104254496594E-2</v>
      </c>
      <c r="L1057" s="7"/>
    </row>
    <row r="1058" spans="1:12" x14ac:dyDescent="0.25">
      <c r="A1058" s="2" t="s">
        <v>199</v>
      </c>
      <c r="B1058" s="7">
        <v>1.1871549830844152E-4</v>
      </c>
      <c r="C1058" s="7">
        <v>-1.4159016648514045E-2</v>
      </c>
      <c r="D1058" s="7">
        <v>-1.6000000000000014E-2</v>
      </c>
      <c r="E1058" s="7">
        <v>-1.1599610642440084E-2</v>
      </c>
      <c r="F1058" s="7">
        <v>-1.4410854751839564E-3</v>
      </c>
      <c r="G1058" s="7"/>
      <c r="H1058" s="7">
        <f t="shared" si="67"/>
        <v>1.5598009734923979E-3</v>
      </c>
      <c r="I1058" s="7">
        <f t="shared" si="68"/>
        <v>-1.2717931173330088E-2</v>
      </c>
      <c r="J1058" s="7">
        <f t="shared" si="69"/>
        <v>-1.4558914524816058E-2</v>
      </c>
      <c r="K1058" s="7">
        <f t="shared" si="70"/>
        <v>-1.0158525167256127E-2</v>
      </c>
      <c r="L1058" s="7"/>
    </row>
    <row r="1059" spans="1:12" x14ac:dyDescent="0.25">
      <c r="A1059" s="2" t="s">
        <v>1100</v>
      </c>
      <c r="B1059" s="7">
        <v>9.5062681955915274E-4</v>
      </c>
      <c r="C1059" s="7">
        <v>1.1011483404121281E-2</v>
      </c>
      <c r="D1059" s="7">
        <v>0</v>
      </c>
      <c r="E1059" s="7">
        <v>2.5112256776983255E-2</v>
      </c>
      <c r="F1059" s="7">
        <v>-4.0502124125595396E-3</v>
      </c>
      <c r="G1059" s="7"/>
      <c r="H1059" s="7">
        <f t="shared" si="67"/>
        <v>5.0008392321186923E-3</v>
      </c>
      <c r="I1059" s="7">
        <f t="shared" si="68"/>
        <v>1.506169581668082E-2</v>
      </c>
      <c r="J1059" s="7">
        <f t="shared" si="69"/>
        <v>4.0502124125595396E-3</v>
      </c>
      <c r="K1059" s="7">
        <f t="shared" si="70"/>
        <v>2.9162469189542795E-2</v>
      </c>
      <c r="L1059" s="7"/>
    </row>
    <row r="1060" spans="1:12" x14ac:dyDescent="0.25">
      <c r="A1060" s="2" t="s">
        <v>1101</v>
      </c>
      <c r="B1060" s="7">
        <v>-1.6708535374189371E-2</v>
      </c>
      <c r="C1060" s="7">
        <v>-8.3456828640512404E-3</v>
      </c>
      <c r="D1060" s="7">
        <v>-7.9365079365079083E-3</v>
      </c>
      <c r="E1060" s="7">
        <v>4.5102980794299308E-2</v>
      </c>
      <c r="F1060" s="7">
        <v>-9.6371086121282978E-4</v>
      </c>
      <c r="G1060" s="7"/>
      <c r="H1060" s="7">
        <f t="shared" si="67"/>
        <v>-1.5744824512976541E-2</v>
      </c>
      <c r="I1060" s="7">
        <f t="shared" si="68"/>
        <v>-7.3819720028384106E-3</v>
      </c>
      <c r="J1060" s="7">
        <f t="shared" si="69"/>
        <v>-6.9727970752950785E-3</v>
      </c>
      <c r="K1060" s="7">
        <f t="shared" si="70"/>
        <v>4.6066691655512138E-2</v>
      </c>
      <c r="L1060" s="7"/>
    </row>
    <row r="1061" spans="1:12" x14ac:dyDescent="0.25">
      <c r="A1061" s="2" t="s">
        <v>1102</v>
      </c>
      <c r="B1061" s="7">
        <v>-2.6558234758871757E-2</v>
      </c>
      <c r="C1061" s="7">
        <v>-4.1168246077365467E-3</v>
      </c>
      <c r="D1061" s="7">
        <v>-3.0769230769230771E-2</v>
      </c>
      <c r="E1061" s="7">
        <v>1.338617349185367E-2</v>
      </c>
      <c r="F1061" s="7">
        <v>-1.939276609770646E-2</v>
      </c>
      <c r="G1061" s="7"/>
      <c r="H1061" s="7">
        <f t="shared" si="67"/>
        <v>-7.1654686611652973E-3</v>
      </c>
      <c r="I1061" s="7">
        <f t="shared" si="68"/>
        <v>1.5275941489969913E-2</v>
      </c>
      <c r="J1061" s="7">
        <f t="shared" si="69"/>
        <v>-1.1376464671524311E-2</v>
      </c>
      <c r="K1061" s="7">
        <f t="shared" si="70"/>
        <v>3.277893958956013E-2</v>
      </c>
      <c r="L1061" s="7"/>
    </row>
    <row r="1062" spans="1:12" x14ac:dyDescent="0.25">
      <c r="A1062" s="2" t="s">
        <v>1103</v>
      </c>
      <c r="B1062" s="7">
        <v>-1.2689500280741117E-2</v>
      </c>
      <c r="C1062" s="7">
        <v>1.4020163831128141E-2</v>
      </c>
      <c r="D1062" s="7">
        <v>-4.4117647058823595E-2</v>
      </c>
      <c r="E1062" s="7">
        <v>-6.7354793561931192E-3</v>
      </c>
      <c r="F1062" s="7">
        <v>-6.29617892823231E-4</v>
      </c>
      <c r="G1062" s="7"/>
      <c r="H1062" s="7">
        <f t="shared" si="67"/>
        <v>-1.2059882387917886E-2</v>
      </c>
      <c r="I1062" s="7">
        <f t="shared" si="68"/>
        <v>1.4649781723951372E-2</v>
      </c>
      <c r="J1062" s="7">
        <f t="shared" si="69"/>
        <v>-4.3488029166000364E-2</v>
      </c>
      <c r="K1062" s="7">
        <f t="shared" si="70"/>
        <v>-6.1058614633698882E-3</v>
      </c>
      <c r="L1062" s="7"/>
    </row>
    <row r="1063" spans="1:12" x14ac:dyDescent="0.25">
      <c r="A1063" s="2" t="s">
        <v>200</v>
      </c>
      <c r="B1063" s="7">
        <v>2.4976979742173055E-2</v>
      </c>
      <c r="C1063" s="7">
        <v>6.3051702395955367E-4</v>
      </c>
      <c r="D1063" s="7">
        <v>0.14285714285714302</v>
      </c>
      <c r="E1063" s="7">
        <v>1.3385338179239259E-2</v>
      </c>
      <c r="F1063" s="7">
        <v>6.3740773533522699E-3</v>
      </c>
      <c r="G1063" s="7"/>
      <c r="H1063" s="7">
        <f t="shared" si="67"/>
        <v>1.8602902388820786E-2</v>
      </c>
      <c r="I1063" s="7">
        <f t="shared" si="68"/>
        <v>-5.7435603293927162E-3</v>
      </c>
      <c r="J1063" s="7">
        <f t="shared" si="69"/>
        <v>0.13648306550379075</v>
      </c>
      <c r="K1063" s="7">
        <f t="shared" si="70"/>
        <v>7.0112608258869891E-3</v>
      </c>
      <c r="L1063" s="7"/>
    </row>
    <row r="1064" spans="1:12" x14ac:dyDescent="0.25">
      <c r="A1064" s="2" t="s">
        <v>1104</v>
      </c>
      <c r="B1064" s="7">
        <v>-3.5554536070651066E-3</v>
      </c>
      <c r="C1064" s="7">
        <v>-7.8808416738906928E-5</v>
      </c>
      <c r="D1064" s="7">
        <v>1.7094017094017033E-2</v>
      </c>
      <c r="E1064" s="7">
        <v>-3.4160958904109529E-2</v>
      </c>
      <c r="F1064" s="7">
        <v>-2.6262207741385435E-3</v>
      </c>
      <c r="G1064" s="7"/>
      <c r="H1064" s="7">
        <f t="shared" si="67"/>
        <v>-9.2923283292656311E-4</v>
      </c>
      <c r="I1064" s="7">
        <f t="shared" si="68"/>
        <v>2.5474123573996366E-3</v>
      </c>
      <c r="J1064" s="7">
        <f t="shared" si="69"/>
        <v>1.9720237868155577E-2</v>
      </c>
      <c r="K1064" s="7">
        <f t="shared" si="70"/>
        <v>-3.1534738129970985E-2</v>
      </c>
      <c r="L1064" s="7"/>
    </row>
    <row r="1065" spans="1:12" x14ac:dyDescent="0.25">
      <c r="A1065" s="2" t="s">
        <v>1105</v>
      </c>
      <c r="B1065" s="7">
        <v>-6.5515866233692988E-3</v>
      </c>
      <c r="C1065" s="7">
        <v>-4.3157564344005195E-3</v>
      </c>
      <c r="D1065" s="7">
        <v>0</v>
      </c>
      <c r="E1065" s="7">
        <v>9.7228745890089119E-2</v>
      </c>
      <c r="F1065" s="7">
        <v>-2.9897393314501919E-3</v>
      </c>
      <c r="G1065" s="7"/>
      <c r="H1065" s="7">
        <f t="shared" si="67"/>
        <v>-3.5618472919191069E-3</v>
      </c>
      <c r="I1065" s="7">
        <f t="shared" si="68"/>
        <v>-1.3260171029503276E-3</v>
      </c>
      <c r="J1065" s="7">
        <f t="shared" si="69"/>
        <v>2.9897393314501919E-3</v>
      </c>
      <c r="K1065" s="7">
        <f t="shared" si="70"/>
        <v>0.10021848522153931</v>
      </c>
      <c r="L1065" s="7"/>
    </row>
    <row r="1066" spans="1:12" x14ac:dyDescent="0.25">
      <c r="A1066" s="2" t="s">
        <v>1106</v>
      </c>
      <c r="B1066" s="7">
        <v>5.1299589603281959E-4</v>
      </c>
      <c r="C1066" s="7">
        <v>4.334462920639881E-3</v>
      </c>
      <c r="D1066" s="7">
        <v>-1.6806722689075682E-2</v>
      </c>
      <c r="E1066" s="7">
        <v>-2.3573656209869731E-2</v>
      </c>
      <c r="F1066" s="7">
        <v>1.4019033292591576E-3</v>
      </c>
      <c r="G1066" s="7"/>
      <c r="H1066" s="7">
        <f t="shared" si="67"/>
        <v>-8.8890743322633803E-4</v>
      </c>
      <c r="I1066" s="7">
        <f t="shared" si="68"/>
        <v>2.9325595913807234E-3</v>
      </c>
      <c r="J1066" s="7">
        <f t="shared" si="69"/>
        <v>-1.8208626018334839E-2</v>
      </c>
      <c r="K1066" s="7">
        <f t="shared" si="70"/>
        <v>-2.4975559539128889E-2</v>
      </c>
      <c r="L1066" s="7"/>
    </row>
    <row r="1067" spans="1:12" x14ac:dyDescent="0.25">
      <c r="A1067" s="2" t="s">
        <v>1107</v>
      </c>
      <c r="B1067" s="7">
        <v>-5.7803468208093012E-3</v>
      </c>
      <c r="C1067" s="7">
        <v>5.3081920456345966E-3</v>
      </c>
      <c r="D1067" s="7">
        <v>-3.2520325203252098E-2</v>
      </c>
      <c r="E1067" s="7">
        <v>-1.5354046242774588E-2</v>
      </c>
      <c r="F1067" s="7">
        <v>-1.0101874482121298E-3</v>
      </c>
      <c r="G1067" s="7"/>
      <c r="H1067" s="7">
        <f t="shared" si="67"/>
        <v>-4.7701593725971714E-3</v>
      </c>
      <c r="I1067" s="7">
        <f t="shared" si="68"/>
        <v>6.3183794938467264E-3</v>
      </c>
      <c r="J1067" s="7">
        <f t="shared" si="69"/>
        <v>-3.1510137755039969E-2</v>
      </c>
      <c r="K1067" s="7">
        <f t="shared" si="70"/>
        <v>-1.4343858794562458E-2</v>
      </c>
      <c r="L1067" s="7"/>
    </row>
    <row r="1068" spans="1:12" x14ac:dyDescent="0.25">
      <c r="A1068" s="2" t="s">
        <v>201</v>
      </c>
      <c r="B1068" s="7">
        <v>2.2956521739130542E-2</v>
      </c>
      <c r="C1068" s="7">
        <v>9.9215874539926308E-3</v>
      </c>
      <c r="D1068" s="7">
        <v>-2.3809523809523836E-2</v>
      </c>
      <c r="E1068" s="7">
        <v>-1.7481586653651626E-2</v>
      </c>
      <c r="F1068" s="7">
        <v>1.383895602639984E-2</v>
      </c>
      <c r="G1068" s="7"/>
      <c r="H1068" s="7">
        <f t="shared" si="67"/>
        <v>9.1175657127307019E-3</v>
      </c>
      <c r="I1068" s="7">
        <f t="shared" si="68"/>
        <v>-3.9173685724072094E-3</v>
      </c>
      <c r="J1068" s="7">
        <f t="shared" si="69"/>
        <v>-3.7648479835923676E-2</v>
      </c>
      <c r="K1068" s="7">
        <f t="shared" si="70"/>
        <v>-3.1320542680051466E-2</v>
      </c>
      <c r="L1068" s="7"/>
    </row>
    <row r="1069" spans="1:12" x14ac:dyDescent="0.25">
      <c r="A1069" s="2" t="s">
        <v>1108</v>
      </c>
      <c r="B1069" s="7">
        <v>3.6655611799616405E-3</v>
      </c>
      <c r="C1069" s="7">
        <v>1.3460914693480541E-2</v>
      </c>
      <c r="D1069" s="7">
        <v>0</v>
      </c>
      <c r="E1069" s="7">
        <v>7.2398998927423186E-3</v>
      </c>
      <c r="F1069" s="7">
        <v>6.2237041579367158E-3</v>
      </c>
      <c r="G1069" s="7"/>
      <c r="H1069" s="7">
        <f t="shared" si="67"/>
        <v>-2.5581429779750753E-3</v>
      </c>
      <c r="I1069" s="7">
        <f t="shared" si="68"/>
        <v>7.2372105355438254E-3</v>
      </c>
      <c r="J1069" s="7">
        <f t="shared" si="69"/>
        <v>-6.2237041579367158E-3</v>
      </c>
      <c r="K1069" s="7">
        <f t="shared" si="70"/>
        <v>1.0161957348056028E-3</v>
      </c>
      <c r="L1069" s="7"/>
    </row>
    <row r="1070" spans="1:12" x14ac:dyDescent="0.25">
      <c r="A1070" s="2" t="s">
        <v>1109</v>
      </c>
      <c r="B1070" s="7">
        <v>1.530009451795844E-2</v>
      </c>
      <c r="C1070" s="7">
        <v>-1.6191709844559643E-3</v>
      </c>
      <c r="D1070" s="7">
        <v>0</v>
      </c>
      <c r="E1070" s="7">
        <v>-4.2041270656734353E-2</v>
      </c>
      <c r="F1070" s="7">
        <v>1.0180180373954517E-2</v>
      </c>
      <c r="G1070" s="7"/>
      <c r="H1070" s="7">
        <f t="shared" si="67"/>
        <v>5.1199141440039231E-3</v>
      </c>
      <c r="I1070" s="7">
        <f t="shared" si="68"/>
        <v>-1.1799351358410481E-2</v>
      </c>
      <c r="J1070" s="7">
        <f t="shared" si="69"/>
        <v>-1.0180180373954517E-2</v>
      </c>
      <c r="K1070" s="7">
        <f t="shared" si="70"/>
        <v>-5.222145103068887E-2</v>
      </c>
      <c r="L1070" s="7"/>
    </row>
    <row r="1071" spans="1:12" x14ac:dyDescent="0.25">
      <c r="A1071" s="2" t="s">
        <v>1110</v>
      </c>
      <c r="B1071" s="7">
        <v>1.9083739690566315E-2</v>
      </c>
      <c r="C1071" s="7">
        <v>1.6217969510217145E-3</v>
      </c>
      <c r="D1071" s="7">
        <v>-2.3255813953488413E-2</v>
      </c>
      <c r="E1071" s="7">
        <v>6.9407563409944251E-2</v>
      </c>
      <c r="F1071" s="7">
        <v>1.7777943178882483E-2</v>
      </c>
      <c r="G1071" s="7"/>
      <c r="H1071" s="7">
        <f t="shared" si="67"/>
        <v>1.3057965116838322E-3</v>
      </c>
      <c r="I1071" s="7">
        <f t="shared" si="68"/>
        <v>-1.6156146227860768E-2</v>
      </c>
      <c r="J1071" s="7">
        <f t="shared" si="69"/>
        <v>-4.1033757132370896E-2</v>
      </c>
      <c r="K1071" s="7">
        <f t="shared" si="70"/>
        <v>5.1629620231061768E-2</v>
      </c>
      <c r="L1071" s="7"/>
    </row>
    <row r="1072" spans="1:12" x14ac:dyDescent="0.25">
      <c r="A1072" s="2" t="s">
        <v>202</v>
      </c>
      <c r="B1072" s="7">
        <v>-8.1208574670089684E-3</v>
      </c>
      <c r="C1072" s="7">
        <v>-1.2017304919083482E-2</v>
      </c>
      <c r="D1072" s="7">
        <v>0</v>
      </c>
      <c r="E1072" s="7">
        <v>-5.8209727492238739E-2</v>
      </c>
      <c r="F1072" s="7">
        <v>-1.1388032826621375E-2</v>
      </c>
      <c r="G1072" s="7"/>
      <c r="H1072" s="7">
        <f t="shared" si="67"/>
        <v>3.2671753596124065E-3</v>
      </c>
      <c r="I1072" s="7">
        <f t="shared" si="68"/>
        <v>-6.2927209246210758E-4</v>
      </c>
      <c r="J1072" s="7">
        <f t="shared" si="69"/>
        <v>1.1388032826621375E-2</v>
      </c>
      <c r="K1072" s="7">
        <f t="shared" si="70"/>
        <v>-4.6821694665617364E-2</v>
      </c>
      <c r="L1072" s="7"/>
    </row>
    <row r="1073" spans="1:12" x14ac:dyDescent="0.25">
      <c r="A1073" s="2" t="s">
        <v>1111</v>
      </c>
      <c r="B1073" s="7">
        <v>-6.4665401044138315E-3</v>
      </c>
      <c r="C1073" s="7">
        <v>-2.0020412970087276E-2</v>
      </c>
      <c r="D1073" s="7">
        <v>-1.5267175572519109E-2</v>
      </c>
      <c r="E1073" s="7">
        <v>1.5411558669001568E-2</v>
      </c>
      <c r="F1073" s="7">
        <v>-1.0287726483131143E-2</v>
      </c>
      <c r="G1073" s="7"/>
      <c r="H1073" s="7">
        <f t="shared" si="67"/>
        <v>3.8211863787173117E-3</v>
      </c>
      <c r="I1073" s="7">
        <f t="shared" si="68"/>
        <v>-9.7326864869561325E-3</v>
      </c>
      <c r="J1073" s="7">
        <f t="shared" si="69"/>
        <v>-4.9794490893879662E-3</v>
      </c>
      <c r="K1073" s="7">
        <f t="shared" si="70"/>
        <v>2.5699285152132711E-2</v>
      </c>
      <c r="L1073" s="7"/>
    </row>
    <row r="1074" spans="1:12" x14ac:dyDescent="0.25">
      <c r="A1074" s="2" t="s">
        <v>1112</v>
      </c>
      <c r="B1074" s="7">
        <v>-3.9270447420917565E-2</v>
      </c>
      <c r="C1074" s="7">
        <v>1.4415418923223955E-2</v>
      </c>
      <c r="D1074" s="7">
        <v>-2.2388059701492602E-2</v>
      </c>
      <c r="E1074" s="7">
        <v>-1.8141174447596886E-2</v>
      </c>
      <c r="F1074" s="7">
        <v>-8.7433782392221104E-3</v>
      </c>
      <c r="G1074" s="7"/>
      <c r="H1074" s="7">
        <f t="shared" si="67"/>
        <v>-3.0527069181695454E-2</v>
      </c>
      <c r="I1074" s="7">
        <f t="shared" si="68"/>
        <v>2.3158797162446065E-2</v>
      </c>
      <c r="J1074" s="7">
        <f t="shared" si="69"/>
        <v>-1.3644681462270492E-2</v>
      </c>
      <c r="K1074" s="7">
        <f t="shared" si="70"/>
        <v>-9.3977962083747757E-3</v>
      </c>
      <c r="L1074" s="7"/>
    </row>
    <row r="1075" spans="1:12" x14ac:dyDescent="0.25">
      <c r="A1075" s="2" t="s">
        <v>1113</v>
      </c>
      <c r="B1075" s="7">
        <v>2.8489360454891699E-2</v>
      </c>
      <c r="C1075" s="7">
        <v>6.0897435897435681E-3</v>
      </c>
      <c r="D1075" s="7">
        <v>2.2900763358778553E-2</v>
      </c>
      <c r="E1075" s="7">
        <v>-3.2443224357374567E-2</v>
      </c>
      <c r="F1075" s="7">
        <v>1.6348409288555077E-2</v>
      </c>
      <c r="G1075" s="7"/>
      <c r="H1075" s="7">
        <f t="shared" si="67"/>
        <v>1.2140951166336622E-2</v>
      </c>
      <c r="I1075" s="7">
        <f t="shared" si="68"/>
        <v>-1.0258665698811509E-2</v>
      </c>
      <c r="J1075" s="7">
        <f t="shared" si="69"/>
        <v>6.5523540702234762E-3</v>
      </c>
      <c r="K1075" s="7">
        <f t="shared" si="70"/>
        <v>-4.8791633645929644E-2</v>
      </c>
      <c r="L1075" s="7"/>
    </row>
    <row r="1076" spans="1:12" x14ac:dyDescent="0.25">
      <c r="A1076" s="2" t="s">
        <v>1114</v>
      </c>
      <c r="B1076" s="7">
        <v>-8.0246554631621114E-3</v>
      </c>
      <c r="C1076" s="7">
        <v>8.0192461908579205E-4</v>
      </c>
      <c r="D1076" s="7">
        <v>-5.0724637681159312E-2</v>
      </c>
      <c r="E1076" s="7">
        <v>3.5489706262382459E-2</v>
      </c>
      <c r="F1076" s="7">
        <v>-7.4705984403412584E-3</v>
      </c>
      <c r="G1076" s="7"/>
      <c r="H1076" s="7">
        <f t="shared" si="67"/>
        <v>-5.5405702282085301E-4</v>
      </c>
      <c r="I1076" s="7">
        <f t="shared" si="68"/>
        <v>8.2725230594270505E-3</v>
      </c>
      <c r="J1076" s="7">
        <f t="shared" si="69"/>
        <v>-4.3254039240818054E-2</v>
      </c>
      <c r="K1076" s="7">
        <f t="shared" si="70"/>
        <v>4.2960304702723717E-2</v>
      </c>
      <c r="L1076" s="7"/>
    </row>
    <row r="1077" spans="1:12" x14ac:dyDescent="0.25">
      <c r="A1077" s="2" t="s">
        <v>203</v>
      </c>
      <c r="B1077" s="7">
        <v>-2.0671981776765325E-2</v>
      </c>
      <c r="C1077" s="7">
        <v>-1.4229249011857736E-2</v>
      </c>
      <c r="D1077" s="7">
        <v>-2.1276595744680882E-2</v>
      </c>
      <c r="E1077" s="7">
        <v>-2.2564620695461723E-2</v>
      </c>
      <c r="F1077" s="7">
        <v>-9.1362090992822553E-3</v>
      </c>
      <c r="G1077" s="7"/>
      <c r="H1077" s="7">
        <f t="shared" si="67"/>
        <v>-1.1535772677483069E-2</v>
      </c>
      <c r="I1077" s="7">
        <f t="shared" si="68"/>
        <v>-5.0930399125754811E-3</v>
      </c>
      <c r="J1077" s="7">
        <f t="shared" si="69"/>
        <v>-1.2140386645398626E-2</v>
      </c>
      <c r="K1077" s="7">
        <f t="shared" si="70"/>
        <v>-1.3428411596179468E-2</v>
      </c>
      <c r="L1077" s="7"/>
    </row>
    <row r="1078" spans="1:12" x14ac:dyDescent="0.25">
      <c r="A1078" s="2" t="s">
        <v>1115</v>
      </c>
      <c r="B1078" s="7">
        <v>2.8042854633803627E-2</v>
      </c>
      <c r="C1078" s="7">
        <v>6.604599347497464E-3</v>
      </c>
      <c r="D1078" s="7">
        <v>-7.0422535211267512E-3</v>
      </c>
      <c r="E1078" s="7">
        <v>9.2624065261726063E-3</v>
      </c>
      <c r="F1078" s="7">
        <v>9.54911139915815E-3</v>
      </c>
      <c r="G1078" s="7"/>
      <c r="H1078" s="7">
        <f t="shared" si="67"/>
        <v>1.8493743234645477E-2</v>
      </c>
      <c r="I1078" s="7">
        <f t="shared" si="68"/>
        <v>-2.944512051660686E-3</v>
      </c>
      <c r="J1078" s="7">
        <f t="shared" si="69"/>
        <v>-1.6591364920284901E-2</v>
      </c>
      <c r="K1078" s="7">
        <f t="shared" si="70"/>
        <v>-2.867048729855437E-4</v>
      </c>
      <c r="L1078" s="7"/>
    </row>
    <row r="1079" spans="1:12" x14ac:dyDescent="0.25">
      <c r="A1079" s="2" t="s">
        <v>1116</v>
      </c>
      <c r="B1079" s="7">
        <v>-2.9768853607283763E-3</v>
      </c>
      <c r="C1079" s="7">
        <v>-5.5670431048193691E-4</v>
      </c>
      <c r="D1079" s="7">
        <v>-3.4013605442176909E-2</v>
      </c>
      <c r="E1079" s="7">
        <v>-9.3442208940146543E-3</v>
      </c>
      <c r="F1079" s="7">
        <v>-7.1811299644134463E-3</v>
      </c>
      <c r="G1079" s="7"/>
      <c r="H1079" s="7">
        <f t="shared" si="67"/>
        <v>4.20424460368507E-3</v>
      </c>
      <c r="I1079" s="7">
        <f t="shared" si="68"/>
        <v>6.6244256539315094E-3</v>
      </c>
      <c r="J1079" s="7">
        <f t="shared" si="69"/>
        <v>-2.6832475477763462E-2</v>
      </c>
      <c r="K1079" s="7">
        <f t="shared" si="70"/>
        <v>-2.163090929601208E-3</v>
      </c>
      <c r="L1079" s="7"/>
    </row>
    <row r="1080" spans="1:12" x14ac:dyDescent="0.25">
      <c r="A1080" s="2" t="s">
        <v>1117</v>
      </c>
      <c r="B1080" s="7">
        <v>2.2744910751596903E-2</v>
      </c>
      <c r="C1080" s="7">
        <v>-2.9339465545952237E-3</v>
      </c>
      <c r="D1080" s="7">
        <v>5.755395683453246E-2</v>
      </c>
      <c r="E1080" s="7">
        <v>-3.6067773863445174E-3</v>
      </c>
      <c r="F1080" s="7">
        <v>3.0852936469836223E-3</v>
      </c>
      <c r="G1080" s="7"/>
      <c r="H1080" s="7">
        <f t="shared" si="67"/>
        <v>1.9659617104613281E-2</v>
      </c>
      <c r="I1080" s="7">
        <f t="shared" si="68"/>
        <v>-6.019240201578846E-3</v>
      </c>
      <c r="J1080" s="7">
        <f t="shared" si="69"/>
        <v>5.4468663187548838E-2</v>
      </c>
      <c r="K1080" s="7">
        <f t="shared" si="70"/>
        <v>-6.6920710333281397E-3</v>
      </c>
      <c r="L1080" s="7"/>
    </row>
    <row r="1081" spans="1:12" x14ac:dyDescent="0.25">
      <c r="A1081" s="2" t="s">
        <v>1118</v>
      </c>
      <c r="B1081" s="7">
        <v>3.5482475118995938E-2</v>
      </c>
      <c r="C1081" s="7">
        <v>-3.6343525321955727E-3</v>
      </c>
      <c r="D1081" s="7">
        <v>7.7519379844961156E-2</v>
      </c>
      <c r="E1081" s="7">
        <v>1.5675583574714658E-2</v>
      </c>
      <c r="F1081" s="7">
        <v>2.0707063007576743E-2</v>
      </c>
      <c r="G1081" s="7"/>
      <c r="H1081" s="7">
        <f t="shared" si="67"/>
        <v>1.4775412111419195E-2</v>
      </c>
      <c r="I1081" s="7">
        <f t="shared" si="68"/>
        <v>-2.4341415539772315E-2</v>
      </c>
      <c r="J1081" s="7">
        <f t="shared" si="69"/>
        <v>5.6812316837384413E-2</v>
      </c>
      <c r="K1081" s="7">
        <f t="shared" si="70"/>
        <v>-5.0314794328620849E-3</v>
      </c>
      <c r="L1081" s="7"/>
    </row>
    <row r="1082" spans="1:12" x14ac:dyDescent="0.25">
      <c r="A1082" s="2" t="s">
        <v>204</v>
      </c>
      <c r="B1082" s="7">
        <v>2.1468712508682319E-2</v>
      </c>
      <c r="C1082" s="7">
        <v>2.6687216093445709E-2</v>
      </c>
      <c r="D1082" s="7">
        <v>3.2000000000000028E-2</v>
      </c>
      <c r="E1082" s="7">
        <v>0.10392175303301032</v>
      </c>
      <c r="F1082" s="7">
        <v>1.1730928977641941E-2</v>
      </c>
      <c r="G1082" s="7"/>
      <c r="H1082" s="7">
        <f t="shared" si="67"/>
        <v>9.7377835310403782E-3</v>
      </c>
      <c r="I1082" s="7">
        <f t="shared" si="68"/>
        <v>1.4956287115803768E-2</v>
      </c>
      <c r="J1082" s="7">
        <f t="shared" si="69"/>
        <v>2.0269071022358087E-2</v>
      </c>
      <c r="K1082" s="7">
        <f t="shared" si="70"/>
        <v>9.2190824055368381E-2</v>
      </c>
      <c r="L1082" s="7"/>
    </row>
    <row r="1083" spans="1:12" x14ac:dyDescent="0.25">
      <c r="A1083" s="2" t="s">
        <v>1119</v>
      </c>
      <c r="B1083" s="7">
        <v>-1.1731669266770606E-2</v>
      </c>
      <c r="C1083" s="7">
        <v>1.3649070876500469E-2</v>
      </c>
      <c r="D1083" s="7">
        <v>-3.8461538461538547E-2</v>
      </c>
      <c r="E1083" s="7">
        <v>-8.2254445019851574E-2</v>
      </c>
      <c r="F1083" s="7">
        <v>-8.4485809792226307E-3</v>
      </c>
      <c r="G1083" s="7"/>
      <c r="H1083" s="7">
        <f t="shared" si="67"/>
        <v>-3.283088287547975E-3</v>
      </c>
      <c r="I1083" s="7">
        <f t="shared" si="68"/>
        <v>2.2097651855723099E-2</v>
      </c>
      <c r="J1083" s="7">
        <f t="shared" si="69"/>
        <v>-3.0012957482315916E-2</v>
      </c>
      <c r="K1083" s="7">
        <f t="shared" si="70"/>
        <v>-7.3805864040628943E-2</v>
      </c>
      <c r="L1083" s="7"/>
    </row>
    <row r="1084" spans="1:12" x14ac:dyDescent="0.25">
      <c r="A1084" s="2" t="s">
        <v>1120</v>
      </c>
      <c r="B1084" s="7">
        <v>-6.0782732742045154E-3</v>
      </c>
      <c r="C1084" s="7">
        <v>-2.7060270602705661E-3</v>
      </c>
      <c r="D1084" s="7">
        <v>3.1746031746031855E-2</v>
      </c>
      <c r="E1084" s="7">
        <v>-4.0402303790939564E-3</v>
      </c>
      <c r="F1084" s="7">
        <v>1.4194423271231882E-2</v>
      </c>
      <c r="G1084" s="7"/>
      <c r="H1084" s="7">
        <f t="shared" si="67"/>
        <v>-2.0272696545436397E-2</v>
      </c>
      <c r="I1084" s="7">
        <f t="shared" si="68"/>
        <v>-1.6900450331502448E-2</v>
      </c>
      <c r="J1084" s="7">
        <f t="shared" si="69"/>
        <v>1.7551608474799973E-2</v>
      </c>
      <c r="K1084" s="7">
        <f t="shared" si="70"/>
        <v>-1.8234653650325838E-2</v>
      </c>
      <c r="L1084" s="7"/>
    </row>
    <row r="1085" spans="1:12" x14ac:dyDescent="0.25">
      <c r="A1085" s="2" t="s">
        <v>1121</v>
      </c>
      <c r="B1085" s="7">
        <v>-3.2148377125194028E-3</v>
      </c>
      <c r="C1085" s="7">
        <v>4.0342499588341685E-3</v>
      </c>
      <c r="D1085" s="7">
        <v>-8.6956521739130377E-2</v>
      </c>
      <c r="E1085" s="7">
        <v>-3.9468252002311965E-2</v>
      </c>
      <c r="F1085" s="7">
        <v>-1.1815195971097037E-2</v>
      </c>
      <c r="G1085" s="7"/>
      <c r="H1085" s="7">
        <f t="shared" si="67"/>
        <v>8.6003582585776339E-3</v>
      </c>
      <c r="I1085" s="7">
        <f t="shared" si="68"/>
        <v>1.5849445929931205E-2</v>
      </c>
      <c r="J1085" s="7">
        <f t="shared" si="69"/>
        <v>-7.514132576803334E-2</v>
      </c>
      <c r="K1085" s="7">
        <f t="shared" si="70"/>
        <v>-2.7653056031214929E-2</v>
      </c>
      <c r="L1085" s="7"/>
    </row>
    <row r="1086" spans="1:12" x14ac:dyDescent="0.25">
      <c r="A1086" s="2" t="s">
        <v>1122</v>
      </c>
      <c r="B1086" s="7">
        <v>3.1568877551020336E-2</v>
      </c>
      <c r="C1086" s="7">
        <v>-3.5112805846838291E-2</v>
      </c>
      <c r="D1086" s="7">
        <v>7.8125E-2</v>
      </c>
      <c r="E1086" s="7">
        <v>-3.1042483398671883E-2</v>
      </c>
      <c r="F1086" s="7">
        <v>-1.8961306218543861E-2</v>
      </c>
      <c r="G1086" s="7"/>
      <c r="H1086" s="7">
        <f t="shared" si="67"/>
        <v>5.0530183769564196E-2</v>
      </c>
      <c r="I1086" s="7">
        <f t="shared" si="68"/>
        <v>-1.615149962829443E-2</v>
      </c>
      <c r="J1086" s="7">
        <f t="shared" si="69"/>
        <v>9.7086306218543861E-2</v>
      </c>
      <c r="K1086" s="7">
        <f t="shared" si="70"/>
        <v>-1.2081177180128022E-2</v>
      </c>
      <c r="L1086" s="7"/>
    </row>
    <row r="1087" spans="1:12" x14ac:dyDescent="0.25">
      <c r="A1087" s="2" t="s">
        <v>205</v>
      </c>
      <c r="B1087" s="7">
        <v>2.1897810218978186E-2</v>
      </c>
      <c r="C1087" s="7">
        <v>4.0679588418282009E-3</v>
      </c>
      <c r="D1087" s="7">
        <v>-7.7519379844961378E-3</v>
      </c>
      <c r="E1087" s="7">
        <v>-1.3029058749210454E-2</v>
      </c>
      <c r="F1087" s="7">
        <v>1.3200221128189193E-2</v>
      </c>
      <c r="G1087" s="7"/>
      <c r="H1087" s="7">
        <f t="shared" si="67"/>
        <v>8.697589090788993E-3</v>
      </c>
      <c r="I1087" s="7">
        <f t="shared" si="68"/>
        <v>-9.1322622863609926E-3</v>
      </c>
      <c r="J1087" s="7">
        <f t="shared" si="69"/>
        <v>-2.0952159112685331E-2</v>
      </c>
      <c r="K1087" s="7">
        <f t="shared" si="70"/>
        <v>-2.6229279877399647E-2</v>
      </c>
      <c r="L1087" s="7"/>
    </row>
    <row r="1088" spans="1:12" x14ac:dyDescent="0.25">
      <c r="A1088" s="2" t="s">
        <v>1123</v>
      </c>
      <c r="B1088" s="7">
        <v>-3.1679919222516784E-2</v>
      </c>
      <c r="C1088" s="7">
        <v>-1.1901008827238213E-2</v>
      </c>
      <c r="D1088" s="7">
        <v>-3.007518796992481E-2</v>
      </c>
      <c r="E1088" s="7">
        <v>-2.3216351716158878E-2</v>
      </c>
      <c r="F1088" s="7">
        <v>-2.2724855683128209E-2</v>
      </c>
      <c r="G1088" s="7"/>
      <c r="H1088" s="7">
        <f t="shared" si="67"/>
        <v>-8.9550635393885747E-3</v>
      </c>
      <c r="I1088" s="7">
        <f t="shared" si="68"/>
        <v>1.0823846855889996E-2</v>
      </c>
      <c r="J1088" s="7">
        <f t="shared" si="69"/>
        <v>-7.3503322867966014E-3</v>
      </c>
      <c r="K1088" s="7">
        <f t="shared" si="70"/>
        <v>-4.9149603303066947E-4</v>
      </c>
      <c r="L1088" s="7"/>
    </row>
    <row r="1089" spans="1:12" x14ac:dyDescent="0.25">
      <c r="A1089" s="2" t="s">
        <v>1124</v>
      </c>
      <c r="B1089" s="7">
        <v>3.2288698955367234E-3</v>
      </c>
      <c r="C1089" s="7">
        <v>-1.0219205866292214E-2</v>
      </c>
      <c r="D1089" s="7">
        <v>0</v>
      </c>
      <c r="E1089" s="7">
        <v>2.1348668662360293E-2</v>
      </c>
      <c r="F1089" s="7">
        <v>2.2939006971240961E-3</v>
      </c>
      <c r="G1089" s="7"/>
      <c r="H1089" s="7">
        <f t="shared" si="67"/>
        <v>9.3496919841262738E-4</v>
      </c>
      <c r="I1089" s="7">
        <f t="shared" si="68"/>
        <v>-1.251310656341631E-2</v>
      </c>
      <c r="J1089" s="7">
        <f t="shared" si="69"/>
        <v>-2.2939006971240961E-3</v>
      </c>
      <c r="K1089" s="7">
        <f t="shared" si="70"/>
        <v>1.9054767965236197E-2</v>
      </c>
      <c r="L1089" s="7"/>
    </row>
    <row r="1090" spans="1:12" x14ac:dyDescent="0.25">
      <c r="A1090" s="2" t="s">
        <v>1125</v>
      </c>
      <c r="B1090" s="7">
        <v>2.4752475247524774E-3</v>
      </c>
      <c r="C1090" s="7">
        <v>-1.0909374269462147E-3</v>
      </c>
      <c r="D1090" s="7">
        <v>3.1007751937984551E-2</v>
      </c>
      <c r="E1090" s="7">
        <v>-2.1657032755298622E-2</v>
      </c>
      <c r="F1090" s="7">
        <v>1.6570786727996278E-3</v>
      </c>
      <c r="G1090" s="7"/>
      <c r="H1090" s="7">
        <f t="shared" si="67"/>
        <v>8.1816885195284961E-4</v>
      </c>
      <c r="I1090" s="7">
        <f t="shared" si="68"/>
        <v>-2.7480160997458425E-3</v>
      </c>
      <c r="J1090" s="7">
        <f t="shared" si="69"/>
        <v>2.9350673265184923E-2</v>
      </c>
      <c r="K1090" s="7">
        <f t="shared" si="70"/>
        <v>-2.331411142809825E-2</v>
      </c>
      <c r="L1090" s="7"/>
    </row>
    <row r="1091" spans="1:12" x14ac:dyDescent="0.25">
      <c r="A1091" s="2" t="s">
        <v>206</v>
      </c>
      <c r="B1091" s="7">
        <v>2.9280712921706531E-3</v>
      </c>
      <c r="C1091" s="7">
        <v>2.4214966411497674E-3</v>
      </c>
      <c r="D1091" s="7">
        <v>-3.7313432835820892E-2</v>
      </c>
      <c r="E1091" s="7">
        <v>-2.6485594237695032E-2</v>
      </c>
      <c r="F1091" s="7">
        <v>-3.1971323723489764E-3</v>
      </c>
      <c r="G1091" s="7"/>
      <c r="H1091" s="7">
        <f t="shared" ref="H1091:H1154" si="71">B1091-$F1091</f>
        <v>6.1252036645196295E-3</v>
      </c>
      <c r="I1091" s="7">
        <f t="shared" ref="I1091:I1154" si="72">C1091-$F1091</f>
        <v>5.6186290134987438E-3</v>
      </c>
      <c r="J1091" s="7">
        <f t="shared" ref="J1091:J1154" si="73">D1091-$F1091</f>
        <v>-3.4116300463471916E-2</v>
      </c>
      <c r="K1091" s="7">
        <f t="shared" ref="K1091:K1154" si="74">E1091-$F1091</f>
        <v>-2.3288461865346055E-2</v>
      </c>
      <c r="L1091" s="7"/>
    </row>
    <row r="1092" spans="1:12" x14ac:dyDescent="0.25">
      <c r="A1092" s="2" t="s">
        <v>1126</v>
      </c>
      <c r="B1092" s="7">
        <v>1.6960124287933809E-2</v>
      </c>
      <c r="C1092" s="7">
        <v>2.584384055133615E-3</v>
      </c>
      <c r="D1092" s="7">
        <v>-2.8985507246376718E-2</v>
      </c>
      <c r="E1092" s="7">
        <v>-2.2730605660653991E-2</v>
      </c>
      <c r="F1092" s="7">
        <v>-1.3986489646171663E-3</v>
      </c>
      <c r="G1092" s="7"/>
      <c r="H1092" s="7">
        <f t="shared" si="71"/>
        <v>1.8358773252550975E-2</v>
      </c>
      <c r="I1092" s="7">
        <f t="shared" si="72"/>
        <v>3.9830330197507813E-3</v>
      </c>
      <c r="J1092" s="7">
        <f t="shared" si="73"/>
        <v>-2.7586858281759552E-2</v>
      </c>
      <c r="K1092" s="7">
        <f t="shared" si="74"/>
        <v>-2.1331956696036825E-2</v>
      </c>
      <c r="L1092" s="7"/>
    </row>
    <row r="1093" spans="1:12" x14ac:dyDescent="0.25">
      <c r="A1093" s="2" t="s">
        <v>1127</v>
      </c>
      <c r="B1093" s="7">
        <v>2.8495339547270238E-2</v>
      </c>
      <c r="C1093" s="7">
        <v>-1.7013086989992376E-2</v>
      </c>
      <c r="D1093" s="7">
        <v>-3.4965034965035002E-2</v>
      </c>
      <c r="E1093" s="7">
        <v>-0.11124144672531766</v>
      </c>
      <c r="F1093" s="7">
        <v>3.3847551651107199E-3</v>
      </c>
      <c r="G1093" s="7"/>
      <c r="H1093" s="7">
        <f t="shared" si="71"/>
        <v>2.5110584382159518E-2</v>
      </c>
      <c r="I1093" s="7">
        <f t="shared" si="72"/>
        <v>-2.0397842155103096E-2</v>
      </c>
      <c r="J1093" s="7">
        <f t="shared" si="73"/>
        <v>-3.8349790130145722E-2</v>
      </c>
      <c r="K1093" s="7">
        <f t="shared" si="74"/>
        <v>-0.11462620189042838</v>
      </c>
      <c r="L1093" s="7"/>
    </row>
    <row r="1094" spans="1:12" x14ac:dyDescent="0.25">
      <c r="A1094" s="2" t="s">
        <v>1128</v>
      </c>
      <c r="B1094" s="7">
        <v>1.6513264753654555E-2</v>
      </c>
      <c r="C1094" s="7">
        <v>-1.5394088669939965E-4</v>
      </c>
      <c r="D1094" s="7">
        <v>-2.0547945205479423E-2</v>
      </c>
      <c r="E1094" s="7">
        <v>-4.0697674418604723E-2</v>
      </c>
      <c r="F1094" s="7">
        <v>-2.6016294752068125E-3</v>
      </c>
      <c r="G1094" s="7"/>
      <c r="H1094" s="7">
        <f t="shared" si="71"/>
        <v>1.9114894228861368E-2</v>
      </c>
      <c r="I1094" s="7">
        <f t="shared" si="72"/>
        <v>2.4476885885074129E-3</v>
      </c>
      <c r="J1094" s="7">
        <f t="shared" si="73"/>
        <v>-1.7946315730272611E-2</v>
      </c>
      <c r="K1094" s="7">
        <f t="shared" si="74"/>
        <v>-3.8096044943397911E-2</v>
      </c>
      <c r="L1094" s="7"/>
    </row>
    <row r="1095" spans="1:12" x14ac:dyDescent="0.25">
      <c r="A1095" s="2" t="s">
        <v>1129</v>
      </c>
      <c r="B1095" s="7">
        <v>6.6766589453604031E-3</v>
      </c>
      <c r="C1095" s="7">
        <v>3.079765937787915E-4</v>
      </c>
      <c r="D1095" s="7">
        <v>-3.3112582781457012E-2</v>
      </c>
      <c r="E1095" s="7">
        <v>1.1380880121396153E-2</v>
      </c>
      <c r="F1095" s="7">
        <v>3.8652088494062209E-3</v>
      </c>
      <c r="G1095" s="7"/>
      <c r="H1095" s="7">
        <f t="shared" si="71"/>
        <v>2.8114500959541822E-3</v>
      </c>
      <c r="I1095" s="7">
        <f t="shared" si="72"/>
        <v>-3.5572322556274294E-3</v>
      </c>
      <c r="J1095" s="7">
        <f t="shared" si="73"/>
        <v>-3.6977791630863233E-2</v>
      </c>
      <c r="K1095" s="7">
        <f t="shared" si="74"/>
        <v>7.5156712719899321E-3</v>
      </c>
      <c r="L1095" s="7"/>
    </row>
    <row r="1096" spans="1:12" x14ac:dyDescent="0.25">
      <c r="A1096" s="2" t="s">
        <v>207</v>
      </c>
      <c r="B1096" s="7">
        <v>6.8133814812298965E-5</v>
      </c>
      <c r="C1096" s="7">
        <v>-1.921155767309668E-3</v>
      </c>
      <c r="D1096" s="7">
        <v>0</v>
      </c>
      <c r="E1096" s="7">
        <v>-1.641206918318372E-3</v>
      </c>
      <c r="F1096" s="7">
        <v>-1.0677258507119092E-5</v>
      </c>
      <c r="G1096" s="7"/>
      <c r="H1096" s="7">
        <f t="shared" si="71"/>
        <v>7.8811073319418057E-5</v>
      </c>
      <c r="I1096" s="7">
        <f t="shared" si="72"/>
        <v>-1.9104785088025489E-3</v>
      </c>
      <c r="J1096" s="7">
        <f t="shared" si="73"/>
        <v>1.0677258507119092E-5</v>
      </c>
      <c r="K1096" s="7">
        <f t="shared" si="74"/>
        <v>-1.6305296598112529E-3</v>
      </c>
      <c r="L1096" s="7"/>
    </row>
    <row r="1097" spans="1:12" x14ac:dyDescent="0.25">
      <c r="A1097" s="2" t="s">
        <v>1130</v>
      </c>
      <c r="B1097" s="7">
        <v>1.4305459571527512E-2</v>
      </c>
      <c r="C1097" s="7">
        <v>1.9188596491227949E-2</v>
      </c>
      <c r="D1097" s="7">
        <v>-1.3071895424836666E-2</v>
      </c>
      <c r="E1097" s="7">
        <v>-6.2104008531460586E-3</v>
      </c>
      <c r="F1097" s="7">
        <v>7.2226392530441164E-3</v>
      </c>
      <c r="G1097" s="7"/>
      <c r="H1097" s="7">
        <f t="shared" si="71"/>
        <v>7.082820318483396E-3</v>
      </c>
      <c r="I1097" s="7">
        <f t="shared" si="72"/>
        <v>1.1965957238183833E-2</v>
      </c>
      <c r="J1097" s="7">
        <f t="shared" si="73"/>
        <v>-2.0294534677880782E-2</v>
      </c>
      <c r="K1097" s="7">
        <f t="shared" si="74"/>
        <v>-1.3433040106190175E-2</v>
      </c>
      <c r="L1097" s="7"/>
    </row>
    <row r="1098" spans="1:12" x14ac:dyDescent="0.25">
      <c r="A1098" s="2" t="s">
        <v>1131</v>
      </c>
      <c r="B1098" s="7">
        <v>-3.4542314335073154E-4</v>
      </c>
      <c r="C1098" s="7">
        <v>-1.2147001934235901E-2</v>
      </c>
      <c r="D1098" s="7">
        <v>6.5789473684210176E-3</v>
      </c>
      <c r="E1098" s="7">
        <v>2.3696378114564487E-2</v>
      </c>
      <c r="F1098" s="7">
        <v>5.5092743037565839E-4</v>
      </c>
      <c r="G1098" s="7"/>
      <c r="H1098" s="7">
        <f t="shared" si="71"/>
        <v>-8.9635057372638993E-4</v>
      </c>
      <c r="I1098" s="7">
        <f t="shared" si="72"/>
        <v>-1.269792936461156E-2</v>
      </c>
      <c r="J1098" s="7">
        <f t="shared" si="73"/>
        <v>6.0280199380453592E-3</v>
      </c>
      <c r="K1098" s="7">
        <f t="shared" si="74"/>
        <v>2.3145450684188829E-2</v>
      </c>
      <c r="L1098" s="7"/>
    </row>
    <row r="1099" spans="1:12" x14ac:dyDescent="0.25">
      <c r="A1099" s="2" t="s">
        <v>1132</v>
      </c>
      <c r="B1099" s="7">
        <v>-1.9109575116893596E-2</v>
      </c>
      <c r="C1099" s="7">
        <v>5.9931506849315586E-3</v>
      </c>
      <c r="D1099" s="7">
        <v>-3.7974683544303778E-2</v>
      </c>
      <c r="E1099" s="7">
        <v>2.359823834878072E-2</v>
      </c>
      <c r="F1099" s="7">
        <v>-8.2258150578944367E-3</v>
      </c>
      <c r="G1099" s="7"/>
      <c r="H1099" s="7">
        <f t="shared" si="71"/>
        <v>-1.0883760058999159E-2</v>
      </c>
      <c r="I1099" s="7">
        <f t="shared" si="72"/>
        <v>1.4218965742825995E-2</v>
      </c>
      <c r="J1099" s="7">
        <f t="shared" si="73"/>
        <v>-2.9748868486409341E-2</v>
      </c>
      <c r="K1099" s="7">
        <f t="shared" si="74"/>
        <v>3.1824053406675157E-2</v>
      </c>
      <c r="L1099" s="7"/>
    </row>
    <row r="1100" spans="1:12" x14ac:dyDescent="0.25">
      <c r="A1100" s="2" t="s">
        <v>1133</v>
      </c>
      <c r="B1100" s="7">
        <v>2.4454860403504419E-3</v>
      </c>
      <c r="C1100" s="7">
        <v>-1.166135427194348E-3</v>
      </c>
      <c r="D1100" s="7">
        <v>-6.2893081761006275E-3</v>
      </c>
      <c r="E1100" s="7">
        <v>-1.2142857142857122E-2</v>
      </c>
      <c r="F1100" s="7">
        <v>-3.4987345002870374E-3</v>
      </c>
      <c r="G1100" s="7"/>
      <c r="H1100" s="7">
        <f t="shared" si="71"/>
        <v>5.9442205406374793E-3</v>
      </c>
      <c r="I1100" s="7">
        <f t="shared" si="72"/>
        <v>2.3325990730926893E-3</v>
      </c>
      <c r="J1100" s="7">
        <f t="shared" si="73"/>
        <v>-2.7905736758135902E-3</v>
      </c>
      <c r="K1100" s="7">
        <f t="shared" si="74"/>
        <v>-8.6441226425700846E-3</v>
      </c>
      <c r="L1100" s="7"/>
    </row>
    <row r="1101" spans="1:12" x14ac:dyDescent="0.25">
      <c r="A1101" s="2" t="s">
        <v>208</v>
      </c>
      <c r="B1101" s="7">
        <v>-5.5394176856041755E-3</v>
      </c>
      <c r="C1101" s="7">
        <v>-1.3974070336154609E-3</v>
      </c>
      <c r="D1101" s="7">
        <v>-2.4539877300613355E-2</v>
      </c>
      <c r="E1101" s="7">
        <v>2.1558872305140975E-2</v>
      </c>
      <c r="F1101" s="7">
        <v>8.8770055752696031E-4</v>
      </c>
      <c r="G1101" s="7"/>
      <c r="H1101" s="7">
        <f t="shared" si="71"/>
        <v>-6.4271182431311358E-3</v>
      </c>
      <c r="I1101" s="7">
        <f t="shared" si="72"/>
        <v>-2.2851075911424212E-3</v>
      </c>
      <c r="J1101" s="7">
        <f t="shared" si="73"/>
        <v>-2.5427577858140316E-2</v>
      </c>
      <c r="K1101" s="7">
        <f t="shared" si="74"/>
        <v>2.0671171747614014E-2</v>
      </c>
      <c r="L1101" s="7"/>
    </row>
    <row r="1102" spans="1:12" x14ac:dyDescent="0.25">
      <c r="A1102" s="2" t="s">
        <v>1134</v>
      </c>
      <c r="B1102" s="7">
        <v>3.5932203389830164E-3</v>
      </c>
      <c r="C1102" s="7">
        <v>6.5640384465108781E-3</v>
      </c>
      <c r="D1102" s="7">
        <v>2.5157232704402288E-2</v>
      </c>
      <c r="E1102" s="7">
        <v>-3.6741214057507965E-2</v>
      </c>
      <c r="F1102" s="7">
        <v>3.7328581257503046E-3</v>
      </c>
      <c r="G1102" s="7"/>
      <c r="H1102" s="7">
        <f t="shared" si="71"/>
        <v>-1.3963778676728822E-4</v>
      </c>
      <c r="I1102" s="7">
        <f t="shared" si="72"/>
        <v>2.8311803207605735E-3</v>
      </c>
      <c r="J1102" s="7">
        <f t="shared" si="73"/>
        <v>2.1424374578651983E-2</v>
      </c>
      <c r="K1102" s="7">
        <f t="shared" si="74"/>
        <v>-4.0474072183258269E-2</v>
      </c>
      <c r="L1102" s="7"/>
    </row>
    <row r="1103" spans="1:12" x14ac:dyDescent="0.25">
      <c r="A1103" s="2" t="s">
        <v>1135</v>
      </c>
      <c r="B1103" s="7">
        <v>-3.5130387785434758E-3</v>
      </c>
      <c r="C1103" s="7">
        <v>-8.8296801177292217E-3</v>
      </c>
      <c r="D1103" s="7">
        <v>-1.2422360248447228E-2</v>
      </c>
      <c r="E1103" s="7">
        <v>-8.7408158094754995E-3</v>
      </c>
      <c r="F1103" s="7">
        <v>4.1818919145084621E-3</v>
      </c>
      <c r="G1103" s="7"/>
      <c r="H1103" s="7">
        <f t="shared" si="71"/>
        <v>-7.6949306930519379E-3</v>
      </c>
      <c r="I1103" s="7">
        <f t="shared" si="72"/>
        <v>-1.3011572032237684E-2</v>
      </c>
      <c r="J1103" s="7">
        <f t="shared" si="73"/>
        <v>-1.6604252162955691E-2</v>
      </c>
      <c r="K1103" s="7">
        <f t="shared" si="74"/>
        <v>-1.2922707723983962E-2</v>
      </c>
      <c r="L1103" s="7"/>
    </row>
    <row r="1104" spans="1:12" x14ac:dyDescent="0.25">
      <c r="A1104" s="2" t="s">
        <v>1136</v>
      </c>
      <c r="B1104" s="7">
        <v>9.7550992564294781E-3</v>
      </c>
      <c r="C1104" s="7">
        <v>1.39610641433352E-3</v>
      </c>
      <c r="D1104" s="7">
        <v>0</v>
      </c>
      <c r="E1104" s="7">
        <v>2.0489948936720292E-2</v>
      </c>
      <c r="F1104" s="7">
        <v>6.4612959303769202E-3</v>
      </c>
      <c r="G1104" s="7"/>
      <c r="H1104" s="7">
        <f t="shared" si="71"/>
        <v>3.2938033260525579E-3</v>
      </c>
      <c r="I1104" s="7">
        <f t="shared" si="72"/>
        <v>-5.0651895160434002E-3</v>
      </c>
      <c r="J1104" s="7">
        <f t="shared" si="73"/>
        <v>-6.4612959303769202E-3</v>
      </c>
      <c r="K1104" s="7">
        <f t="shared" si="74"/>
        <v>1.4028653006343372E-2</v>
      </c>
      <c r="L1104" s="7"/>
    </row>
    <row r="1105" spans="1:12" x14ac:dyDescent="0.25">
      <c r="A1105" s="2" t="s">
        <v>1137</v>
      </c>
      <c r="B1105" s="7">
        <v>7.1453108897285844E-3</v>
      </c>
      <c r="C1105" s="7">
        <v>1.3281986796604972E-2</v>
      </c>
      <c r="D1105" s="7">
        <v>-3.0120481927710774E-2</v>
      </c>
      <c r="E1105" s="7">
        <v>-4.2695377761277187E-2</v>
      </c>
      <c r="F1105" s="7">
        <v>3.6803672564356127E-3</v>
      </c>
      <c r="G1105" s="7"/>
      <c r="H1105" s="7">
        <f t="shared" si="71"/>
        <v>3.4649436332929717E-3</v>
      </c>
      <c r="I1105" s="7">
        <f t="shared" si="72"/>
        <v>9.6016195401693594E-3</v>
      </c>
      <c r="J1105" s="7">
        <f t="shared" si="73"/>
        <v>-3.3800849184146387E-2</v>
      </c>
      <c r="K1105" s="7">
        <f t="shared" si="74"/>
        <v>-4.6375745017712799E-2</v>
      </c>
      <c r="L1105" s="7"/>
    </row>
    <row r="1106" spans="1:12" x14ac:dyDescent="0.25">
      <c r="A1106" s="2" t="s">
        <v>209</v>
      </c>
      <c r="B1106" s="7">
        <v>-5.6022408963585235E-3</v>
      </c>
      <c r="C1106" s="7">
        <v>5.0552922590836324E-3</v>
      </c>
      <c r="D1106" s="7">
        <v>1.8404907975460238E-2</v>
      </c>
      <c r="E1106" s="7">
        <v>3.1728804902962482E-2</v>
      </c>
      <c r="F1106" s="7">
        <v>1.8000686154020507E-3</v>
      </c>
      <c r="G1106" s="7"/>
      <c r="H1106" s="7">
        <f t="shared" si="71"/>
        <v>-7.4023095117605742E-3</v>
      </c>
      <c r="I1106" s="7">
        <f t="shared" si="72"/>
        <v>3.2552236436815818E-3</v>
      </c>
      <c r="J1106" s="7">
        <f t="shared" si="73"/>
        <v>1.6604839360058188E-2</v>
      </c>
      <c r="K1106" s="7">
        <f t="shared" si="74"/>
        <v>2.9928736287560431E-2</v>
      </c>
      <c r="L1106" s="7"/>
    </row>
    <row r="1107" spans="1:12" x14ac:dyDescent="0.25">
      <c r="A1107" s="2" t="s">
        <v>1138</v>
      </c>
      <c r="B1107" s="7">
        <v>-1.8178159377515435E-2</v>
      </c>
      <c r="C1107" s="7">
        <v>-6.5913370998117449E-3</v>
      </c>
      <c r="D1107" s="7">
        <v>1.8749999999999822E-2</v>
      </c>
      <c r="E1107" s="7">
        <v>-2.8589147286821825E-2</v>
      </c>
      <c r="F1107" s="7">
        <v>1.9493431844783693E-3</v>
      </c>
      <c r="G1107" s="7"/>
      <c r="H1107" s="7">
        <f t="shared" si="71"/>
        <v>-2.0127502561993804E-2</v>
      </c>
      <c r="I1107" s="7">
        <f t="shared" si="72"/>
        <v>-8.5406802842901142E-3</v>
      </c>
      <c r="J1107" s="7">
        <f t="shared" si="73"/>
        <v>1.6800656815521453E-2</v>
      </c>
      <c r="K1107" s="7">
        <f t="shared" si="74"/>
        <v>-3.0538490471300195E-2</v>
      </c>
      <c r="L1107" s="7"/>
    </row>
    <row r="1108" spans="1:12" x14ac:dyDescent="0.25">
      <c r="A1108" s="2" t="s">
        <v>1139</v>
      </c>
      <c r="B1108" s="7">
        <v>2.5027502750275099E-2</v>
      </c>
      <c r="C1108" s="7">
        <v>9.1060258136035355E-3</v>
      </c>
      <c r="D1108" s="7">
        <v>0</v>
      </c>
      <c r="E1108" s="7">
        <v>3.2976605276255899E-3</v>
      </c>
      <c r="F1108" s="7">
        <v>9.8293377390326064E-3</v>
      </c>
      <c r="G1108" s="7"/>
      <c r="H1108" s="7">
        <f t="shared" si="71"/>
        <v>1.5198165011242493E-2</v>
      </c>
      <c r="I1108" s="7">
        <f t="shared" si="72"/>
        <v>-7.2331192542907097E-4</v>
      </c>
      <c r="J1108" s="7">
        <f t="shared" si="73"/>
        <v>-9.8293377390326064E-3</v>
      </c>
      <c r="K1108" s="7">
        <f t="shared" si="74"/>
        <v>-6.5316772114070165E-3</v>
      </c>
      <c r="L1108" s="7"/>
    </row>
    <row r="1109" spans="1:12" x14ac:dyDescent="0.25">
      <c r="A1109" s="2" t="s">
        <v>1140</v>
      </c>
      <c r="B1109" s="7">
        <v>-3.1528444139822254E-3</v>
      </c>
      <c r="C1109" s="7">
        <v>-2.1538699930270244E-2</v>
      </c>
      <c r="D1109" s="7">
        <v>-2.4390243902438935E-2</v>
      </c>
      <c r="E1109" s="7">
        <v>-4.4598612487611877E-3</v>
      </c>
      <c r="F1109" s="7">
        <v>-5.0515979968478453E-3</v>
      </c>
      <c r="G1109" s="7"/>
      <c r="H1109" s="7">
        <f t="shared" si="71"/>
        <v>1.8987535828656199E-3</v>
      </c>
      <c r="I1109" s="7">
        <f t="shared" si="72"/>
        <v>-1.6487101933422399E-2</v>
      </c>
      <c r="J1109" s="7">
        <f t="shared" si="73"/>
        <v>-1.933864590559109E-2</v>
      </c>
      <c r="K1109" s="7">
        <f t="shared" si="74"/>
        <v>5.9173674808665755E-4</v>
      </c>
      <c r="L1109" s="7"/>
    </row>
    <row r="1110" spans="1:12" x14ac:dyDescent="0.25">
      <c r="A1110" s="2" t="s">
        <v>1141</v>
      </c>
      <c r="B1110" s="7">
        <v>4.5442026989810369E-3</v>
      </c>
      <c r="C1110" s="7">
        <v>-1.3153822346023691E-3</v>
      </c>
      <c r="D1110" s="7">
        <v>-1.7964071856287456E-2</v>
      </c>
      <c r="E1110" s="7">
        <v>-3.5084573546112052E-2</v>
      </c>
      <c r="F1110" s="7">
        <v>1.8197824144636776E-3</v>
      </c>
      <c r="G1110" s="7"/>
      <c r="H1110" s="7">
        <f t="shared" si="71"/>
        <v>2.7244202845173593E-3</v>
      </c>
      <c r="I1110" s="7">
        <f t="shared" si="72"/>
        <v>-3.1351646490660467E-3</v>
      </c>
      <c r="J1110" s="7">
        <f t="shared" si="73"/>
        <v>-1.9783854270751133E-2</v>
      </c>
      <c r="K1110" s="7">
        <f t="shared" si="74"/>
        <v>-3.690435596057573E-2</v>
      </c>
      <c r="L1110" s="7"/>
    </row>
    <row r="1111" spans="1:12" x14ac:dyDescent="0.25">
      <c r="A1111" s="2" t="s">
        <v>210</v>
      </c>
      <c r="B1111" s="7">
        <v>-3.441393075915844E-4</v>
      </c>
      <c r="C1111" s="7">
        <v>8.8992974238877309E-3</v>
      </c>
      <c r="D1111" s="7">
        <v>6.0240963855422436E-3</v>
      </c>
      <c r="E1111" s="7">
        <v>-8.5920834320928341E-3</v>
      </c>
      <c r="F1111" s="7">
        <v>4.7481792778718557E-3</v>
      </c>
      <c r="G1111" s="7"/>
      <c r="H1111" s="7">
        <f t="shared" si="71"/>
        <v>-5.0923185854634401E-3</v>
      </c>
      <c r="I1111" s="7">
        <f t="shared" si="72"/>
        <v>4.1511181460158753E-3</v>
      </c>
      <c r="J1111" s="7">
        <f t="shared" si="73"/>
        <v>1.2759171076703879E-3</v>
      </c>
      <c r="K1111" s="7">
        <f t="shared" si="74"/>
        <v>-1.334026270996469E-2</v>
      </c>
      <c r="L1111" s="7"/>
    </row>
    <row r="1112" spans="1:12" x14ac:dyDescent="0.25">
      <c r="A1112" s="2" t="s">
        <v>1142</v>
      </c>
      <c r="B1112" s="7">
        <v>-5.2718061070793354E-3</v>
      </c>
      <c r="C1112" s="7">
        <v>-7.2845629262243694E-3</v>
      </c>
      <c r="D1112" s="7">
        <v>-5.9880239520958556E-3</v>
      </c>
      <c r="E1112" s="7">
        <v>1.6024689892573107E-3</v>
      </c>
      <c r="F1112" s="7">
        <v>-1.0725793335062406E-3</v>
      </c>
      <c r="G1112" s="7"/>
      <c r="H1112" s="7">
        <f t="shared" si="71"/>
        <v>-4.1992267735730948E-3</v>
      </c>
      <c r="I1112" s="7">
        <f t="shared" si="72"/>
        <v>-6.2119835927181288E-3</v>
      </c>
      <c r="J1112" s="7">
        <f t="shared" si="73"/>
        <v>-4.915444618589615E-3</v>
      </c>
      <c r="K1112" s="7">
        <f t="shared" si="74"/>
        <v>2.6750483227635513E-3</v>
      </c>
      <c r="L1112" s="7"/>
    </row>
    <row r="1113" spans="1:12" x14ac:dyDescent="0.25">
      <c r="A1113" s="2" t="s">
        <v>1143</v>
      </c>
      <c r="B1113" s="7">
        <v>1.5085024684586834E-3</v>
      </c>
      <c r="C1113" s="7">
        <v>-1.6247582205030087E-3</v>
      </c>
      <c r="D1113" s="7">
        <v>-3.4682080924855474E-2</v>
      </c>
      <c r="E1113" s="7">
        <v>1.3074225946394513E-3</v>
      </c>
      <c r="F1113" s="7">
        <v>2.995906256131331E-3</v>
      </c>
      <c r="G1113" s="7"/>
      <c r="H1113" s="7">
        <f t="shared" si="71"/>
        <v>-1.4874037876726476E-3</v>
      </c>
      <c r="I1113" s="7">
        <f t="shared" si="72"/>
        <v>-4.6206644766343397E-3</v>
      </c>
      <c r="J1113" s="7">
        <f t="shared" si="73"/>
        <v>-3.7677987180986805E-2</v>
      </c>
      <c r="K1113" s="7">
        <f t="shared" si="74"/>
        <v>-1.6884836614918797E-3</v>
      </c>
      <c r="L1113" s="7"/>
    </row>
    <row r="1114" spans="1:12" x14ac:dyDescent="0.25">
      <c r="A1114" s="2" t="s">
        <v>1144</v>
      </c>
      <c r="B1114" s="7">
        <v>3.302146395156802E-3</v>
      </c>
      <c r="C1114" s="7">
        <v>6.1933885577158954E-4</v>
      </c>
      <c r="D1114" s="7">
        <v>-3.3519553072625774E-2</v>
      </c>
      <c r="E1114" s="7">
        <v>1.0113027959548493E-3</v>
      </c>
      <c r="F1114" s="7">
        <v>3.6640167447334893E-3</v>
      </c>
      <c r="G1114" s="7"/>
      <c r="H1114" s="7">
        <f t="shared" si="71"/>
        <v>-3.6187034957668729E-4</v>
      </c>
      <c r="I1114" s="7">
        <f t="shared" si="72"/>
        <v>-3.0446778889618997E-3</v>
      </c>
      <c r="J1114" s="7">
        <f t="shared" si="73"/>
        <v>-3.7183569817359263E-2</v>
      </c>
      <c r="K1114" s="7">
        <f t="shared" si="74"/>
        <v>-2.65271394877864E-3</v>
      </c>
      <c r="L1114" s="7"/>
    </row>
    <row r="1115" spans="1:12" x14ac:dyDescent="0.25">
      <c r="A1115" s="2" t="s">
        <v>1145</v>
      </c>
      <c r="B1115" s="7">
        <v>1.5083798882681743E-2</v>
      </c>
      <c r="C1115" s="7">
        <v>3.262135922329934E-3</v>
      </c>
      <c r="D1115" s="7">
        <v>5.9171597633136175E-2</v>
      </c>
      <c r="E1115" s="7">
        <v>6.103641986997399E-2</v>
      </c>
      <c r="F1115" s="7">
        <v>7.3933569005406596E-3</v>
      </c>
      <c r="G1115" s="7"/>
      <c r="H1115" s="7">
        <f t="shared" si="71"/>
        <v>7.690441982141083E-3</v>
      </c>
      <c r="I1115" s="7">
        <f t="shared" si="72"/>
        <v>-4.1312209782107256E-3</v>
      </c>
      <c r="J1115" s="7">
        <f t="shared" si="73"/>
        <v>5.1778240732595515E-2</v>
      </c>
      <c r="K1115" s="7">
        <f t="shared" si="74"/>
        <v>5.3643062969433331E-2</v>
      </c>
      <c r="L1115" s="7"/>
    </row>
    <row r="1116" spans="1:12" x14ac:dyDescent="0.25">
      <c r="A1116" s="2" t="s">
        <v>211</v>
      </c>
      <c r="B1116" s="7">
        <v>1.1871113623515894E-2</v>
      </c>
      <c r="C1116" s="7">
        <v>-1.2411760142735373E-3</v>
      </c>
      <c r="D1116" s="7">
        <v>0</v>
      </c>
      <c r="E1116" s="7">
        <v>-7.0197430272641581E-3</v>
      </c>
      <c r="F1116" s="7">
        <v>3.3748045900920953E-3</v>
      </c>
      <c r="G1116" s="7"/>
      <c r="H1116" s="7">
        <f t="shared" si="71"/>
        <v>8.496309033423799E-3</v>
      </c>
      <c r="I1116" s="7">
        <f t="shared" si="72"/>
        <v>-4.6159806043656326E-3</v>
      </c>
      <c r="J1116" s="7">
        <f t="shared" si="73"/>
        <v>-3.3748045900920953E-3</v>
      </c>
      <c r="K1116" s="7">
        <f t="shared" si="74"/>
        <v>-1.0394547617356253E-2</v>
      </c>
      <c r="L1116" s="7"/>
    </row>
    <row r="1117" spans="1:12" x14ac:dyDescent="0.25">
      <c r="A1117" s="2" t="s">
        <v>1146</v>
      </c>
      <c r="B1117" s="7">
        <v>7.4749056738094843E-3</v>
      </c>
      <c r="C1117" s="7">
        <v>9.001252348152633E-3</v>
      </c>
      <c r="D1117" s="7">
        <v>5.9523809523809312E-3</v>
      </c>
      <c r="E1117" s="7">
        <v>7.3236946776944478E-3</v>
      </c>
      <c r="F1117" s="7">
        <v>7.4601307719690535E-3</v>
      </c>
      <c r="G1117" s="7"/>
      <c r="H1117" s="7">
        <f t="shared" si="71"/>
        <v>1.4774901840430843E-5</v>
      </c>
      <c r="I1117" s="7">
        <f t="shared" si="72"/>
        <v>1.5411215761835795E-3</v>
      </c>
      <c r="J1117" s="7">
        <f t="shared" si="73"/>
        <v>-1.5077498195881223E-3</v>
      </c>
      <c r="K1117" s="7">
        <f t="shared" si="74"/>
        <v>-1.3643609427460568E-4</v>
      </c>
      <c r="L1117" s="7"/>
    </row>
    <row r="1118" spans="1:12" x14ac:dyDescent="0.25">
      <c r="A1118" s="2" t="s">
        <v>1147</v>
      </c>
      <c r="B1118" s="7">
        <v>2.026438117373619E-2</v>
      </c>
      <c r="C1118" s="7">
        <v>1.7764677766270998E-2</v>
      </c>
      <c r="D1118" s="7">
        <v>-2.3255813953488413E-2</v>
      </c>
      <c r="E1118" s="7">
        <v>-3.7111586363064442E-3</v>
      </c>
      <c r="F1118" s="7">
        <v>1.706311013337003E-2</v>
      </c>
      <c r="G1118" s="7"/>
      <c r="H1118" s="7">
        <f t="shared" si="71"/>
        <v>3.2012710403661604E-3</v>
      </c>
      <c r="I1118" s="7">
        <f t="shared" si="72"/>
        <v>7.0156763290096791E-4</v>
      </c>
      <c r="J1118" s="7">
        <f t="shared" si="73"/>
        <v>-4.0318924086858443E-2</v>
      </c>
      <c r="K1118" s="7">
        <f t="shared" si="74"/>
        <v>-2.0774268769676474E-2</v>
      </c>
      <c r="L1118" s="7"/>
    </row>
    <row r="1119" spans="1:12" x14ac:dyDescent="0.25">
      <c r="A1119" s="2" t="s">
        <v>1148</v>
      </c>
      <c r="B1119" s="7">
        <v>-4.267013813553211E-3</v>
      </c>
      <c r="C1119" s="7">
        <v>9.3270081209293476E-3</v>
      </c>
      <c r="D1119" s="7">
        <v>-1.7142857142857126E-2</v>
      </c>
      <c r="E1119" s="7">
        <v>2.7002583979327976E-2</v>
      </c>
      <c r="F1119" s="7">
        <v>3.0225368623080229E-3</v>
      </c>
      <c r="G1119" s="7"/>
      <c r="H1119" s="7">
        <f t="shared" si="71"/>
        <v>-7.2895506758612338E-3</v>
      </c>
      <c r="I1119" s="7">
        <f t="shared" si="72"/>
        <v>6.3044712586213247E-3</v>
      </c>
      <c r="J1119" s="7">
        <f t="shared" si="73"/>
        <v>-2.0165394005165149E-2</v>
      </c>
      <c r="K1119" s="7">
        <f t="shared" si="74"/>
        <v>2.3980047117019954E-2</v>
      </c>
      <c r="L1119" s="7"/>
    </row>
    <row r="1120" spans="1:12" x14ac:dyDescent="0.25">
      <c r="A1120" s="2" t="s">
        <v>1149</v>
      </c>
      <c r="B1120" s="7">
        <v>-9.1013329511250296E-3</v>
      </c>
      <c r="C1120" s="7">
        <v>-4.2433947157726193E-3</v>
      </c>
      <c r="D1120" s="7">
        <v>0</v>
      </c>
      <c r="E1120" s="7">
        <v>-5.7803468208090791E-3</v>
      </c>
      <c r="F1120" s="7">
        <v>-2.4167715692277048E-3</v>
      </c>
      <c r="G1120" s="7"/>
      <c r="H1120" s="7">
        <f t="shared" si="71"/>
        <v>-6.6845613818973248E-3</v>
      </c>
      <c r="I1120" s="7">
        <f t="shared" si="72"/>
        <v>-1.8266231465449145E-3</v>
      </c>
      <c r="J1120" s="7">
        <f t="shared" si="73"/>
        <v>2.4167715692277048E-3</v>
      </c>
      <c r="K1120" s="7">
        <f t="shared" si="74"/>
        <v>-3.3635752515813744E-3</v>
      </c>
      <c r="L1120" s="7"/>
    </row>
    <row r="1121" spans="1:12" x14ac:dyDescent="0.25">
      <c r="A1121" s="2" t="s">
        <v>212</v>
      </c>
      <c r="B1121" s="7">
        <v>-6.4456062450768403E-4</v>
      </c>
      <c r="C1121" s="7">
        <v>-3.7489032463906558E-3</v>
      </c>
      <c r="D1121" s="7">
        <v>5.7471264367816577E-3</v>
      </c>
      <c r="E1121" s="7">
        <v>1.5059651867787904E-2</v>
      </c>
      <c r="F1121" s="7">
        <v>-6.8657858421348195E-3</v>
      </c>
      <c r="G1121" s="7"/>
      <c r="H1121" s="7">
        <f t="shared" si="71"/>
        <v>6.2212252176271354E-3</v>
      </c>
      <c r="I1121" s="7">
        <f t="shared" si="72"/>
        <v>3.1168825957441637E-3</v>
      </c>
      <c r="J1121" s="7">
        <f t="shared" si="73"/>
        <v>1.2612912278916477E-2</v>
      </c>
      <c r="K1121" s="7">
        <f t="shared" si="74"/>
        <v>2.1925437709922724E-2</v>
      </c>
      <c r="L1121" s="7"/>
    </row>
    <row r="1122" spans="1:12" x14ac:dyDescent="0.25">
      <c r="A1122" s="2" t="s">
        <v>1150</v>
      </c>
      <c r="B1122" s="7">
        <v>-2.7140918505820233E-3</v>
      </c>
      <c r="C1122" s="7">
        <v>-4.8420384187966015E-3</v>
      </c>
      <c r="D1122" s="7">
        <v>-3.8674033149171283E-2</v>
      </c>
      <c r="E1122" s="7">
        <v>3.5369557880526425E-2</v>
      </c>
      <c r="F1122" s="7">
        <v>-1.9137407494954628E-3</v>
      </c>
      <c r="G1122" s="7"/>
      <c r="H1122" s="7">
        <f t="shared" si="71"/>
        <v>-8.0035110108656049E-4</v>
      </c>
      <c r="I1122" s="7">
        <f t="shared" si="72"/>
        <v>-2.9282976693011387E-3</v>
      </c>
      <c r="J1122" s="7">
        <f t="shared" si="73"/>
        <v>-3.676029239967582E-2</v>
      </c>
      <c r="K1122" s="7">
        <f t="shared" si="74"/>
        <v>3.7283298630021888E-2</v>
      </c>
      <c r="L1122" s="7"/>
    </row>
    <row r="1123" spans="1:12" x14ac:dyDescent="0.25">
      <c r="A1123" s="2" t="s">
        <v>1151</v>
      </c>
      <c r="B1123" s="7">
        <v>9.0810810810810771E-3</v>
      </c>
      <c r="C1123" s="7">
        <v>-3.3227848101266E-3</v>
      </c>
      <c r="D1123" s="7">
        <v>-1.6304347826086918E-2</v>
      </c>
      <c r="E1123" s="7">
        <v>8.2572159298502035E-2</v>
      </c>
      <c r="F1123" s="7">
        <v>8.2982892369745098E-3</v>
      </c>
      <c r="G1123" s="7"/>
      <c r="H1123" s="7">
        <f t="shared" si="71"/>
        <v>7.8279184410656732E-4</v>
      </c>
      <c r="I1123" s="7">
        <f t="shared" si="72"/>
        <v>-1.162107404710111E-2</v>
      </c>
      <c r="J1123" s="7">
        <f t="shared" si="73"/>
        <v>-2.4602637063061428E-2</v>
      </c>
      <c r="K1123" s="7">
        <f t="shared" si="74"/>
        <v>7.4273870061527525E-2</v>
      </c>
      <c r="L1123" s="7"/>
    </row>
    <row r="1124" spans="1:12" x14ac:dyDescent="0.25">
      <c r="A1124" s="2" t="s">
        <v>1152</v>
      </c>
      <c r="B1124" s="7">
        <v>6.3098346388164028E-3</v>
      </c>
      <c r="C1124" s="7">
        <v>2.9358089343807237E-3</v>
      </c>
      <c r="D1124" s="7">
        <v>-2.1276595744680771E-2</v>
      </c>
      <c r="E1124" s="7">
        <v>6.6941297631306629E-3</v>
      </c>
      <c r="F1124" s="7">
        <v>4.1028874386752623E-3</v>
      </c>
      <c r="G1124" s="7"/>
      <c r="H1124" s="7">
        <f t="shared" si="71"/>
        <v>2.2069472001411405E-3</v>
      </c>
      <c r="I1124" s="7">
        <f t="shared" si="72"/>
        <v>-1.1670785042945386E-3</v>
      </c>
      <c r="J1124" s="7">
        <f t="shared" si="73"/>
        <v>-2.5379483183356033E-2</v>
      </c>
      <c r="K1124" s="7">
        <f t="shared" si="74"/>
        <v>2.5912423244554006E-3</v>
      </c>
      <c r="L1124" s="7"/>
    </row>
    <row r="1125" spans="1:12" x14ac:dyDescent="0.25">
      <c r="A1125" s="2" t="s">
        <v>1153</v>
      </c>
      <c r="B1125" s="7">
        <v>1.4121800529567352E-2</v>
      </c>
      <c r="C1125" s="7">
        <v>1.0422512627274783E-2</v>
      </c>
      <c r="D1125" s="7">
        <v>-2.5906735751295318E-2</v>
      </c>
      <c r="E1125" s="7">
        <v>2.5111228414146591E-2</v>
      </c>
      <c r="F1125" s="7">
        <v>1.0524455523362564E-2</v>
      </c>
      <c r="G1125" s="7"/>
      <c r="H1125" s="7">
        <f t="shared" si="71"/>
        <v>3.5973450062047885E-3</v>
      </c>
      <c r="I1125" s="7">
        <f t="shared" si="72"/>
        <v>-1.0194289608778107E-4</v>
      </c>
      <c r="J1125" s="7">
        <f t="shared" si="73"/>
        <v>-3.6431191274657881E-2</v>
      </c>
      <c r="K1125" s="7">
        <f t="shared" si="74"/>
        <v>1.4586772890784028E-2</v>
      </c>
      <c r="L1125" s="7"/>
    </row>
    <row r="1126" spans="1:12" x14ac:dyDescent="0.25">
      <c r="A1126" s="2" t="s">
        <v>213</v>
      </c>
      <c r="B1126" s="7">
        <v>-2.4537236332328849E-2</v>
      </c>
      <c r="C1126" s="7">
        <v>-3.5948234542259039E-3</v>
      </c>
      <c r="D1126" s="7">
        <v>-3.5000000000000031E-2</v>
      </c>
      <c r="E1126" s="7">
        <v>-3.1690397955458027E-2</v>
      </c>
      <c r="F1126" s="7">
        <v>-1.2985880322420762E-2</v>
      </c>
      <c r="G1126" s="7"/>
      <c r="H1126" s="7">
        <f t="shared" si="71"/>
        <v>-1.1551356009908087E-2</v>
      </c>
      <c r="I1126" s="7">
        <f t="shared" si="72"/>
        <v>9.3910568681948581E-3</v>
      </c>
      <c r="J1126" s="7">
        <f t="shared" si="73"/>
        <v>-2.2014119677579269E-2</v>
      </c>
      <c r="K1126" s="7">
        <f t="shared" si="74"/>
        <v>-1.8704517633037265E-2</v>
      </c>
      <c r="L1126" s="7"/>
    </row>
    <row r="1127" spans="1:12" x14ac:dyDescent="0.25">
      <c r="A1127" s="2" t="s">
        <v>1154</v>
      </c>
      <c r="B1127" s="7">
        <v>8.1006798784897249E-3</v>
      </c>
      <c r="C1127" s="7">
        <v>7.1606726204842541E-3</v>
      </c>
      <c r="D1127" s="7">
        <v>0.12359550561797761</v>
      </c>
      <c r="E1127" s="7">
        <v>-2.5960170697012841E-2</v>
      </c>
      <c r="F1127" s="7">
        <v>1.1491477734391298E-2</v>
      </c>
      <c r="G1127" s="7"/>
      <c r="H1127" s="7">
        <f t="shared" si="71"/>
        <v>-3.3907978559015728E-3</v>
      </c>
      <c r="I1127" s="7">
        <f t="shared" si="72"/>
        <v>-4.3308051139070436E-3</v>
      </c>
      <c r="J1127" s="7">
        <f t="shared" si="73"/>
        <v>0.11210402788358631</v>
      </c>
      <c r="K1127" s="7">
        <f t="shared" si="74"/>
        <v>-3.7451648431404139E-2</v>
      </c>
      <c r="L1127" s="7"/>
    </row>
    <row r="1128" spans="1:12" x14ac:dyDescent="0.25">
      <c r="A1128" s="2" t="s">
        <v>1155</v>
      </c>
      <c r="B1128" s="7">
        <v>-9.3149899684724646E-3</v>
      </c>
      <c r="C1128" s="7">
        <v>-3.0196629213483095E-2</v>
      </c>
      <c r="D1128" s="7">
        <v>1.1363636363636465E-2</v>
      </c>
      <c r="E1128" s="7">
        <v>3.1392694063927529E-3</v>
      </c>
      <c r="F1128" s="7">
        <v>-1.1909731939276913E-2</v>
      </c>
      <c r="G1128" s="7"/>
      <c r="H1128" s="7">
        <f t="shared" si="71"/>
        <v>2.5947419708044483E-3</v>
      </c>
      <c r="I1128" s="7">
        <f t="shared" si="72"/>
        <v>-1.8286897274206182E-2</v>
      </c>
      <c r="J1128" s="7">
        <f t="shared" si="73"/>
        <v>2.3273368302913378E-2</v>
      </c>
      <c r="K1128" s="7">
        <f t="shared" si="74"/>
        <v>1.5049001345669666E-2</v>
      </c>
      <c r="L1128" s="7"/>
    </row>
    <row r="1129" spans="1:12" x14ac:dyDescent="0.25">
      <c r="A1129" s="2" t="s">
        <v>1156</v>
      </c>
      <c r="B1129" s="7">
        <v>6.4906966681090861E-3</v>
      </c>
      <c r="C1129" s="7">
        <v>4.624911813122301E-3</v>
      </c>
      <c r="D1129" s="7">
        <v>2.3255813953488413E-2</v>
      </c>
      <c r="E1129" s="7">
        <v>-3.1509121061359835E-2</v>
      </c>
      <c r="F1129" s="7">
        <v>1.5691662282344421E-3</v>
      </c>
      <c r="G1129" s="7"/>
      <c r="H1129" s="7">
        <f t="shared" si="71"/>
        <v>4.921530439874644E-3</v>
      </c>
      <c r="I1129" s="7">
        <f t="shared" si="72"/>
        <v>3.055745584887859E-3</v>
      </c>
      <c r="J1129" s="7">
        <f t="shared" si="73"/>
        <v>2.1686647725253971E-2</v>
      </c>
      <c r="K1129" s="7">
        <f t="shared" si="74"/>
        <v>-3.3078287289594277E-2</v>
      </c>
      <c r="L1129" s="7"/>
    </row>
    <row r="1130" spans="1:12" x14ac:dyDescent="0.25">
      <c r="A1130" s="2" t="s">
        <v>1157</v>
      </c>
      <c r="B1130" s="7">
        <v>-2.3796113770768734E-2</v>
      </c>
      <c r="C1130" s="7">
        <v>-9.5496894409938804E-3</v>
      </c>
      <c r="D1130" s="7">
        <v>-3.9106145251396662E-2</v>
      </c>
      <c r="E1130" s="7">
        <v>1.4653298745004539E-2</v>
      </c>
      <c r="F1130" s="7">
        <v>-2.0364114325326033E-2</v>
      </c>
      <c r="G1130" s="7"/>
      <c r="H1130" s="7">
        <f t="shared" si="71"/>
        <v>-3.4319994454427016E-3</v>
      </c>
      <c r="I1130" s="7">
        <f t="shared" si="72"/>
        <v>1.0814424884332152E-2</v>
      </c>
      <c r="J1130" s="7">
        <f t="shared" si="73"/>
        <v>-1.874203092607063E-2</v>
      </c>
      <c r="K1130" s="7">
        <f t="shared" si="74"/>
        <v>3.5017413070330572E-2</v>
      </c>
      <c r="L1130" s="7"/>
    </row>
    <row r="1131" spans="1:12" x14ac:dyDescent="0.25">
      <c r="A1131" s="2" t="s">
        <v>214</v>
      </c>
      <c r="B1131" s="7">
        <v>-1.058790749512406E-2</v>
      </c>
      <c r="C1131" s="7">
        <v>4.1319092539175983E-3</v>
      </c>
      <c r="D1131" s="7">
        <v>0.11874999999999991</v>
      </c>
      <c r="E1131" s="7">
        <v>3.5201045144433118E-2</v>
      </c>
      <c r="F1131" s="7">
        <v>-2.7763563072890074E-3</v>
      </c>
      <c r="G1131" s="7"/>
      <c r="H1131" s="7">
        <f t="shared" si="71"/>
        <v>-7.811551187835053E-3</v>
      </c>
      <c r="I1131" s="7">
        <f t="shared" si="72"/>
        <v>6.9082655612066057E-3</v>
      </c>
      <c r="J1131" s="7">
        <f t="shared" si="73"/>
        <v>0.12152635630728892</v>
      </c>
      <c r="K1131" s="7">
        <f t="shared" si="74"/>
        <v>3.7977401451722126E-2</v>
      </c>
      <c r="L1131" s="7"/>
    </row>
    <row r="1132" spans="1:12" x14ac:dyDescent="0.25">
      <c r="A1132" s="2" t="s">
        <v>1158</v>
      </c>
      <c r="B1132" s="7">
        <v>6.27308845054797E-4</v>
      </c>
      <c r="C1132" s="7">
        <v>-2.7211942155185298E-3</v>
      </c>
      <c r="D1132" s="7">
        <v>2.5641025641025772E-2</v>
      </c>
      <c r="E1132" s="7">
        <v>-4.0395598272739974E-2</v>
      </c>
      <c r="F1132" s="7">
        <v>1.4610090402744635E-3</v>
      </c>
      <c r="G1132" s="7"/>
      <c r="H1132" s="7">
        <f t="shared" si="71"/>
        <v>-8.3370019521966654E-4</v>
      </c>
      <c r="I1132" s="7">
        <f t="shared" si="72"/>
        <v>-4.1822032557929933E-3</v>
      </c>
      <c r="J1132" s="7">
        <f t="shared" si="73"/>
        <v>2.4180016600751308E-2</v>
      </c>
      <c r="K1132" s="7">
        <f t="shared" si="74"/>
        <v>-4.1856607313014438E-2</v>
      </c>
      <c r="L1132" s="7"/>
    </row>
    <row r="1133" spans="1:12" x14ac:dyDescent="0.25">
      <c r="A1133" s="2" t="s">
        <v>1159</v>
      </c>
      <c r="B1133" s="7">
        <v>6.7363693775877032E-3</v>
      </c>
      <c r="C1133" s="7">
        <v>9.417673834562823E-3</v>
      </c>
      <c r="D1133" s="7">
        <v>-6.3694267515923553E-3</v>
      </c>
      <c r="E1133" s="7">
        <v>-4.6447140381281615E-3</v>
      </c>
      <c r="F1133" s="7">
        <v>1.2134751708511082E-2</v>
      </c>
      <c r="G1133" s="7"/>
      <c r="H1133" s="7">
        <f t="shared" si="71"/>
        <v>-5.3983823309233792E-3</v>
      </c>
      <c r="I1133" s="7">
        <f t="shared" si="72"/>
        <v>-2.7170778739482593E-3</v>
      </c>
      <c r="J1133" s="7">
        <f t="shared" si="73"/>
        <v>-1.8504178460103438E-2</v>
      </c>
      <c r="K1133" s="7">
        <f t="shared" si="74"/>
        <v>-1.6779465746639244E-2</v>
      </c>
      <c r="L1133" s="7"/>
    </row>
    <row r="1134" spans="1:12" x14ac:dyDescent="0.25">
      <c r="A1134" s="2" t="s">
        <v>1160</v>
      </c>
      <c r="B1134" s="7">
        <v>1.6839100963253584E-2</v>
      </c>
      <c r="C1134" s="7">
        <v>7.9101408005062268E-3</v>
      </c>
      <c r="D1134" s="7">
        <v>1.9480519480519431E-2</v>
      </c>
      <c r="E1134" s="7">
        <v>1.1358059314309887E-2</v>
      </c>
      <c r="F1134" s="7">
        <v>9.5195662109373025E-3</v>
      </c>
      <c r="G1134" s="7"/>
      <c r="H1134" s="7">
        <f t="shared" si="71"/>
        <v>7.3195347523162813E-3</v>
      </c>
      <c r="I1134" s="7">
        <f t="shared" si="72"/>
        <v>-1.6094254104310757E-3</v>
      </c>
      <c r="J1134" s="7">
        <f t="shared" si="73"/>
        <v>9.960953269582129E-3</v>
      </c>
      <c r="K1134" s="7">
        <f t="shared" si="74"/>
        <v>1.8384931033725849E-3</v>
      </c>
      <c r="L1134" s="7"/>
    </row>
    <row r="1135" spans="1:12" x14ac:dyDescent="0.25">
      <c r="A1135" s="2" t="s">
        <v>1161</v>
      </c>
      <c r="B1135" s="7">
        <v>3.4366721557959057E-3</v>
      </c>
      <c r="C1135" s="7">
        <v>-1.1648815573449989E-2</v>
      </c>
      <c r="D1135" s="7">
        <v>6.5359477124182774E-3</v>
      </c>
      <c r="E1135" s="7">
        <v>-8.6188920553278425E-3</v>
      </c>
      <c r="F1135" s="7">
        <v>-8.1234954896236555E-4</v>
      </c>
      <c r="G1135" s="7"/>
      <c r="H1135" s="7">
        <f t="shared" si="71"/>
        <v>4.2490217047582712E-3</v>
      </c>
      <c r="I1135" s="7">
        <f t="shared" si="72"/>
        <v>-1.0836466024487623E-2</v>
      </c>
      <c r="J1135" s="7">
        <f t="shared" si="73"/>
        <v>7.348297261380643E-3</v>
      </c>
      <c r="K1135" s="7">
        <f t="shared" si="74"/>
        <v>-7.806542506365477E-3</v>
      </c>
      <c r="L1135" s="7"/>
    </row>
    <row r="1136" spans="1:12" x14ac:dyDescent="0.25">
      <c r="A1136" s="2" t="s">
        <v>215</v>
      </c>
      <c r="B1136" s="7">
        <v>-2.1370515695067316E-2</v>
      </c>
      <c r="C1136" s="7">
        <v>-5.2881250486040976E-3</v>
      </c>
      <c r="D1136" s="7">
        <v>-6.7073170731707266E-2</v>
      </c>
      <c r="E1136" s="7">
        <v>-5.348684210526311E-2</v>
      </c>
      <c r="F1136" s="7">
        <v>-1.6977254629493954E-2</v>
      </c>
      <c r="G1136" s="7"/>
      <c r="H1136" s="7">
        <f t="shared" si="71"/>
        <v>-4.3932610655733617E-3</v>
      </c>
      <c r="I1136" s="7">
        <f t="shared" si="72"/>
        <v>1.1689129580889857E-2</v>
      </c>
      <c r="J1136" s="7">
        <f t="shared" si="73"/>
        <v>-5.0095916102213311E-2</v>
      </c>
      <c r="K1136" s="7">
        <f t="shared" si="74"/>
        <v>-3.6509587475769156E-2</v>
      </c>
      <c r="L1136" s="7"/>
    </row>
    <row r="1137" spans="1:12" x14ac:dyDescent="0.25">
      <c r="A1137" s="2" t="s">
        <v>1162</v>
      </c>
      <c r="B1137" s="7">
        <v>-1.8296877149539092E-2</v>
      </c>
      <c r="C1137" s="7">
        <v>-6.4132282491112802E-3</v>
      </c>
      <c r="D1137" s="7">
        <v>2.4999999999999911E-2</v>
      </c>
      <c r="E1137" s="7">
        <v>2.4258760107816579E-2</v>
      </c>
      <c r="F1137" s="7">
        <v>-9.1109248393406173E-3</v>
      </c>
      <c r="G1137" s="7"/>
      <c r="H1137" s="7">
        <f t="shared" si="71"/>
        <v>-9.1859523101984752E-3</v>
      </c>
      <c r="I1137" s="7">
        <f t="shared" si="72"/>
        <v>2.6976965902293371E-3</v>
      </c>
      <c r="J1137" s="7">
        <f t="shared" si="73"/>
        <v>3.4110924839340528E-2</v>
      </c>
      <c r="K1137" s="7">
        <f t="shared" si="74"/>
        <v>3.3369684947157197E-2</v>
      </c>
      <c r="L1137" s="7"/>
    </row>
    <row r="1138" spans="1:12" x14ac:dyDescent="0.25">
      <c r="A1138" s="2" t="s">
        <v>1163</v>
      </c>
      <c r="B1138" s="7">
        <v>-1.6481252575196725E-3</v>
      </c>
      <c r="C1138" s="7">
        <v>-8.2758620689655782E-3</v>
      </c>
      <c r="D1138" s="7">
        <v>-3.6144578313252906E-2</v>
      </c>
      <c r="E1138" s="7">
        <v>-1.0138740661686074E-2</v>
      </c>
      <c r="F1138" s="7">
        <v>-1.5510969268194286E-3</v>
      </c>
      <c r="G1138" s="7"/>
      <c r="H1138" s="7">
        <f t="shared" si="71"/>
        <v>-9.702833070024397E-5</v>
      </c>
      <c r="I1138" s="7">
        <f t="shared" si="72"/>
        <v>-6.7247651421461496E-3</v>
      </c>
      <c r="J1138" s="7">
        <f t="shared" si="73"/>
        <v>-3.4593481386433478E-2</v>
      </c>
      <c r="K1138" s="7">
        <f t="shared" si="74"/>
        <v>-8.5876437348666457E-3</v>
      </c>
      <c r="L1138" s="7"/>
    </row>
    <row r="1139" spans="1:12" x14ac:dyDescent="0.25">
      <c r="A1139" s="2" t="s">
        <v>1164</v>
      </c>
      <c r="B1139" s="7">
        <v>6.1493816071305218E-3</v>
      </c>
      <c r="C1139" s="7">
        <v>9.6711798839459462E-3</v>
      </c>
      <c r="D1139" s="7">
        <v>4.4025157232704393E-2</v>
      </c>
      <c r="E1139" s="7">
        <v>-1.4267867709908733E-2</v>
      </c>
      <c r="F1139" s="7">
        <v>8.4739086888510062E-3</v>
      </c>
      <c r="G1139" s="7"/>
      <c r="H1139" s="7">
        <f t="shared" si="71"/>
        <v>-2.3245270817204844E-3</v>
      </c>
      <c r="I1139" s="7">
        <f t="shared" si="72"/>
        <v>1.19727119509494E-3</v>
      </c>
      <c r="J1139" s="7">
        <f t="shared" si="73"/>
        <v>3.5551248543853387E-2</v>
      </c>
      <c r="K1139" s="7">
        <f t="shared" si="74"/>
        <v>-2.2741776398759739E-2</v>
      </c>
      <c r="L1139" s="7"/>
    </row>
    <row r="1140" spans="1:12" x14ac:dyDescent="0.25">
      <c r="A1140" s="2" t="s">
        <v>1165</v>
      </c>
      <c r="B1140" s="7">
        <v>-9.5805105043454963E-3</v>
      </c>
      <c r="C1140" s="7">
        <v>-1.5163060042669985E-2</v>
      </c>
      <c r="D1140" s="7">
        <v>-3.0487804878048697E-2</v>
      </c>
      <c r="E1140" s="7">
        <v>-3.1828887898656788E-2</v>
      </c>
      <c r="F1140" s="7">
        <v>-5.7465991456183696E-3</v>
      </c>
      <c r="G1140" s="7"/>
      <c r="H1140" s="7">
        <f t="shared" si="71"/>
        <v>-3.8339113587271267E-3</v>
      </c>
      <c r="I1140" s="7">
        <f t="shared" si="72"/>
        <v>-9.416460897051615E-3</v>
      </c>
      <c r="J1140" s="7">
        <f t="shared" si="73"/>
        <v>-2.4741205732430327E-2</v>
      </c>
      <c r="K1140" s="7">
        <f t="shared" si="74"/>
        <v>-2.6082288753038418E-2</v>
      </c>
      <c r="L1140" s="7"/>
    </row>
    <row r="1141" spans="1:12" x14ac:dyDescent="0.25">
      <c r="A1141" s="2" t="s">
        <v>216</v>
      </c>
      <c r="B1141" s="7">
        <v>3.915910964550573E-3</v>
      </c>
      <c r="C1141" s="7">
        <v>3.6708473539310837E-3</v>
      </c>
      <c r="D1141" s="7">
        <v>6.1349693251533388E-3</v>
      </c>
      <c r="E1141" s="7">
        <v>-1.5973440240541148E-2</v>
      </c>
      <c r="F1141" s="7">
        <v>2.2765095613401787E-3</v>
      </c>
      <c r="G1141" s="7"/>
      <c r="H1141" s="7">
        <f t="shared" si="71"/>
        <v>1.6394014032103943E-3</v>
      </c>
      <c r="I1141" s="7">
        <f t="shared" si="72"/>
        <v>1.3943377925909051E-3</v>
      </c>
      <c r="J1141" s="7">
        <f t="shared" si="73"/>
        <v>3.8584597638131601E-3</v>
      </c>
      <c r="K1141" s="7">
        <f t="shared" si="74"/>
        <v>-1.8249949801881327E-2</v>
      </c>
      <c r="L1141" s="7"/>
    </row>
    <row r="1142" spans="1:12" x14ac:dyDescent="0.25">
      <c r="A1142" s="2" t="s">
        <v>1166</v>
      </c>
      <c r="B1142" s="7">
        <v>-3.3080908728577052E-2</v>
      </c>
      <c r="C1142" s="7">
        <v>-6.4584757997114828E-3</v>
      </c>
      <c r="D1142" s="7">
        <v>-1.8072289156626509E-2</v>
      </c>
      <c r="E1142" s="7">
        <v>4.65701699181853E-3</v>
      </c>
      <c r="F1142" s="7">
        <v>-7.7226435922087555E-3</v>
      </c>
      <c r="G1142" s="7"/>
      <c r="H1142" s="7">
        <f t="shared" si="71"/>
        <v>-2.5358265136368296E-2</v>
      </c>
      <c r="I1142" s="7">
        <f t="shared" si="72"/>
        <v>1.2641677924972727E-3</v>
      </c>
      <c r="J1142" s="7">
        <f t="shared" si="73"/>
        <v>-1.0349645564417753E-2</v>
      </c>
      <c r="K1142" s="7">
        <f t="shared" si="74"/>
        <v>1.2379660584027286E-2</v>
      </c>
      <c r="L1142" s="7"/>
    </row>
    <row r="1143" spans="1:12" x14ac:dyDescent="0.25">
      <c r="A1143" s="2" t="s">
        <v>1167</v>
      </c>
      <c r="B1143" s="7">
        <v>-6.7300079176564331E-3</v>
      </c>
      <c r="C1143" s="7">
        <v>-1.1343149038461453E-2</v>
      </c>
      <c r="D1143" s="7">
        <v>6.0606060606060996E-3</v>
      </c>
      <c r="E1143" s="7">
        <v>-1.9861830742659792E-2</v>
      </c>
      <c r="F1143" s="7">
        <v>-4.6055998245485563E-3</v>
      </c>
      <c r="G1143" s="7"/>
      <c r="H1143" s="7">
        <f t="shared" si="71"/>
        <v>-2.1244080931078768E-3</v>
      </c>
      <c r="I1143" s="7">
        <f t="shared" si="72"/>
        <v>-6.7375492139128967E-3</v>
      </c>
      <c r="J1143" s="7">
        <f t="shared" si="73"/>
        <v>1.0666205885154656E-2</v>
      </c>
      <c r="K1143" s="7">
        <f t="shared" si="74"/>
        <v>-1.5256230918111235E-2</v>
      </c>
      <c r="L1143" s="7"/>
    </row>
    <row r="1144" spans="1:12" x14ac:dyDescent="0.25">
      <c r="A1144" s="2" t="s">
        <v>1168</v>
      </c>
      <c r="B1144" s="7">
        <v>-1.0058785107772694E-2</v>
      </c>
      <c r="C1144" s="7">
        <v>1.2396379952848147E-2</v>
      </c>
      <c r="D1144" s="7">
        <v>-3.5087719298245612E-2</v>
      </c>
      <c r="E1144" s="7">
        <v>-2.5428313796212798E-2</v>
      </c>
      <c r="F1144" s="7">
        <v>-1.3185753191903293E-3</v>
      </c>
      <c r="G1144" s="7"/>
      <c r="H1144" s="7">
        <f t="shared" si="71"/>
        <v>-8.7402097885823649E-3</v>
      </c>
      <c r="I1144" s="7">
        <f t="shared" si="72"/>
        <v>1.3714955272038476E-2</v>
      </c>
      <c r="J1144" s="7">
        <f t="shared" si="73"/>
        <v>-3.3769143979055283E-2</v>
      </c>
      <c r="K1144" s="7">
        <f t="shared" si="74"/>
        <v>-2.4109738477022469E-2</v>
      </c>
      <c r="L1144" s="7"/>
    </row>
    <row r="1145" spans="1:12" x14ac:dyDescent="0.25">
      <c r="A1145" s="2" t="s">
        <v>1169</v>
      </c>
      <c r="B1145" s="7">
        <v>1.5454002785699972E-2</v>
      </c>
      <c r="C1145" s="7">
        <v>-4.5306033543890067E-2</v>
      </c>
      <c r="D1145" s="7">
        <v>-2.8409090909090939E-2</v>
      </c>
      <c r="E1145" s="7">
        <v>2.8566128733073626E-2</v>
      </c>
      <c r="F1145" s="7">
        <v>-3.3954884101398131E-3</v>
      </c>
      <c r="G1145" s="7"/>
      <c r="H1145" s="7">
        <f t="shared" si="71"/>
        <v>1.8849491195839785E-2</v>
      </c>
      <c r="I1145" s="7">
        <f t="shared" si="72"/>
        <v>-4.1910545133750254E-2</v>
      </c>
      <c r="J1145" s="7">
        <f t="shared" si="73"/>
        <v>-2.5013602498951126E-2</v>
      </c>
      <c r="K1145" s="7">
        <f t="shared" si="74"/>
        <v>3.1961617143213439E-2</v>
      </c>
      <c r="L1145" s="7"/>
    </row>
    <row r="1146" spans="1:12" x14ac:dyDescent="0.25">
      <c r="A1146" s="2" t="s">
        <v>1170</v>
      </c>
      <c r="B1146" s="7">
        <v>4.2629720908546886E-3</v>
      </c>
      <c r="C1146" s="7">
        <v>-2.5347624565470461E-3</v>
      </c>
      <c r="D1146" s="7">
        <v>-2.2222222222222254E-2</v>
      </c>
      <c r="E1146" s="7">
        <v>-9.91735537190086E-3</v>
      </c>
      <c r="F1146" s="7">
        <v>-3.3502683520858501E-4</v>
      </c>
      <c r="G1146" s="7"/>
      <c r="H1146" s="7">
        <f t="shared" si="71"/>
        <v>4.5979989260632737E-3</v>
      </c>
      <c r="I1146" s="7">
        <f t="shared" si="72"/>
        <v>-2.1997356213384611E-3</v>
      </c>
      <c r="J1146" s="7">
        <f t="shared" si="73"/>
        <v>-2.1887195387013669E-2</v>
      </c>
      <c r="K1146" s="7">
        <f t="shared" si="74"/>
        <v>-9.582328536692275E-3</v>
      </c>
      <c r="L1146" s="7"/>
    </row>
    <row r="1147" spans="1:12" x14ac:dyDescent="0.25">
      <c r="A1147" s="2" t="s">
        <v>1171</v>
      </c>
      <c r="B1147" s="7">
        <v>7.4486646087772446E-3</v>
      </c>
      <c r="C1147" s="7">
        <v>7.4419962060412459E-3</v>
      </c>
      <c r="D1147" s="7">
        <v>3.4482758620689724E-2</v>
      </c>
      <c r="E1147" s="7">
        <v>-7.3529411764706731E-3</v>
      </c>
      <c r="F1147" s="7">
        <v>2.8425606033477546E-3</v>
      </c>
      <c r="G1147" s="7"/>
      <c r="H1147" s="7">
        <f t="shared" si="71"/>
        <v>4.6061040054294899E-3</v>
      </c>
      <c r="I1147" s="7">
        <f t="shared" si="72"/>
        <v>4.5994356026934913E-3</v>
      </c>
      <c r="J1147" s="7">
        <f t="shared" si="73"/>
        <v>3.1640198017341969E-2</v>
      </c>
      <c r="K1147" s="7">
        <f t="shared" si="74"/>
        <v>-1.0195501779818428E-2</v>
      </c>
      <c r="L1147" s="7"/>
    </row>
    <row r="1148" spans="1:12" x14ac:dyDescent="0.25">
      <c r="A1148" s="2" t="s">
        <v>1172</v>
      </c>
      <c r="B1148" s="7">
        <v>4.5163464779238716E-3</v>
      </c>
      <c r="C1148" s="7">
        <v>-6.6676329902883857E-3</v>
      </c>
      <c r="D1148" s="7">
        <v>6.0975609756097615E-2</v>
      </c>
      <c r="E1148" s="7">
        <v>3.7644239863799722E-2</v>
      </c>
      <c r="F1148" s="7">
        <v>3.117620525883158E-4</v>
      </c>
      <c r="G1148" s="7"/>
      <c r="H1148" s="7">
        <f t="shared" si="71"/>
        <v>4.2045844253355558E-3</v>
      </c>
      <c r="I1148" s="7">
        <f t="shared" si="72"/>
        <v>-6.9793950428767015E-3</v>
      </c>
      <c r="J1148" s="7">
        <f t="shared" si="73"/>
        <v>6.0663847703509299E-2</v>
      </c>
      <c r="K1148" s="7">
        <f t="shared" si="74"/>
        <v>3.7332477811211406E-2</v>
      </c>
      <c r="L1148" s="7"/>
    </row>
    <row r="1149" spans="1:12" x14ac:dyDescent="0.25">
      <c r="A1149" s="2" t="s">
        <v>1173</v>
      </c>
      <c r="B1149" s="7">
        <v>-8.4881700307446462E-3</v>
      </c>
      <c r="C1149" s="7">
        <v>-7.2667098352401371E-3</v>
      </c>
      <c r="D1149" s="7">
        <v>5.12820512820511E-2</v>
      </c>
      <c r="E1149" s="7">
        <v>2.8936611950950653E-2</v>
      </c>
      <c r="F1149" s="7">
        <v>-1.349146239944865E-3</v>
      </c>
      <c r="G1149" s="7"/>
      <c r="H1149" s="7">
        <f t="shared" si="71"/>
        <v>-7.1390237907997811E-3</v>
      </c>
      <c r="I1149" s="7">
        <f t="shared" si="72"/>
        <v>-5.9175635952952721E-3</v>
      </c>
      <c r="J1149" s="7">
        <f t="shared" si="73"/>
        <v>5.2631197521995965E-2</v>
      </c>
      <c r="K1149" s="7">
        <f t="shared" si="74"/>
        <v>3.0285758190895518E-2</v>
      </c>
      <c r="L1149" s="7"/>
    </row>
    <row r="1150" spans="1:12" x14ac:dyDescent="0.25">
      <c r="A1150" s="2" t="s">
        <v>217</v>
      </c>
      <c r="B1150" s="7">
        <v>3.044077134986245E-2</v>
      </c>
      <c r="C1150" s="7">
        <v>5.7163531114328148E-3</v>
      </c>
      <c r="D1150" s="7">
        <v>-3.1055900621118071E-2</v>
      </c>
      <c r="E1150" s="7">
        <v>1.7695609111918253E-2</v>
      </c>
      <c r="F1150" s="7">
        <v>4.30658828173347E-3</v>
      </c>
      <c r="G1150" s="7"/>
      <c r="H1150" s="7">
        <f t="shared" si="71"/>
        <v>2.613418306812898E-2</v>
      </c>
      <c r="I1150" s="7">
        <f t="shared" si="72"/>
        <v>1.4097648296993448E-3</v>
      </c>
      <c r="J1150" s="7">
        <f t="shared" si="73"/>
        <v>-3.5362488902851541E-2</v>
      </c>
      <c r="K1150" s="7">
        <f t="shared" si="74"/>
        <v>1.3389020830184784E-2</v>
      </c>
      <c r="L1150" s="7"/>
    </row>
    <row r="1151" spans="1:12" x14ac:dyDescent="0.25">
      <c r="A1151" s="2" t="s">
        <v>1174</v>
      </c>
      <c r="B1151" s="7">
        <v>7.2142064372917591E-3</v>
      </c>
      <c r="C1151" s="7">
        <v>-1.372931570200131E-3</v>
      </c>
      <c r="D1151" s="7">
        <v>2.5477707006369421E-2</v>
      </c>
      <c r="E1151" s="7">
        <v>-3.4920028037978779E-2</v>
      </c>
      <c r="F1151" s="7">
        <v>8.8076062639821373E-3</v>
      </c>
      <c r="G1151" s="7"/>
      <c r="H1151" s="7">
        <f t="shared" si="71"/>
        <v>-1.5933998266903782E-3</v>
      </c>
      <c r="I1151" s="7">
        <f t="shared" si="72"/>
        <v>-1.0180537834182268E-2</v>
      </c>
      <c r="J1151" s="7">
        <f t="shared" si="73"/>
        <v>1.6670100742387284E-2</v>
      </c>
      <c r="K1151" s="7">
        <f t="shared" si="74"/>
        <v>-4.3727634301960916E-2</v>
      </c>
      <c r="L1151" s="7"/>
    </row>
    <row r="1152" spans="1:12" x14ac:dyDescent="0.25">
      <c r="A1152" s="2" t="s">
        <v>1175</v>
      </c>
      <c r="B1152" s="7">
        <v>-5.5187637969095205E-3</v>
      </c>
      <c r="C1152" s="7">
        <v>5.0838840874427582E-3</v>
      </c>
      <c r="D1152" s="7">
        <v>-4.268292682926822E-2</v>
      </c>
      <c r="E1152" s="7">
        <v>-2.2790958341117107E-2</v>
      </c>
      <c r="F1152" s="7">
        <v>-5.8249317755698637E-3</v>
      </c>
      <c r="G1152" s="7"/>
      <c r="H1152" s="7">
        <f t="shared" si="71"/>
        <v>3.0616797866034329E-4</v>
      </c>
      <c r="I1152" s="7">
        <f t="shared" si="72"/>
        <v>1.0908815863012622E-2</v>
      </c>
      <c r="J1152" s="7">
        <f t="shared" si="73"/>
        <v>-3.6857995053698356E-2</v>
      </c>
      <c r="K1152" s="7">
        <f t="shared" si="74"/>
        <v>-1.6966026565547243E-2</v>
      </c>
      <c r="L1152" s="7"/>
    </row>
    <row r="1153" spans="1:12" x14ac:dyDescent="0.25">
      <c r="A1153" s="2" t="s">
        <v>1176</v>
      </c>
      <c r="B1153" s="7">
        <v>-8.4815321477427208E-3</v>
      </c>
      <c r="C1153" s="7">
        <v>-2.1740705848251052E-3</v>
      </c>
      <c r="D1153" s="7">
        <v>3.1446540880503138E-2</v>
      </c>
      <c r="E1153" s="7">
        <v>-1.5147798356433206E-2</v>
      </c>
      <c r="F1153" s="7">
        <v>2.2201269217136943E-3</v>
      </c>
      <c r="G1153" s="7"/>
      <c r="H1153" s="7">
        <f t="shared" si="71"/>
        <v>-1.0701659069456415E-2</v>
      </c>
      <c r="I1153" s="7">
        <f t="shared" si="72"/>
        <v>-4.3941975065387995E-3</v>
      </c>
      <c r="J1153" s="7">
        <f t="shared" si="73"/>
        <v>2.9226413958789443E-2</v>
      </c>
      <c r="K1153" s="7">
        <f t="shared" si="74"/>
        <v>-1.7367925278146901E-2</v>
      </c>
      <c r="L1153" s="7"/>
    </row>
    <row r="1154" spans="1:12" x14ac:dyDescent="0.25">
      <c r="A1154" s="2" t="s">
        <v>1177</v>
      </c>
      <c r="B1154" s="7">
        <v>-5.4689636313931533E-4</v>
      </c>
      <c r="C1154" s="7">
        <v>3.6247643903153381E-4</v>
      </c>
      <c r="D1154" s="7">
        <v>6.3291139240506666E-3</v>
      </c>
      <c r="E1154" s="7">
        <v>6.6030334728033324E-2</v>
      </c>
      <c r="F1154" s="7">
        <v>1.4956926284677152E-3</v>
      </c>
      <c r="G1154" s="7"/>
      <c r="H1154" s="7">
        <f t="shared" si="71"/>
        <v>-2.0425889916070306E-3</v>
      </c>
      <c r="I1154" s="7">
        <f t="shared" si="72"/>
        <v>-1.1332161894361814E-3</v>
      </c>
      <c r="J1154" s="7">
        <f t="shared" si="73"/>
        <v>4.8334212955829514E-3</v>
      </c>
      <c r="K1154" s="7">
        <f t="shared" si="74"/>
        <v>6.4534642099565609E-2</v>
      </c>
      <c r="L1154" s="7"/>
    </row>
    <row r="1155" spans="1:12" x14ac:dyDescent="0.25">
      <c r="A1155" s="2" t="s">
        <v>218</v>
      </c>
      <c r="B1155" s="7">
        <v>1.0220994475138134E-2</v>
      </c>
      <c r="C1155" s="7">
        <v>2.6895398706112683E-3</v>
      </c>
      <c r="D1155" s="7">
        <v>4.635761589403975E-2</v>
      </c>
      <c r="E1155" s="7">
        <v>1.966535564295735E-2</v>
      </c>
      <c r="F1155" s="7">
        <v>8.5238209952562816E-3</v>
      </c>
      <c r="G1155" s="7"/>
      <c r="H1155" s="7">
        <f t="shared" ref="H1155:H1218" si="75">B1155-$F1155</f>
        <v>1.6971734798818527E-3</v>
      </c>
      <c r="I1155" s="7">
        <f t="shared" ref="I1155:I1218" si="76">C1155-$F1155</f>
        <v>-5.8342811246450133E-3</v>
      </c>
      <c r="J1155" s="7">
        <f t="shared" ref="J1155:J1218" si="77">D1155-$F1155</f>
        <v>3.7833794898783468E-2</v>
      </c>
      <c r="K1155" s="7">
        <f t="shared" ref="K1155:K1218" si="78">E1155-$F1155</f>
        <v>1.1141534647701068E-2</v>
      </c>
      <c r="L1155" s="7"/>
    </row>
    <row r="1156" spans="1:12" x14ac:dyDescent="0.25">
      <c r="A1156" s="2" t="s">
        <v>1178</v>
      </c>
      <c r="B1156" s="7">
        <v>1.0185572764057627E-2</v>
      </c>
      <c r="C1156" s="7">
        <v>1.4559219625827069E-3</v>
      </c>
      <c r="D1156" s="7">
        <v>4.1379310344827669E-2</v>
      </c>
      <c r="E1156" s="7">
        <v>-1.613432150587002E-2</v>
      </c>
      <c r="F1156" s="7">
        <v>8.1415406963547543E-3</v>
      </c>
      <c r="G1156" s="7"/>
      <c r="H1156" s="7">
        <f t="shared" si="75"/>
        <v>2.0440320677028723E-3</v>
      </c>
      <c r="I1156" s="7">
        <f t="shared" si="76"/>
        <v>-6.6856187337720474E-3</v>
      </c>
      <c r="J1156" s="7">
        <f t="shared" si="77"/>
        <v>3.3237769648472915E-2</v>
      </c>
      <c r="K1156" s="7">
        <f t="shared" si="78"/>
        <v>-2.4275862202224774E-2</v>
      </c>
      <c r="L1156" s="7"/>
    </row>
    <row r="1157" spans="1:12" x14ac:dyDescent="0.25">
      <c r="A1157" s="2" t="s">
        <v>1179</v>
      </c>
      <c r="B1157" s="7">
        <v>2.3075309418922885E-3</v>
      </c>
      <c r="C1157" s="7">
        <v>-5.8619192357793892E-3</v>
      </c>
      <c r="D1157" s="7">
        <v>-1.3605442176870763E-2</v>
      </c>
      <c r="E1157" s="7">
        <v>-6.8487292277614853E-2</v>
      </c>
      <c r="F1157" s="7">
        <v>1.2567410636163956E-3</v>
      </c>
      <c r="G1157" s="7"/>
      <c r="H1157" s="7">
        <f t="shared" si="75"/>
        <v>1.0507898782758929E-3</v>
      </c>
      <c r="I1157" s="7">
        <f t="shared" si="76"/>
        <v>-7.1186602993957848E-3</v>
      </c>
      <c r="J1157" s="7">
        <f t="shared" si="77"/>
        <v>-1.4862183240487159E-2</v>
      </c>
      <c r="K1157" s="7">
        <f t="shared" si="78"/>
        <v>-6.9744033341231249E-2</v>
      </c>
      <c r="L1157" s="7"/>
    </row>
    <row r="1158" spans="1:12" x14ac:dyDescent="0.25">
      <c r="A1158" s="2" t="s">
        <v>1180</v>
      </c>
      <c r="B1158" s="7">
        <v>-2.5485519591141426E-2</v>
      </c>
      <c r="C1158" s="7">
        <v>-1.5250855188141288E-2</v>
      </c>
      <c r="D1158" s="7">
        <v>-2.0000000000000018E-2</v>
      </c>
      <c r="E1158" s="7">
        <v>-7.9398751439481163E-3</v>
      </c>
      <c r="F1158" s="7">
        <v>-1.0748457761550978E-2</v>
      </c>
      <c r="G1158" s="7"/>
      <c r="H1158" s="7">
        <f t="shared" si="75"/>
        <v>-1.4737061829590448E-2</v>
      </c>
      <c r="I1158" s="7">
        <f t="shared" si="76"/>
        <v>-4.5023974265903099E-3</v>
      </c>
      <c r="J1158" s="7">
        <f t="shared" si="77"/>
        <v>-9.2515422384490398E-3</v>
      </c>
      <c r="K1158" s="7">
        <f t="shared" si="78"/>
        <v>2.8085826176028617E-3</v>
      </c>
      <c r="L1158" s="7"/>
    </row>
    <row r="1159" spans="1:12" x14ac:dyDescent="0.25">
      <c r="A1159" s="2" t="s">
        <v>1181</v>
      </c>
      <c r="B1159" s="7">
        <v>-6.1628064472436517E-3</v>
      </c>
      <c r="C1159" s="7">
        <v>-1.363700267116541E-2</v>
      </c>
      <c r="D1159" s="7">
        <v>1.3513513513513598E-2</v>
      </c>
      <c r="E1159" s="7">
        <v>-4.9158598432457401E-2</v>
      </c>
      <c r="F1159" s="7">
        <v>-7.0607249129965854E-3</v>
      </c>
      <c r="G1159" s="7"/>
      <c r="H1159" s="7">
        <f t="shared" si="75"/>
        <v>8.9791846575293377E-4</v>
      </c>
      <c r="I1159" s="7">
        <f t="shared" si="76"/>
        <v>-6.5762777581688248E-3</v>
      </c>
      <c r="J1159" s="7">
        <f t="shared" si="77"/>
        <v>2.0574238426510183E-2</v>
      </c>
      <c r="K1159" s="7">
        <f t="shared" si="78"/>
        <v>-4.2097873519460816E-2</v>
      </c>
      <c r="L1159" s="7"/>
    </row>
    <row r="1160" spans="1:12" x14ac:dyDescent="0.25">
      <c r="A1160" s="2" t="s">
        <v>219</v>
      </c>
      <c r="B1160" s="7">
        <v>1.3521861486718301E-2</v>
      </c>
      <c r="C1160" s="7">
        <v>8.650028360748685E-3</v>
      </c>
      <c r="D1160" s="7">
        <v>-3.8961038961038974E-2</v>
      </c>
      <c r="E1160" s="7">
        <v>-3.131803717970183E-2</v>
      </c>
      <c r="F1160" s="7">
        <v>2.6208594449417255E-3</v>
      </c>
      <c r="G1160" s="7"/>
      <c r="H1160" s="7">
        <f t="shared" si="75"/>
        <v>1.0901002041776575E-2</v>
      </c>
      <c r="I1160" s="7">
        <f t="shared" si="76"/>
        <v>6.0291689158069595E-3</v>
      </c>
      <c r="J1160" s="7">
        <f t="shared" si="77"/>
        <v>-4.15818984059807E-2</v>
      </c>
      <c r="K1160" s="7">
        <f t="shared" si="78"/>
        <v>-3.3938896624643555E-2</v>
      </c>
      <c r="L1160" s="7"/>
    </row>
    <row r="1161" spans="1:12" x14ac:dyDescent="0.25">
      <c r="A1161" s="2" t="s">
        <v>1182</v>
      </c>
      <c r="B1161" s="7">
        <v>1.4434973879571267E-3</v>
      </c>
      <c r="C1161" s="7">
        <v>-4.2360914995763777E-3</v>
      </c>
      <c r="D1161" s="7">
        <v>-1.2820512820512886E-2</v>
      </c>
      <c r="E1161" s="7">
        <v>-1.5877376112515162E-2</v>
      </c>
      <c r="F1161" s="7">
        <v>1.6073241975147479E-3</v>
      </c>
      <c r="G1161" s="7"/>
      <c r="H1161" s="7">
        <f t="shared" si="75"/>
        <v>-1.6382680955762119E-4</v>
      </c>
      <c r="I1161" s="7">
        <f t="shared" si="76"/>
        <v>-5.8434156970911255E-3</v>
      </c>
      <c r="J1161" s="7">
        <f t="shared" si="77"/>
        <v>-1.4427837018027634E-2</v>
      </c>
      <c r="K1161" s="7">
        <f t="shared" si="78"/>
        <v>-1.748470031002991E-2</v>
      </c>
      <c r="L1161" s="7"/>
    </row>
    <row r="1162" spans="1:12" x14ac:dyDescent="0.25">
      <c r="A1162" s="2" t="s">
        <v>1183</v>
      </c>
      <c r="B1162" s="7">
        <v>2.0769014875105185E-2</v>
      </c>
      <c r="C1162" s="7">
        <v>-7.0551714406674737E-4</v>
      </c>
      <c r="D1162" s="7">
        <v>-4.2944785276073483E-2</v>
      </c>
      <c r="E1162" s="7">
        <v>-1.6427104722792518E-2</v>
      </c>
      <c r="F1162" s="7">
        <v>4.1463980136908773E-3</v>
      </c>
      <c r="G1162" s="7"/>
      <c r="H1162" s="7">
        <f t="shared" si="75"/>
        <v>1.6622616861414308E-2</v>
      </c>
      <c r="I1162" s="7">
        <f t="shared" si="76"/>
        <v>-4.8519151577576247E-3</v>
      </c>
      <c r="J1162" s="7">
        <f t="shared" si="77"/>
        <v>-4.709118328976436E-2</v>
      </c>
      <c r="K1162" s="7">
        <f t="shared" si="78"/>
        <v>-2.0573502736483396E-2</v>
      </c>
      <c r="L1162" s="7"/>
    </row>
    <row r="1163" spans="1:12" x14ac:dyDescent="0.25">
      <c r="A1163" s="2" t="s">
        <v>1184</v>
      </c>
      <c r="B1163" s="7">
        <v>1.7572221831727575E-3</v>
      </c>
      <c r="C1163" s="7">
        <v>1.1705924339757479E-2</v>
      </c>
      <c r="D1163" s="7">
        <v>0</v>
      </c>
      <c r="E1163" s="7">
        <v>-4.4114482461803384E-3</v>
      </c>
      <c r="F1163" s="7">
        <v>1.2757085704626636E-3</v>
      </c>
      <c r="G1163" s="7"/>
      <c r="H1163" s="7">
        <f t="shared" si="75"/>
        <v>4.8151361271009385E-4</v>
      </c>
      <c r="I1163" s="7">
        <f t="shared" si="76"/>
        <v>1.0430215769294815E-2</v>
      </c>
      <c r="J1163" s="7">
        <f t="shared" si="77"/>
        <v>-1.2757085704626636E-3</v>
      </c>
      <c r="K1163" s="7">
        <f t="shared" si="78"/>
        <v>-5.687156816643002E-3</v>
      </c>
      <c r="L1163" s="7"/>
    </row>
    <row r="1164" spans="1:12" x14ac:dyDescent="0.25">
      <c r="A1164" s="2" t="s">
        <v>1185</v>
      </c>
      <c r="B1164" s="7">
        <v>-3.3625218914185018E-3</v>
      </c>
      <c r="C1164" s="7">
        <v>9.2205734044086274E-3</v>
      </c>
      <c r="D1164" s="7">
        <v>2.5157232704402288E-2</v>
      </c>
      <c r="E1164" s="7">
        <v>2.4267917812650364E-3</v>
      </c>
      <c r="F1164" s="7">
        <v>9.9270138865370505E-4</v>
      </c>
      <c r="G1164" s="7"/>
      <c r="H1164" s="7">
        <f t="shared" si="75"/>
        <v>-4.3552232800722068E-3</v>
      </c>
      <c r="I1164" s="7">
        <f t="shared" si="76"/>
        <v>8.2278720157549223E-3</v>
      </c>
      <c r="J1164" s="7">
        <f t="shared" si="77"/>
        <v>2.4164531315748583E-2</v>
      </c>
      <c r="K1164" s="7">
        <f t="shared" si="78"/>
        <v>1.4340903926113313E-3</v>
      </c>
      <c r="L1164" s="7"/>
    </row>
    <row r="1165" spans="1:12" x14ac:dyDescent="0.25">
      <c r="A1165" s="2" t="s">
        <v>220</v>
      </c>
      <c r="B1165" s="7">
        <v>-3.5014005602251874E-4</v>
      </c>
      <c r="C1165" s="7">
        <v>-3.5888601780074136E-3</v>
      </c>
      <c r="D1165" s="7">
        <v>-4.7904191616766401E-2</v>
      </c>
      <c r="E1165" s="7">
        <v>-5.790574231944623E-3</v>
      </c>
      <c r="F1165" s="7">
        <v>-9.3992588785807296E-4</v>
      </c>
      <c r="G1165" s="7"/>
      <c r="H1165" s="7">
        <f t="shared" si="75"/>
        <v>5.8978583183555422E-4</v>
      </c>
      <c r="I1165" s="7">
        <f t="shared" si="76"/>
        <v>-2.6489342901493407E-3</v>
      </c>
      <c r="J1165" s="7">
        <f t="shared" si="77"/>
        <v>-4.6964265728908328E-2</v>
      </c>
      <c r="K1165" s="7">
        <f t="shared" si="78"/>
        <v>-4.85064834408655E-3</v>
      </c>
      <c r="L1165" s="7"/>
    </row>
    <row r="1166" spans="1:12" x14ac:dyDescent="0.25">
      <c r="A1166" s="2" t="s">
        <v>1186</v>
      </c>
      <c r="B1166" s="7">
        <v>-4.7393364928908222E-3</v>
      </c>
      <c r="C1166" s="7">
        <v>1.7256255392579245E-3</v>
      </c>
      <c r="D1166" s="7">
        <v>0</v>
      </c>
      <c r="E1166" s="7">
        <v>-1.4530275811053595E-2</v>
      </c>
      <c r="F1166" s="7">
        <v>1.6752839177258672E-3</v>
      </c>
      <c r="G1166" s="7"/>
      <c r="H1166" s="7">
        <f t="shared" si="75"/>
        <v>-6.4146204106166893E-3</v>
      </c>
      <c r="I1166" s="7">
        <f t="shared" si="76"/>
        <v>5.0341621532057346E-5</v>
      </c>
      <c r="J1166" s="7">
        <f t="shared" si="77"/>
        <v>-1.6752839177258672E-3</v>
      </c>
      <c r="K1166" s="7">
        <f t="shared" si="78"/>
        <v>-1.6205559728779462E-2</v>
      </c>
      <c r="L1166" s="7"/>
    </row>
    <row r="1167" spans="1:12" x14ac:dyDescent="0.25">
      <c r="A1167" s="2" t="s">
        <v>1187</v>
      </c>
      <c r="B1167" s="7">
        <v>7.6724558833785039E-4</v>
      </c>
      <c r="C1167" s="7">
        <v>1.367989056087815E-3</v>
      </c>
      <c r="D1167" s="7">
        <v>-2.3391812865497075E-2</v>
      </c>
      <c r="E1167" s="7">
        <v>-7.0825245265202508E-3</v>
      </c>
      <c r="F1167" s="7">
        <v>6.0054603353427716E-3</v>
      </c>
      <c r="G1167" s="7"/>
      <c r="H1167" s="7">
        <f t="shared" si="75"/>
        <v>-5.2382147470049212E-3</v>
      </c>
      <c r="I1167" s="7">
        <f t="shared" si="76"/>
        <v>-4.6374712792549566E-3</v>
      </c>
      <c r="J1167" s="7">
        <f t="shared" si="77"/>
        <v>-2.9397273200839846E-2</v>
      </c>
      <c r="K1167" s="7">
        <f t="shared" si="78"/>
        <v>-1.3087984861863022E-2</v>
      </c>
      <c r="L1167" s="7"/>
    </row>
    <row r="1168" spans="1:12" x14ac:dyDescent="0.25">
      <c r="A1168" s="2" t="s">
        <v>1188</v>
      </c>
      <c r="B1168" s="7">
        <v>-2.7822216039508074E-3</v>
      </c>
      <c r="C1168" s="7">
        <v>-1.7473118279570099E-2</v>
      </c>
      <c r="D1168" s="7">
        <v>-2.2857142857142909E-2</v>
      </c>
      <c r="E1168" s="7">
        <v>1.6857828754334614E-2</v>
      </c>
      <c r="F1168" s="7">
        <v>-4.6324452030791496E-3</v>
      </c>
      <c r="G1168" s="7"/>
      <c r="H1168" s="7">
        <f t="shared" si="75"/>
        <v>1.8502235991283422E-3</v>
      </c>
      <c r="I1168" s="7">
        <f t="shared" si="76"/>
        <v>-1.2840673076490949E-2</v>
      </c>
      <c r="J1168" s="7">
        <f t="shared" si="77"/>
        <v>-1.822469765406376E-2</v>
      </c>
      <c r="K1168" s="7">
        <f t="shared" si="78"/>
        <v>2.1490273957413764E-2</v>
      </c>
      <c r="L1168" s="7"/>
    </row>
    <row r="1169" spans="1:12" x14ac:dyDescent="0.25">
      <c r="A1169" s="2" t="s">
        <v>1189</v>
      </c>
      <c r="B1169" s="7">
        <v>1.2607409494295174E-2</v>
      </c>
      <c r="C1169" s="7">
        <v>1.7783857729138264E-2</v>
      </c>
      <c r="D1169" s="7">
        <v>-5.6818181818182323E-3</v>
      </c>
      <c r="E1169" s="7">
        <v>-1.3524892116619447E-2</v>
      </c>
      <c r="F1169" s="7">
        <v>8.2034847144849543E-3</v>
      </c>
      <c r="G1169" s="7"/>
      <c r="H1169" s="7">
        <f t="shared" si="75"/>
        <v>4.4039247798102199E-3</v>
      </c>
      <c r="I1169" s="7">
        <f t="shared" si="76"/>
        <v>9.5803730146533095E-3</v>
      </c>
      <c r="J1169" s="7">
        <f t="shared" si="77"/>
        <v>-1.3885302896303187E-2</v>
      </c>
      <c r="K1169" s="7">
        <f t="shared" si="78"/>
        <v>-2.1728376831104401E-2</v>
      </c>
      <c r="L1169" s="7"/>
    </row>
    <row r="1170" spans="1:12" x14ac:dyDescent="0.25">
      <c r="A1170" s="2" t="s">
        <v>221</v>
      </c>
      <c r="B1170" s="7">
        <v>-2.318881315438226E-3</v>
      </c>
      <c r="C1170" s="7">
        <v>-2.0836327058486592E-3</v>
      </c>
      <c r="D1170" s="7">
        <v>-2.2222222222222254E-2</v>
      </c>
      <c r="E1170" s="7">
        <v>2.5084965204725806E-2</v>
      </c>
      <c r="F1170" s="7">
        <v>-1.8428943907755624E-3</v>
      </c>
      <c r="G1170" s="7"/>
      <c r="H1170" s="7">
        <f t="shared" si="75"/>
        <v>-4.7598692466266357E-4</v>
      </c>
      <c r="I1170" s="7">
        <f t="shared" si="76"/>
        <v>-2.4073831507309684E-4</v>
      </c>
      <c r="J1170" s="7">
        <f t="shared" si="77"/>
        <v>-2.0379327831446692E-2</v>
      </c>
      <c r="K1170" s="7">
        <f t="shared" si="78"/>
        <v>2.6927859595501369E-2</v>
      </c>
      <c r="L1170" s="7"/>
    </row>
    <row r="1171" spans="1:12" x14ac:dyDescent="0.25">
      <c r="A1171" s="2" t="s">
        <v>1190</v>
      </c>
      <c r="B1171" s="7">
        <v>1.5483144485888278E-3</v>
      </c>
      <c r="C1171" s="7">
        <v>-1.1482704176833947E-3</v>
      </c>
      <c r="D1171" s="7">
        <v>-1.6393442622950838E-2</v>
      </c>
      <c r="E1171" s="7">
        <v>-1.18869936034115E-2</v>
      </c>
      <c r="F1171" s="7">
        <v>-5.4060169942181657E-3</v>
      </c>
      <c r="G1171" s="7"/>
      <c r="H1171" s="7">
        <f t="shared" si="75"/>
        <v>6.9543314428069936E-3</v>
      </c>
      <c r="I1171" s="7">
        <f t="shared" si="76"/>
        <v>4.2577465765347711E-3</v>
      </c>
      <c r="J1171" s="7">
        <f t="shared" si="77"/>
        <v>-1.0987425628732672E-2</v>
      </c>
      <c r="K1171" s="7">
        <f t="shared" si="78"/>
        <v>-6.4809766091933341E-3</v>
      </c>
      <c r="L1171" s="7"/>
    </row>
    <row r="1172" spans="1:12" x14ac:dyDescent="0.25">
      <c r="A1172" s="2" t="s">
        <v>1191</v>
      </c>
      <c r="B1172" s="7">
        <v>4.5245669848004155E-3</v>
      </c>
      <c r="C1172" s="7">
        <v>-5.7380576674781469E-4</v>
      </c>
      <c r="D1172" s="7">
        <v>1.1049723756906049E-2</v>
      </c>
      <c r="E1172" s="7">
        <v>7.7894171367176579E-3</v>
      </c>
      <c r="F1172" s="7">
        <v>4.2062063699823682E-3</v>
      </c>
      <c r="G1172" s="7"/>
      <c r="H1172" s="7">
        <f t="shared" si="75"/>
        <v>3.1836061481804734E-4</v>
      </c>
      <c r="I1172" s="7">
        <f t="shared" si="76"/>
        <v>-4.7800121367301829E-3</v>
      </c>
      <c r="J1172" s="7">
        <f t="shared" si="77"/>
        <v>6.8435173869236809E-3</v>
      </c>
      <c r="K1172" s="7">
        <f t="shared" si="78"/>
        <v>3.5832107667352897E-3</v>
      </c>
      <c r="L1172" s="7"/>
    </row>
    <row r="1173" spans="1:12" x14ac:dyDescent="0.25">
      <c r="A1173" s="2" t="s">
        <v>1192</v>
      </c>
      <c r="B1173" s="7">
        <v>-1.222067039106145E-2</v>
      </c>
      <c r="C1173" s="7">
        <v>-1.0925085130533585E-2</v>
      </c>
      <c r="D1173" s="7">
        <v>1.1173184357541999E-2</v>
      </c>
      <c r="E1173" s="7">
        <v>5.3420859034576385E-2</v>
      </c>
      <c r="F1173" s="7">
        <v>-1.8630181803303003E-4</v>
      </c>
      <c r="G1173" s="7"/>
      <c r="H1173" s="7">
        <f t="shared" si="75"/>
        <v>-1.203436857302842E-2</v>
      </c>
      <c r="I1173" s="7">
        <f t="shared" si="76"/>
        <v>-1.0738783312500555E-2</v>
      </c>
      <c r="J1173" s="7">
        <f t="shared" si="77"/>
        <v>1.1359486175575029E-2</v>
      </c>
      <c r="K1173" s="7">
        <f t="shared" si="78"/>
        <v>5.3607160852609415E-2</v>
      </c>
      <c r="L1173" s="7"/>
    </row>
    <row r="1174" spans="1:12" x14ac:dyDescent="0.25">
      <c r="A1174" s="2" t="s">
        <v>1193</v>
      </c>
      <c r="B1174" s="7">
        <v>-1.4859658778206053E-2</v>
      </c>
      <c r="C1174" s="7">
        <v>-5.9939355475635558E-3</v>
      </c>
      <c r="D1174" s="7">
        <v>-2.1857923497267784E-2</v>
      </c>
      <c r="E1174" s="7">
        <v>-2.9652407885344068E-2</v>
      </c>
      <c r="F1174" s="7">
        <v>-4.7124799312575627E-3</v>
      </c>
      <c r="G1174" s="7"/>
      <c r="H1174" s="7">
        <f t="shared" si="75"/>
        <v>-1.014717884694849E-2</v>
      </c>
      <c r="I1174" s="7">
        <f t="shared" si="76"/>
        <v>-1.2814556163059931E-3</v>
      </c>
      <c r="J1174" s="7">
        <f t="shared" si="77"/>
        <v>-1.7145443566010221E-2</v>
      </c>
      <c r="K1174" s="7">
        <f t="shared" si="78"/>
        <v>-2.4939927954086505E-2</v>
      </c>
      <c r="L1174" s="7"/>
    </row>
    <row r="1175" spans="1:12" x14ac:dyDescent="0.25">
      <c r="A1175" s="2" t="s">
        <v>222</v>
      </c>
      <c r="B1175" s="7">
        <v>2.897750793431797E-3</v>
      </c>
      <c r="C1175" s="7">
        <v>5.8873599092070794E-3</v>
      </c>
      <c r="D1175" s="7">
        <v>1.1049723756906049E-2</v>
      </c>
      <c r="E1175" s="7">
        <v>-7.1530539410624927E-2</v>
      </c>
      <c r="F1175" s="7">
        <v>2.382253008416102E-3</v>
      </c>
      <c r="G1175" s="7"/>
      <c r="H1175" s="7">
        <f t="shared" si="75"/>
        <v>5.1549778501569499E-4</v>
      </c>
      <c r="I1175" s="7">
        <f t="shared" si="76"/>
        <v>3.5051069007909774E-3</v>
      </c>
      <c r="J1175" s="7">
        <f t="shared" si="77"/>
        <v>8.6674707484899471E-3</v>
      </c>
      <c r="K1175" s="7">
        <f t="shared" si="78"/>
        <v>-7.3912792419041029E-2</v>
      </c>
      <c r="L1175" s="7"/>
    </row>
    <row r="1176" spans="1:12" x14ac:dyDescent="0.25">
      <c r="A1176" s="2" t="s">
        <v>1194</v>
      </c>
      <c r="B1176" s="7">
        <v>1.1938839628569564E-2</v>
      </c>
      <c r="C1176" s="7">
        <v>7.143877696813794E-3</v>
      </c>
      <c r="D1176" s="7">
        <v>-2.1621621621621623E-2</v>
      </c>
      <c r="E1176" s="7">
        <v>-3.5076499237467473E-2</v>
      </c>
      <c r="F1176" s="7">
        <v>1.0145438559535647E-2</v>
      </c>
      <c r="G1176" s="7"/>
      <c r="H1176" s="7">
        <f t="shared" si="75"/>
        <v>1.7934010690339175E-3</v>
      </c>
      <c r="I1176" s="7">
        <f t="shared" si="76"/>
        <v>-3.0015608627218526E-3</v>
      </c>
      <c r="J1176" s="7">
        <f t="shared" si="77"/>
        <v>-3.1767060181157269E-2</v>
      </c>
      <c r="K1176" s="7">
        <f t="shared" si="78"/>
        <v>-4.522193779700312E-2</v>
      </c>
      <c r="L1176" s="7"/>
    </row>
    <row r="1177" spans="1:12" x14ac:dyDescent="0.25">
      <c r="A1177" s="2" t="s">
        <v>1195</v>
      </c>
      <c r="B1177" s="7">
        <v>9.6574087128151742E-3</v>
      </c>
      <c r="C1177" s="7">
        <v>-8.4295530211800918E-3</v>
      </c>
      <c r="D1177" s="7">
        <v>-4.1450777202072464E-2</v>
      </c>
      <c r="E1177" s="7">
        <v>1.4017759153945875E-2</v>
      </c>
      <c r="F1177" s="7">
        <v>2.0166609692362503E-3</v>
      </c>
      <c r="G1177" s="7"/>
      <c r="H1177" s="7">
        <f t="shared" si="75"/>
        <v>7.6407477435789239E-3</v>
      </c>
      <c r="I1177" s="7">
        <f t="shared" si="76"/>
        <v>-1.0446213990416342E-2</v>
      </c>
      <c r="J1177" s="7">
        <f t="shared" si="77"/>
        <v>-4.3467438171308714E-2</v>
      </c>
      <c r="K1177" s="7">
        <f t="shared" si="78"/>
        <v>1.2001098184709624E-2</v>
      </c>
      <c r="L1177" s="7"/>
    </row>
    <row r="1178" spans="1:12" x14ac:dyDescent="0.25">
      <c r="A1178" s="2" t="s">
        <v>1196</v>
      </c>
      <c r="B1178" s="7">
        <v>-5.1195736026368177E-3</v>
      </c>
      <c r="C1178" s="7">
        <v>-2.8326605764483759E-4</v>
      </c>
      <c r="D1178" s="7">
        <v>4.3243243243243246E-2</v>
      </c>
      <c r="E1178" s="7">
        <v>2.2999999999999687E-3</v>
      </c>
      <c r="F1178" s="7">
        <v>8.2418472100778128E-3</v>
      </c>
      <c r="G1178" s="7"/>
      <c r="H1178" s="7">
        <f t="shared" si="75"/>
        <v>-1.3361420812714631E-2</v>
      </c>
      <c r="I1178" s="7">
        <f t="shared" si="76"/>
        <v>-8.5251132677226504E-3</v>
      </c>
      <c r="J1178" s="7">
        <f t="shared" si="77"/>
        <v>3.5001396033165433E-2</v>
      </c>
      <c r="K1178" s="7">
        <f t="shared" si="78"/>
        <v>-5.9418472100778441E-3</v>
      </c>
      <c r="L1178" s="7"/>
    </row>
    <row r="1179" spans="1:12" x14ac:dyDescent="0.25">
      <c r="A1179" s="2" t="s">
        <v>1197</v>
      </c>
      <c r="B1179" s="7">
        <v>2.5974960425960703E-2</v>
      </c>
      <c r="C1179" s="7">
        <v>1.6484307515116869E-2</v>
      </c>
      <c r="D1179" s="7">
        <v>2.7777777777777901E-2</v>
      </c>
      <c r="E1179" s="7">
        <v>8.0645161290322509E-3</v>
      </c>
      <c r="F1179" s="7">
        <v>1.516265155019747E-2</v>
      </c>
      <c r="G1179" s="7"/>
      <c r="H1179" s="7">
        <f t="shared" si="75"/>
        <v>1.0812308875763232E-2</v>
      </c>
      <c r="I1179" s="7">
        <f t="shared" si="76"/>
        <v>1.3216559649193993E-3</v>
      </c>
      <c r="J1179" s="7">
        <f t="shared" si="77"/>
        <v>1.2615126227580431E-2</v>
      </c>
      <c r="K1179" s="7">
        <f t="shared" si="78"/>
        <v>-7.0981354211652192E-3</v>
      </c>
      <c r="L1179" s="7"/>
    </row>
    <row r="1180" spans="1:12" x14ac:dyDescent="0.25">
      <c r="A1180" s="2" t="s">
        <v>223</v>
      </c>
      <c r="B1180" s="7">
        <v>-2.695512147307999E-2</v>
      </c>
      <c r="C1180" s="7">
        <v>-9.0591340323846747E-3</v>
      </c>
      <c r="D1180" s="7">
        <v>-3.7433155080213942E-2</v>
      </c>
      <c r="E1180" s="7">
        <v>-1.5042446507471552E-2</v>
      </c>
      <c r="F1180" s="7">
        <v>-1.5869531055010655E-2</v>
      </c>
      <c r="G1180" s="7"/>
      <c r="H1180" s="7">
        <f t="shared" si="75"/>
        <v>-1.1085590418069335E-2</v>
      </c>
      <c r="I1180" s="7">
        <f t="shared" si="76"/>
        <v>6.8103970226259802E-3</v>
      </c>
      <c r="J1180" s="7">
        <f t="shared" si="77"/>
        <v>-2.1563624025203287E-2</v>
      </c>
      <c r="K1180" s="7">
        <f t="shared" si="78"/>
        <v>8.270845475391031E-4</v>
      </c>
      <c r="L1180" s="7"/>
    </row>
    <row r="1181" spans="1:12" x14ac:dyDescent="0.25">
      <c r="A1181" s="2" t="s">
        <v>1198</v>
      </c>
      <c r="B1181" s="7">
        <v>-1.4013530305122202E-2</v>
      </c>
      <c r="C1181" s="7">
        <v>-1.5865215865215831E-2</v>
      </c>
      <c r="D1181" s="7">
        <v>-5.0761421319796884E-2</v>
      </c>
      <c r="E1181" s="7">
        <v>-1.2404393018238924E-2</v>
      </c>
      <c r="F1181" s="7">
        <v>-7.5389389522548811E-3</v>
      </c>
      <c r="G1181" s="7"/>
      <c r="H1181" s="7">
        <f t="shared" si="75"/>
        <v>-6.4745913528673205E-3</v>
      </c>
      <c r="I1181" s="7">
        <f t="shared" si="76"/>
        <v>-8.3262769129609504E-3</v>
      </c>
      <c r="J1181" s="7">
        <f t="shared" si="77"/>
        <v>-4.3222482367542003E-2</v>
      </c>
      <c r="K1181" s="7">
        <f t="shared" si="78"/>
        <v>-4.8654540659840428E-3</v>
      </c>
      <c r="L1181" s="7"/>
    </row>
    <row r="1182" spans="1:12" x14ac:dyDescent="0.25">
      <c r="A1182" s="2" t="s">
        <v>1199</v>
      </c>
      <c r="B1182" s="7">
        <v>-4.5354590434304454E-3</v>
      </c>
      <c r="C1182" s="7">
        <v>-1.1919786846166236E-3</v>
      </c>
      <c r="D1182" s="7">
        <v>-1.990049751243772E-2</v>
      </c>
      <c r="E1182" s="7">
        <v>1.5433635367917864E-2</v>
      </c>
      <c r="F1182" s="7">
        <v>-3.2622362435132946E-3</v>
      </c>
      <c r="G1182" s="7"/>
      <c r="H1182" s="7">
        <f t="shared" si="75"/>
        <v>-1.2732227999171508E-3</v>
      </c>
      <c r="I1182" s="7">
        <f t="shared" si="76"/>
        <v>2.070257558896671E-3</v>
      </c>
      <c r="J1182" s="7">
        <f t="shared" si="77"/>
        <v>-1.6638261268924426E-2</v>
      </c>
      <c r="K1182" s="7">
        <f t="shared" si="78"/>
        <v>1.8695871611431158E-2</v>
      </c>
      <c r="L1182" s="7"/>
    </row>
    <row r="1183" spans="1:12" x14ac:dyDescent="0.25">
      <c r="A1183" s="2" t="s">
        <v>1200</v>
      </c>
      <c r="B1183" s="7">
        <v>2.4139629812091057E-2</v>
      </c>
      <c r="C1183" s="7">
        <v>1.6173851086569435E-2</v>
      </c>
      <c r="D1183" s="7">
        <v>-9.8522167487684609E-3</v>
      </c>
      <c r="E1183" s="7">
        <v>9.4989194350907358E-3</v>
      </c>
      <c r="F1183" s="7">
        <v>1.1649703264435818E-3</v>
      </c>
      <c r="G1183" s="7"/>
      <c r="H1183" s="7">
        <f t="shared" si="75"/>
        <v>2.2974659485647475E-2</v>
      </c>
      <c r="I1183" s="7">
        <f t="shared" si="76"/>
        <v>1.5008880760125853E-2</v>
      </c>
      <c r="J1183" s="7">
        <f t="shared" si="77"/>
        <v>-1.1017187075212043E-2</v>
      </c>
      <c r="K1183" s="7">
        <f t="shared" si="78"/>
        <v>8.333949108647154E-3</v>
      </c>
      <c r="L1183" s="7"/>
    </row>
    <row r="1184" spans="1:12" x14ac:dyDescent="0.25">
      <c r="A1184" s="2" t="s">
        <v>1201</v>
      </c>
      <c r="B1184" s="7">
        <v>7.873457227975722E-3</v>
      </c>
      <c r="C1184" s="7">
        <v>-1.9200682690940774E-3</v>
      </c>
      <c r="D1184" s="7">
        <v>-1.9323671497584516E-2</v>
      </c>
      <c r="E1184" s="7">
        <v>1.9626934508558014E-2</v>
      </c>
      <c r="F1184" s="7">
        <v>-3.516830382495284E-3</v>
      </c>
      <c r="G1184" s="7"/>
      <c r="H1184" s="7">
        <f t="shared" si="75"/>
        <v>1.1390287610471006E-2</v>
      </c>
      <c r="I1184" s="7">
        <f t="shared" si="76"/>
        <v>1.5967621134012067E-3</v>
      </c>
      <c r="J1184" s="7">
        <f t="shared" si="77"/>
        <v>-1.5806841115089232E-2</v>
      </c>
      <c r="K1184" s="7">
        <f t="shared" si="78"/>
        <v>2.3143764891053298E-2</v>
      </c>
      <c r="L1184" s="7"/>
    </row>
    <row r="1185" spans="1:12" x14ac:dyDescent="0.25">
      <c r="A1185" s="2" t="s">
        <v>224</v>
      </c>
      <c r="B1185" s="7">
        <v>-4.2378867071621862E-3</v>
      </c>
      <c r="C1185" s="7">
        <v>-5.0237033892309713E-3</v>
      </c>
      <c r="D1185" s="7">
        <v>-2.358490566037752E-2</v>
      </c>
      <c r="E1185" s="7">
        <v>-2.2497187851520106E-3</v>
      </c>
      <c r="F1185" s="7">
        <v>3.4511562975592103E-3</v>
      </c>
      <c r="G1185" s="7"/>
      <c r="H1185" s="7">
        <f t="shared" si="75"/>
        <v>-7.6890430047213965E-3</v>
      </c>
      <c r="I1185" s="7">
        <f t="shared" si="76"/>
        <v>-8.4748596867901815E-3</v>
      </c>
      <c r="J1185" s="7">
        <f t="shared" si="77"/>
        <v>-2.703606195793673E-2</v>
      </c>
      <c r="K1185" s="7">
        <f t="shared" si="78"/>
        <v>-5.7008750827112209E-3</v>
      </c>
      <c r="L1185" s="7"/>
    </row>
    <row r="1186" spans="1:12" x14ac:dyDescent="0.25">
      <c r="A1186" s="2" t="s">
        <v>1202</v>
      </c>
      <c r="B1186" s="7">
        <v>1.309481216457975E-2</v>
      </c>
      <c r="C1186" s="7">
        <v>1.3699612681107531E-2</v>
      </c>
      <c r="D1186" s="7">
        <v>2.4154589371980784E-2</v>
      </c>
      <c r="E1186" s="7">
        <v>3.0453108535300366E-2</v>
      </c>
      <c r="F1186" s="7">
        <v>1.1277951870247049E-2</v>
      </c>
      <c r="G1186" s="7"/>
      <c r="H1186" s="7">
        <f t="shared" si="75"/>
        <v>1.8168602943327006E-3</v>
      </c>
      <c r="I1186" s="7">
        <f t="shared" si="76"/>
        <v>2.421660810860482E-3</v>
      </c>
      <c r="J1186" s="7">
        <f t="shared" si="77"/>
        <v>1.2876637501733734E-2</v>
      </c>
      <c r="K1186" s="7">
        <f t="shared" si="78"/>
        <v>1.9175156665053317E-2</v>
      </c>
      <c r="L1186" s="7"/>
    </row>
    <row r="1187" spans="1:12" x14ac:dyDescent="0.25">
      <c r="A1187" s="2" t="s">
        <v>1203</v>
      </c>
      <c r="B1187" s="7">
        <v>-9.2165898617512232E-3</v>
      </c>
      <c r="C1187" s="7">
        <v>-7.8986693232763194E-3</v>
      </c>
      <c r="D1187" s="7">
        <v>-2.358490566037752E-2</v>
      </c>
      <c r="E1187" s="7">
        <v>-3.9181937835375047E-2</v>
      </c>
      <c r="F1187" s="7">
        <v>-8.56101125941644E-3</v>
      </c>
      <c r="G1187" s="7"/>
      <c r="H1187" s="7">
        <f t="shared" si="75"/>
        <v>-6.5557860233478316E-4</v>
      </c>
      <c r="I1187" s="7">
        <f t="shared" si="76"/>
        <v>6.623419361401206E-4</v>
      </c>
      <c r="J1187" s="7">
        <f t="shared" si="77"/>
        <v>-1.502389440096108E-2</v>
      </c>
      <c r="K1187" s="7">
        <f t="shared" si="78"/>
        <v>-3.0620926575958607E-2</v>
      </c>
      <c r="L1187" s="7"/>
    </row>
    <row r="1188" spans="1:12" x14ac:dyDescent="0.25">
      <c r="A1188" s="2" t="s">
        <v>1204</v>
      </c>
      <c r="B1188" s="7">
        <v>1.797055427251748E-2</v>
      </c>
      <c r="C1188" s="7">
        <v>1.5096792834440986E-2</v>
      </c>
      <c r="D1188" s="7">
        <v>-3.6363636363636376E-2</v>
      </c>
      <c r="E1188" s="7">
        <v>-1.701831210191096E-2</v>
      </c>
      <c r="F1188" s="7">
        <v>3.359011313352811E-3</v>
      </c>
      <c r="G1188" s="7"/>
      <c r="H1188" s="7">
        <f t="shared" si="75"/>
        <v>1.4611542959164669E-2</v>
      </c>
      <c r="I1188" s="7">
        <f t="shared" si="76"/>
        <v>1.1737781521088175E-2</v>
      </c>
      <c r="J1188" s="7">
        <f t="shared" si="77"/>
        <v>-3.9722647676989187E-2</v>
      </c>
      <c r="K1188" s="7">
        <f t="shared" si="78"/>
        <v>-2.0377323415263771E-2</v>
      </c>
      <c r="L1188" s="7"/>
    </row>
    <row r="1189" spans="1:12" x14ac:dyDescent="0.25">
      <c r="A1189" s="2" t="s">
        <v>1205</v>
      </c>
      <c r="B1189" s="7">
        <v>1.4719882826803365E-2</v>
      </c>
      <c r="C1189" s="7">
        <v>-1.5012451085023248E-2</v>
      </c>
      <c r="D1189" s="7">
        <v>4.5662100456622667E-3</v>
      </c>
      <c r="E1189" s="7">
        <v>-2.8239845261121888E-2</v>
      </c>
      <c r="F1189" s="7">
        <v>-2.0219008625245172E-3</v>
      </c>
      <c r="G1189" s="7"/>
      <c r="H1189" s="7">
        <f t="shared" si="75"/>
        <v>1.6741783689327883E-2</v>
      </c>
      <c r="I1189" s="7">
        <f t="shared" si="76"/>
        <v>-1.2990550222498731E-2</v>
      </c>
      <c r="J1189" s="7">
        <f t="shared" si="77"/>
        <v>6.5881109081867839E-3</v>
      </c>
      <c r="K1189" s="7">
        <f t="shared" si="78"/>
        <v>-2.621794439859737E-2</v>
      </c>
      <c r="L1189" s="7"/>
    </row>
    <row r="1190" spans="1:12" x14ac:dyDescent="0.25">
      <c r="A1190" s="2" t="s">
        <v>1206</v>
      </c>
      <c r="B1190" s="7">
        <v>1.9562458000448091E-2</v>
      </c>
      <c r="C1190" s="7">
        <v>4.0002857346952414E-3</v>
      </c>
      <c r="D1190" s="7">
        <v>-4.5454545454546302E-3</v>
      </c>
      <c r="E1190" s="7">
        <v>-1.8556309619856659E-2</v>
      </c>
      <c r="F1190" s="7">
        <v>7.5001041681135305E-3</v>
      </c>
      <c r="G1190" s="7"/>
      <c r="H1190" s="7">
        <f t="shared" si="75"/>
        <v>1.206235383233456E-2</v>
      </c>
      <c r="I1190" s="7">
        <f t="shared" si="76"/>
        <v>-3.4998184334182891E-3</v>
      </c>
      <c r="J1190" s="7">
        <f t="shared" si="77"/>
        <v>-1.2045558713568161E-2</v>
      </c>
      <c r="K1190" s="7">
        <f t="shared" si="78"/>
        <v>-2.605641378797019E-2</v>
      </c>
      <c r="L1190" s="7"/>
    </row>
    <row r="1191" spans="1:12" x14ac:dyDescent="0.25">
      <c r="A1191" s="2" t="s">
        <v>1207</v>
      </c>
      <c r="B1191" s="7">
        <v>2.2450048641773357E-3</v>
      </c>
      <c r="C1191" s="7">
        <v>2.2911147705306778E-3</v>
      </c>
      <c r="D1191" s="7">
        <v>-3.083700440528625E-2</v>
      </c>
      <c r="E1191" s="7">
        <v>-2.1637182523099763E-2</v>
      </c>
      <c r="F1191" s="7">
        <v>5.2216404886560319E-3</v>
      </c>
      <c r="G1191" s="7"/>
      <c r="H1191" s="7">
        <f t="shared" si="75"/>
        <v>-2.9766356244786962E-3</v>
      </c>
      <c r="I1191" s="7">
        <f t="shared" si="76"/>
        <v>-2.9305257181253541E-3</v>
      </c>
      <c r="J1191" s="7">
        <f t="shared" si="77"/>
        <v>-3.6058644893942282E-2</v>
      </c>
      <c r="K1191" s="7">
        <f t="shared" si="78"/>
        <v>-2.6858823011755795E-2</v>
      </c>
      <c r="L1191" s="7"/>
    </row>
    <row r="1192" spans="1:12" x14ac:dyDescent="0.25">
      <c r="A1192" s="2" t="s">
        <v>1208</v>
      </c>
      <c r="B1192" s="7">
        <v>4.6613036613789571E-3</v>
      </c>
      <c r="C1192" s="7">
        <v>1.3276262333139721E-2</v>
      </c>
      <c r="D1192" s="7">
        <v>8.8888888888889461E-3</v>
      </c>
      <c r="E1192" s="7">
        <v>-1.1610830656264337E-2</v>
      </c>
      <c r="F1192" s="7">
        <v>1.3281140780092571E-3</v>
      </c>
      <c r="G1192" s="7"/>
      <c r="H1192" s="7">
        <f t="shared" si="75"/>
        <v>3.3331895833697001E-3</v>
      </c>
      <c r="I1192" s="7">
        <f t="shared" si="76"/>
        <v>1.1948148255130464E-2</v>
      </c>
      <c r="J1192" s="7">
        <f t="shared" si="77"/>
        <v>7.5607748108796891E-3</v>
      </c>
      <c r="K1192" s="7">
        <f t="shared" si="78"/>
        <v>-1.2938944734273594E-2</v>
      </c>
      <c r="L1192" s="7"/>
    </row>
    <row r="1193" spans="1:12" x14ac:dyDescent="0.25">
      <c r="A1193" s="2" t="s">
        <v>1209</v>
      </c>
      <c r="B1193" s="7">
        <v>1.1482889733840151E-2</v>
      </c>
      <c r="C1193" s="7">
        <v>-2.3883621625532259E-3</v>
      </c>
      <c r="D1193" s="7">
        <v>0</v>
      </c>
      <c r="E1193" s="7">
        <v>3.7311714035652699E-3</v>
      </c>
      <c r="F1193" s="7">
        <v>2.7734984069871516E-4</v>
      </c>
      <c r="G1193" s="7"/>
      <c r="H1193" s="7">
        <f t="shared" si="75"/>
        <v>1.1205539893141436E-2</v>
      </c>
      <c r="I1193" s="7">
        <f t="shared" si="76"/>
        <v>-2.665712003251941E-3</v>
      </c>
      <c r="J1193" s="7">
        <f t="shared" si="77"/>
        <v>-2.7734984069871516E-4</v>
      </c>
      <c r="K1193" s="7">
        <f t="shared" si="78"/>
        <v>3.4538215628665547E-3</v>
      </c>
      <c r="L1193" s="7"/>
    </row>
    <row r="1194" spans="1:12" x14ac:dyDescent="0.25">
      <c r="A1194" s="2" t="s">
        <v>225</v>
      </c>
      <c r="B1194" s="7">
        <v>1.255101255101243E-2</v>
      </c>
      <c r="C1194" s="7">
        <v>8.9820359281436168E-3</v>
      </c>
      <c r="D1194" s="7">
        <v>-4.6610169491525411E-2</v>
      </c>
      <c r="E1194" s="7">
        <v>3.68646606147216E-4</v>
      </c>
      <c r="F1194" s="7">
        <v>2.3150419323942906E-3</v>
      </c>
      <c r="G1194" s="7"/>
      <c r="H1194" s="7">
        <f t="shared" si="75"/>
        <v>1.023597061861814E-2</v>
      </c>
      <c r="I1194" s="7">
        <f t="shared" si="76"/>
        <v>6.6669939957493263E-3</v>
      </c>
      <c r="J1194" s="7">
        <f t="shared" si="77"/>
        <v>-4.8925211423919701E-2</v>
      </c>
      <c r="K1194" s="7">
        <f t="shared" si="78"/>
        <v>-1.9463953262470746E-3</v>
      </c>
      <c r="L1194" s="7"/>
    </row>
    <row r="1195" spans="1:12" x14ac:dyDescent="0.25">
      <c r="A1195" s="2" t="s">
        <v>1210</v>
      </c>
      <c r="B1195" s="7">
        <v>-2.2280270436385585E-3</v>
      </c>
      <c r="C1195" s="7">
        <v>7.7268378835824159E-3</v>
      </c>
      <c r="D1195" s="7">
        <v>-1.2552301255230214E-2</v>
      </c>
      <c r="E1195" s="7">
        <v>4.6386035970876094E-2</v>
      </c>
      <c r="F1195" s="7">
        <v>3.3306066579319449E-3</v>
      </c>
      <c r="G1195" s="7"/>
      <c r="H1195" s="7">
        <f t="shared" si="75"/>
        <v>-5.5586337015705034E-3</v>
      </c>
      <c r="I1195" s="7">
        <f t="shared" si="76"/>
        <v>4.396231225650471E-3</v>
      </c>
      <c r="J1195" s="7">
        <f t="shared" si="77"/>
        <v>-1.5882907913162159E-2</v>
      </c>
      <c r="K1195" s="7">
        <f t="shared" si="78"/>
        <v>4.3055429312944149E-2</v>
      </c>
      <c r="L1195" s="7"/>
    </row>
    <row r="1196" spans="1:12" x14ac:dyDescent="0.25">
      <c r="A1196" s="2" t="s">
        <v>1211</v>
      </c>
      <c r="B1196" s="7">
        <v>-2.1465808034345502E-3</v>
      </c>
      <c r="C1196" s="7">
        <v>4.6576962886293316E-3</v>
      </c>
      <c r="D1196" s="7">
        <v>0</v>
      </c>
      <c r="E1196" s="7">
        <v>1.6368537123254034E-2</v>
      </c>
      <c r="F1196" s="7">
        <v>5.8111574222505791E-3</v>
      </c>
      <c r="G1196" s="7"/>
      <c r="H1196" s="7">
        <f t="shared" si="75"/>
        <v>-7.9577382256851292E-3</v>
      </c>
      <c r="I1196" s="7">
        <f t="shared" si="76"/>
        <v>-1.1534611336212475E-3</v>
      </c>
      <c r="J1196" s="7">
        <f t="shared" si="77"/>
        <v>-5.8111574222505791E-3</v>
      </c>
      <c r="K1196" s="7">
        <f t="shared" si="78"/>
        <v>1.0557379701003455E-2</v>
      </c>
      <c r="L1196" s="7"/>
    </row>
    <row r="1197" spans="1:12" x14ac:dyDescent="0.25">
      <c r="A1197" s="2" t="s">
        <v>1212</v>
      </c>
      <c r="B1197" s="7">
        <v>-2.1419828641371375E-3</v>
      </c>
      <c r="C1197" s="7">
        <v>-1.4211792143429935E-2</v>
      </c>
      <c r="D1197" s="7">
        <v>8.4388185654007408E-3</v>
      </c>
      <c r="E1197" s="7">
        <v>1.6742239274503135E-2</v>
      </c>
      <c r="F1197" s="7">
        <v>-1.0832603310065858E-3</v>
      </c>
      <c r="G1197" s="7"/>
      <c r="H1197" s="7">
        <f t="shared" si="75"/>
        <v>-1.0587225331305516E-3</v>
      </c>
      <c r="I1197" s="7">
        <f t="shared" si="76"/>
        <v>-1.312853181242335E-2</v>
      </c>
      <c r="J1197" s="7">
        <f t="shared" si="77"/>
        <v>9.5220788964073266E-3</v>
      </c>
      <c r="K1197" s="7">
        <f t="shared" si="78"/>
        <v>1.782549960550972E-2</v>
      </c>
      <c r="L1197" s="7"/>
    </row>
    <row r="1198" spans="1:12" x14ac:dyDescent="0.25">
      <c r="A1198" s="2" t="s">
        <v>1213</v>
      </c>
      <c r="B1198" s="7">
        <v>1.2705299039355245E-2</v>
      </c>
      <c r="C1198" s="7">
        <v>-3.6427218417589557E-4</v>
      </c>
      <c r="D1198" s="7">
        <v>-8.3682008368201055E-3</v>
      </c>
      <c r="E1198" s="7">
        <v>1.2472560367191576E-3</v>
      </c>
      <c r="F1198" s="7">
        <v>5.124515064653945E-3</v>
      </c>
      <c r="G1198" s="7"/>
      <c r="H1198" s="7">
        <f t="shared" si="75"/>
        <v>7.5807839747012995E-3</v>
      </c>
      <c r="I1198" s="7">
        <f t="shared" si="76"/>
        <v>-5.4887872488298406E-3</v>
      </c>
      <c r="J1198" s="7">
        <f t="shared" si="77"/>
        <v>-1.3492715901474051E-2</v>
      </c>
      <c r="K1198" s="7">
        <f t="shared" si="78"/>
        <v>-3.8772590279347874E-3</v>
      </c>
      <c r="L1198" s="7"/>
    </row>
    <row r="1199" spans="1:12" x14ac:dyDescent="0.25">
      <c r="A1199" s="2" t="s">
        <v>226</v>
      </c>
      <c r="B1199" s="7">
        <v>1.4142049025769987E-2</v>
      </c>
      <c r="C1199" s="7">
        <v>1.8778297335411587E-2</v>
      </c>
      <c r="D1199" s="7">
        <v>4.2016806722691147E-3</v>
      </c>
      <c r="E1199" s="7">
        <v>-5.8525939886916456E-3</v>
      </c>
      <c r="F1199" s="7">
        <v>1.4002328121062391E-2</v>
      </c>
      <c r="G1199" s="7"/>
      <c r="H1199" s="7">
        <f t="shared" si="75"/>
        <v>1.3972090470759646E-4</v>
      </c>
      <c r="I1199" s="7">
        <f t="shared" si="76"/>
        <v>4.7759692143491961E-3</v>
      </c>
      <c r="J1199" s="7">
        <f t="shared" si="77"/>
        <v>-9.800647448793276E-3</v>
      </c>
      <c r="K1199" s="7">
        <f t="shared" si="78"/>
        <v>-1.9854922109754036E-2</v>
      </c>
      <c r="L1199" s="7"/>
    </row>
    <row r="1200" spans="1:12" x14ac:dyDescent="0.25">
      <c r="A1200" s="2" t="s">
        <v>1214</v>
      </c>
      <c r="B1200" s="7">
        <v>-1.0110437081972345E-2</v>
      </c>
      <c r="C1200" s="7">
        <v>-1.8074484367028743E-2</v>
      </c>
      <c r="D1200" s="7">
        <v>-4.1841004184101083E-3</v>
      </c>
      <c r="E1200" s="7">
        <v>3.284235668789881E-3</v>
      </c>
      <c r="F1200" s="7">
        <v>-1.3124547000611053E-2</v>
      </c>
      <c r="G1200" s="7"/>
      <c r="H1200" s="7">
        <f t="shared" si="75"/>
        <v>3.0141099186387077E-3</v>
      </c>
      <c r="I1200" s="7">
        <f t="shared" si="76"/>
        <v>-4.9499373664176893E-3</v>
      </c>
      <c r="J1200" s="7">
        <f t="shared" si="77"/>
        <v>8.9404465822009449E-3</v>
      </c>
      <c r="K1200" s="7">
        <f t="shared" si="78"/>
        <v>1.6408782669400934E-2</v>
      </c>
      <c r="L1200" s="7"/>
    </row>
    <row r="1201" spans="1:12" x14ac:dyDescent="0.25">
      <c r="A1201" s="2" t="s">
        <v>1215</v>
      </c>
      <c r="B1201" s="7">
        <v>1.2600409513309208E-2</v>
      </c>
      <c r="C1201" s="7">
        <v>-9.0278780875343578E-3</v>
      </c>
      <c r="D1201" s="7">
        <v>-2.4489795918367419E-2</v>
      </c>
      <c r="E1201" s="7">
        <v>1.091604205442942E-2</v>
      </c>
      <c r="F1201" s="7">
        <v>-4.3563700073401268E-4</v>
      </c>
      <c r="G1201" s="7"/>
      <c r="H1201" s="7">
        <f t="shared" si="75"/>
        <v>1.303604651404322E-2</v>
      </c>
      <c r="I1201" s="7">
        <f t="shared" si="76"/>
        <v>-8.5922410868003452E-3</v>
      </c>
      <c r="J1201" s="7">
        <f t="shared" si="77"/>
        <v>-2.4054158917633406E-2</v>
      </c>
      <c r="K1201" s="7">
        <f t="shared" si="78"/>
        <v>1.1351679055163433E-2</v>
      </c>
      <c r="L1201" s="7"/>
    </row>
    <row r="1202" spans="1:12" x14ac:dyDescent="0.25">
      <c r="A1202" s="2" t="s">
        <v>1216</v>
      </c>
      <c r="B1202" s="7">
        <v>3.953194180898123E-3</v>
      </c>
      <c r="C1202" s="7">
        <v>-1.8431872961860107E-2</v>
      </c>
      <c r="D1202" s="7">
        <v>0</v>
      </c>
      <c r="E1202" s="7">
        <v>-3.5089478169332278E-3</v>
      </c>
      <c r="F1202" s="7">
        <v>-5.3902072015429292E-3</v>
      </c>
      <c r="G1202" s="7"/>
      <c r="H1202" s="7">
        <f t="shared" si="75"/>
        <v>9.3434013824410522E-3</v>
      </c>
      <c r="I1202" s="7">
        <f t="shared" si="76"/>
        <v>-1.3041665760317178E-2</v>
      </c>
      <c r="J1202" s="7">
        <f t="shared" si="77"/>
        <v>5.3902072015429292E-3</v>
      </c>
      <c r="K1202" s="7">
        <f t="shared" si="78"/>
        <v>1.8812593846097014E-3</v>
      </c>
      <c r="L1202" s="7"/>
    </row>
    <row r="1203" spans="1:12" x14ac:dyDescent="0.25">
      <c r="A1203" s="2" t="s">
        <v>1217</v>
      </c>
      <c r="B1203" s="7">
        <v>-6.4414768263942879E-3</v>
      </c>
      <c r="C1203" s="7">
        <v>-3.7432022035454038E-3</v>
      </c>
      <c r="D1203" s="7">
        <v>8.2304526748970819E-3</v>
      </c>
      <c r="E1203" s="7">
        <v>-1.8161236342159603E-2</v>
      </c>
      <c r="F1203" s="7">
        <v>-2.0116799642784233E-3</v>
      </c>
      <c r="G1203" s="7"/>
      <c r="H1203" s="7">
        <f t="shared" si="75"/>
        <v>-4.4297968621158645E-3</v>
      </c>
      <c r="I1203" s="7">
        <f t="shared" si="76"/>
        <v>-1.7315222392669805E-3</v>
      </c>
      <c r="J1203" s="7">
        <f t="shared" si="77"/>
        <v>1.0242132639175505E-2</v>
      </c>
      <c r="K1203" s="7">
        <f t="shared" si="78"/>
        <v>-1.614955637788118E-2</v>
      </c>
      <c r="L1203" s="7"/>
    </row>
    <row r="1204" spans="1:12" x14ac:dyDescent="0.25">
      <c r="A1204" s="2" t="s">
        <v>227</v>
      </c>
      <c r="B1204" s="7">
        <v>2.4547283702213152E-2</v>
      </c>
      <c r="C1204" s="7">
        <v>-7.1523736063390242E-3</v>
      </c>
      <c r="D1204" s="7">
        <v>-8.1632653061224358E-3</v>
      </c>
      <c r="E1204" s="7">
        <v>1.0896064480820034E-2</v>
      </c>
      <c r="F1204" s="7">
        <v>1.8152110447704484E-3</v>
      </c>
      <c r="G1204" s="7"/>
      <c r="H1204" s="7">
        <f t="shared" si="75"/>
        <v>2.2732072657442703E-2</v>
      </c>
      <c r="I1204" s="7">
        <f t="shared" si="76"/>
        <v>-8.9675846511094726E-3</v>
      </c>
      <c r="J1204" s="7">
        <f t="shared" si="77"/>
        <v>-9.9784763508928842E-3</v>
      </c>
      <c r="K1204" s="7">
        <f t="shared" si="78"/>
        <v>9.0808534360495852E-3</v>
      </c>
      <c r="L1204" s="7"/>
    </row>
    <row r="1205" spans="1:12" x14ac:dyDescent="0.25">
      <c r="A1205" s="2" t="s">
        <v>1218</v>
      </c>
      <c r="B1205" s="7">
        <v>9.8342002600779743E-3</v>
      </c>
      <c r="C1205" s="7">
        <v>-1.5402926556045138E-3</v>
      </c>
      <c r="D1205" s="7">
        <v>0</v>
      </c>
      <c r="E1205" s="7">
        <v>-6.7210279219174218E-3</v>
      </c>
      <c r="F1205" s="7">
        <v>1.9484900381676606E-3</v>
      </c>
      <c r="G1205" s="7"/>
      <c r="H1205" s="7">
        <f t="shared" si="75"/>
        <v>7.8857102219103137E-3</v>
      </c>
      <c r="I1205" s="7">
        <f t="shared" si="76"/>
        <v>-3.4887826937721744E-3</v>
      </c>
      <c r="J1205" s="7">
        <f t="shared" si="77"/>
        <v>-1.9484900381676606E-3</v>
      </c>
      <c r="K1205" s="7">
        <f t="shared" si="78"/>
        <v>-8.6695179600850825E-3</v>
      </c>
      <c r="L1205" s="7"/>
    </row>
    <row r="1206" spans="1:12" x14ac:dyDescent="0.25">
      <c r="A1206" s="2" t="s">
        <v>1219</v>
      </c>
      <c r="B1206" s="7">
        <v>-7.9819398532612329E-3</v>
      </c>
      <c r="C1206" s="7">
        <v>1.8939393939394478E-3</v>
      </c>
      <c r="D1206" s="7">
        <v>2.5104602510460206E-2</v>
      </c>
      <c r="E1206" s="7">
        <v>-1.1846586702206618E-3</v>
      </c>
      <c r="F1206" s="7">
        <v>4.652154850635748E-3</v>
      </c>
      <c r="G1206" s="7"/>
      <c r="H1206" s="7">
        <f t="shared" si="75"/>
        <v>-1.2634094703896981E-2</v>
      </c>
      <c r="I1206" s="7">
        <f t="shared" si="76"/>
        <v>-2.7582154566963002E-3</v>
      </c>
      <c r="J1206" s="7">
        <f t="shared" si="77"/>
        <v>2.0452447659824458E-2</v>
      </c>
      <c r="K1206" s="7">
        <f t="shared" si="78"/>
        <v>-5.8368135208564098E-3</v>
      </c>
      <c r="L1206" s="7"/>
    </row>
    <row r="1207" spans="1:12" x14ac:dyDescent="0.25">
      <c r="A1207" s="2" t="s">
        <v>1220</v>
      </c>
      <c r="B1207" s="7">
        <v>3.0731904569347712E-3</v>
      </c>
      <c r="C1207" s="7">
        <v>-4.191114836546439E-3</v>
      </c>
      <c r="D1207" s="7">
        <v>-1.6460905349794275E-2</v>
      </c>
      <c r="E1207" s="7">
        <v>-1.1563231850117095E-2</v>
      </c>
      <c r="F1207" s="7">
        <v>-1.8238764589828538E-3</v>
      </c>
      <c r="G1207" s="7"/>
      <c r="H1207" s="7">
        <f t="shared" si="75"/>
        <v>4.897066915917625E-3</v>
      </c>
      <c r="I1207" s="7">
        <f t="shared" si="76"/>
        <v>-2.3672383775635852E-3</v>
      </c>
      <c r="J1207" s="7">
        <f t="shared" si="77"/>
        <v>-1.4637028890811421E-2</v>
      </c>
      <c r="K1207" s="7">
        <f t="shared" si="78"/>
        <v>-9.7393553911342412E-3</v>
      </c>
      <c r="L1207" s="7"/>
    </row>
    <row r="1208" spans="1:12" x14ac:dyDescent="0.25">
      <c r="A1208" s="2" t="s">
        <v>1221</v>
      </c>
      <c r="B1208" s="7">
        <v>6.6758935113571116E-3</v>
      </c>
      <c r="C1208" s="7">
        <v>-6.2827225130890341E-4</v>
      </c>
      <c r="D1208" s="7">
        <v>-4.098360655737654E-3</v>
      </c>
      <c r="E1208" s="7">
        <v>-5.0002427302295871E-3</v>
      </c>
      <c r="F1208" s="7">
        <v>1.7508493985585183E-4</v>
      </c>
      <c r="G1208" s="7"/>
      <c r="H1208" s="7">
        <f t="shared" si="75"/>
        <v>6.5008085715012598E-3</v>
      </c>
      <c r="I1208" s="7">
        <f t="shared" si="76"/>
        <v>-8.0335719116475524E-4</v>
      </c>
      <c r="J1208" s="7">
        <f t="shared" si="77"/>
        <v>-4.2734455955935058E-3</v>
      </c>
      <c r="K1208" s="7">
        <f t="shared" si="78"/>
        <v>-5.1753276700854389E-3</v>
      </c>
      <c r="L1208" s="7"/>
    </row>
    <row r="1209" spans="1:12" x14ac:dyDescent="0.25">
      <c r="A1209" s="2" t="s">
        <v>228</v>
      </c>
      <c r="B1209" s="7">
        <v>8.1419964175211135E-5</v>
      </c>
      <c r="C1209" s="7">
        <v>-1.1318931603285121E-2</v>
      </c>
      <c r="D1209" s="7">
        <v>2.9535864978902815E-2</v>
      </c>
      <c r="E1209" s="7">
        <v>-9.6634615384615374E-3</v>
      </c>
      <c r="F1209" s="7">
        <v>-7.9671102558220852E-4</v>
      </c>
      <c r="G1209" s="7"/>
      <c r="H1209" s="7">
        <f t="shared" si="75"/>
        <v>8.7813098975741966E-4</v>
      </c>
      <c r="I1209" s="7">
        <f t="shared" si="76"/>
        <v>-1.0522220577702912E-2</v>
      </c>
      <c r="J1209" s="7">
        <f t="shared" si="77"/>
        <v>3.0332576004485023E-2</v>
      </c>
      <c r="K1209" s="7">
        <f t="shared" si="78"/>
        <v>-8.8667505128793289E-3</v>
      </c>
      <c r="L1209" s="7"/>
    </row>
    <row r="1210" spans="1:12" x14ac:dyDescent="0.25">
      <c r="A1210" s="2" t="s">
        <v>1222</v>
      </c>
      <c r="B1210" s="7">
        <v>1.8999419231726433E-2</v>
      </c>
      <c r="C1210" s="7">
        <v>1.1731024369806331E-2</v>
      </c>
      <c r="D1210" s="7">
        <v>-3.2653061224489854E-2</v>
      </c>
      <c r="E1210" s="7">
        <v>9.1209004463419507E-3</v>
      </c>
      <c r="F1210" s="7">
        <v>8.8340865998068896E-3</v>
      </c>
      <c r="G1210" s="7"/>
      <c r="H1210" s="7">
        <f t="shared" si="75"/>
        <v>1.0165332631919544E-2</v>
      </c>
      <c r="I1210" s="7">
        <f t="shared" si="76"/>
        <v>2.8969377699994414E-3</v>
      </c>
      <c r="J1210" s="7">
        <f t="shared" si="77"/>
        <v>-4.1487147824296744E-2</v>
      </c>
      <c r="K1210" s="7">
        <f t="shared" si="78"/>
        <v>2.8681384653506115E-4</v>
      </c>
      <c r="L1210" s="7"/>
    </row>
    <row r="1211" spans="1:12" x14ac:dyDescent="0.25">
      <c r="A1211" s="2" t="s">
        <v>1223</v>
      </c>
      <c r="B1211" s="7">
        <v>-1.2130153266125765E-2</v>
      </c>
      <c r="C1211" s="7">
        <v>1.8188177684506091E-3</v>
      </c>
      <c r="D1211" s="7">
        <v>-1.9999999999999907E-2</v>
      </c>
      <c r="E1211" s="7">
        <v>-1.1604488347559117E-2</v>
      </c>
      <c r="F1211" s="7">
        <v>-3.6286988013648491E-3</v>
      </c>
      <c r="G1211" s="7"/>
      <c r="H1211" s="7">
        <f t="shared" si="75"/>
        <v>-8.5014544647609158E-3</v>
      </c>
      <c r="I1211" s="7">
        <f t="shared" si="76"/>
        <v>5.4475165698154582E-3</v>
      </c>
      <c r="J1211" s="7">
        <f t="shared" si="77"/>
        <v>-1.6371301198635058E-2</v>
      </c>
      <c r="K1211" s="7">
        <f t="shared" si="78"/>
        <v>-7.9757895461942674E-3</v>
      </c>
      <c r="L1211" s="7"/>
    </row>
    <row r="1212" spans="1:12" x14ac:dyDescent="0.25">
      <c r="A1212" s="2" t="s">
        <v>1224</v>
      </c>
      <c r="B1212" s="7">
        <v>6.268041237113442E-3</v>
      </c>
      <c r="C1212" s="7">
        <v>4.8992161254202138E-4</v>
      </c>
      <c r="D1212" s="7">
        <v>-3.474903474903468E-2</v>
      </c>
      <c r="E1212" s="7">
        <v>4.797543657646397E-4</v>
      </c>
      <c r="F1212" s="7">
        <v>1.4469162597214869E-3</v>
      </c>
      <c r="G1212" s="7"/>
      <c r="H1212" s="7">
        <f t="shared" si="75"/>
        <v>4.8211249773919551E-3</v>
      </c>
      <c r="I1212" s="7">
        <f t="shared" si="76"/>
        <v>-9.5699464717946547E-4</v>
      </c>
      <c r="J1212" s="7">
        <f t="shared" si="77"/>
        <v>-3.6195951008756166E-2</v>
      </c>
      <c r="K1212" s="7">
        <f t="shared" si="78"/>
        <v>-9.6716189395684715E-4</v>
      </c>
      <c r="L1212" s="7"/>
    </row>
    <row r="1213" spans="1:12" x14ac:dyDescent="0.25">
      <c r="A1213" s="2" t="s">
        <v>1225</v>
      </c>
      <c r="B1213" s="7">
        <v>-2.7142622141799189E-3</v>
      </c>
      <c r="C1213" s="7">
        <v>7.7046998669172417E-4</v>
      </c>
      <c r="D1213" s="7">
        <v>8.3682008368200611E-2</v>
      </c>
      <c r="E1213" s="7">
        <v>2.5787401574803193E-2</v>
      </c>
      <c r="F1213" s="7">
        <v>-4.923753184382651E-4</v>
      </c>
      <c r="G1213" s="7"/>
      <c r="H1213" s="7">
        <f t="shared" si="75"/>
        <v>-2.2218868957416538E-3</v>
      </c>
      <c r="I1213" s="7">
        <f t="shared" si="76"/>
        <v>1.2628453051299893E-3</v>
      </c>
      <c r="J1213" s="7">
        <f t="shared" si="77"/>
        <v>8.4174383686638876E-2</v>
      </c>
      <c r="K1213" s="7">
        <f t="shared" si="78"/>
        <v>2.6279776893241458E-2</v>
      </c>
      <c r="L1213" s="7"/>
    </row>
    <row r="1214" spans="1:12" x14ac:dyDescent="0.25">
      <c r="A1214" s="2" t="s">
        <v>1226</v>
      </c>
      <c r="B1214" s="7">
        <v>-5.3178434099648841E-3</v>
      </c>
      <c r="C1214" s="7">
        <v>-9.7963753411223209E-4</v>
      </c>
      <c r="D1214" s="7">
        <v>-4.1666666666665408E-3</v>
      </c>
      <c r="E1214" s="7">
        <v>5.7414373391406759E-3</v>
      </c>
      <c r="F1214" s="7">
        <v>7.688865190149663E-4</v>
      </c>
      <c r="G1214" s="7"/>
      <c r="H1214" s="7">
        <f t="shared" si="75"/>
        <v>-6.0867299289798504E-3</v>
      </c>
      <c r="I1214" s="7">
        <f t="shared" si="76"/>
        <v>-1.7485240531271984E-3</v>
      </c>
      <c r="J1214" s="7">
        <f t="shared" si="77"/>
        <v>-4.9355531856815071E-3</v>
      </c>
      <c r="K1214" s="7">
        <f t="shared" si="78"/>
        <v>4.9725508201257096E-3</v>
      </c>
      <c r="L1214" s="7"/>
    </row>
    <row r="1215" spans="1:12" x14ac:dyDescent="0.25">
      <c r="A1215" s="2" t="s">
        <v>1227</v>
      </c>
      <c r="B1215" s="7">
        <v>-1.2362637362637319E-2</v>
      </c>
      <c r="C1215" s="7">
        <v>8.2545505855791124E-3</v>
      </c>
      <c r="D1215" s="7">
        <v>-4.7619047619047672E-2</v>
      </c>
      <c r="E1215" s="7">
        <v>4.5244369313379718E-3</v>
      </c>
      <c r="F1215" s="7">
        <v>1.1653983922745859E-3</v>
      </c>
      <c r="G1215" s="7"/>
      <c r="H1215" s="7">
        <f t="shared" si="75"/>
        <v>-1.3528035754911905E-2</v>
      </c>
      <c r="I1215" s="7">
        <f t="shared" si="76"/>
        <v>7.0891521933045265E-3</v>
      </c>
      <c r="J1215" s="7">
        <f t="shared" si="77"/>
        <v>-4.8784446011322258E-2</v>
      </c>
      <c r="K1215" s="7">
        <f t="shared" si="78"/>
        <v>3.3590385390633859E-3</v>
      </c>
      <c r="L1215" s="7"/>
    </row>
    <row r="1216" spans="1:12" x14ac:dyDescent="0.25">
      <c r="A1216" s="2" t="s">
        <v>1228</v>
      </c>
      <c r="B1216" s="7">
        <v>-4.0384460059761373E-4</v>
      </c>
      <c r="C1216" s="7">
        <v>-6.3456250440674378E-4</v>
      </c>
      <c r="D1216" s="7">
        <v>1.6129032258064502E-2</v>
      </c>
      <c r="E1216" s="7">
        <v>3.0921151064784436E-3</v>
      </c>
      <c r="F1216" s="7">
        <v>1.876732575158746E-3</v>
      </c>
      <c r="G1216" s="7"/>
      <c r="H1216" s="7">
        <f t="shared" si="75"/>
        <v>-2.2805771757563598E-3</v>
      </c>
      <c r="I1216" s="7">
        <f t="shared" si="76"/>
        <v>-2.5112950795654898E-3</v>
      </c>
      <c r="J1216" s="7">
        <f t="shared" si="77"/>
        <v>1.4252299682905756E-2</v>
      </c>
      <c r="K1216" s="7">
        <f t="shared" si="78"/>
        <v>1.2153825313196975E-3</v>
      </c>
      <c r="L1216" s="7"/>
    </row>
    <row r="1217" spans="1:12" x14ac:dyDescent="0.25">
      <c r="A1217" s="2" t="s">
        <v>1229</v>
      </c>
      <c r="B1217" s="7">
        <v>-1.6127731634545395E-3</v>
      </c>
      <c r="C1217" s="7">
        <v>-4.4921737909734416E-3</v>
      </c>
      <c r="D1217" s="7">
        <v>8.1300813008129413E-3</v>
      </c>
      <c r="E1217" s="7">
        <v>3.3024768576432884E-3</v>
      </c>
      <c r="F1217" s="7">
        <v>-2.1253022956601031E-3</v>
      </c>
      <c r="G1217" s="7"/>
      <c r="H1217" s="7">
        <f t="shared" si="75"/>
        <v>5.1252913220556362E-4</v>
      </c>
      <c r="I1217" s="7">
        <f t="shared" si="76"/>
        <v>-2.3668714953133385E-3</v>
      </c>
      <c r="J1217" s="7">
        <f t="shared" si="77"/>
        <v>1.0255383596473044E-2</v>
      </c>
      <c r="K1217" s="7">
        <f t="shared" si="78"/>
        <v>5.4277791533033914E-3</v>
      </c>
      <c r="L1217" s="7"/>
    </row>
    <row r="1218" spans="1:12" x14ac:dyDescent="0.25">
      <c r="A1218" s="2" t="s">
        <v>229</v>
      </c>
      <c r="B1218" s="7">
        <v>1.3319169798986952E-2</v>
      </c>
      <c r="C1218" s="7">
        <v>3.7339721008877724E-3</v>
      </c>
      <c r="D1218" s="7">
        <v>4.0816326530610514E-3</v>
      </c>
      <c r="E1218" s="7">
        <v>-2.9435242466573364E-3</v>
      </c>
      <c r="F1218" s="7">
        <v>9.9113059631461553E-3</v>
      </c>
      <c r="G1218" s="7"/>
      <c r="H1218" s="7">
        <f t="shared" si="75"/>
        <v>3.4078638358407964E-3</v>
      </c>
      <c r="I1218" s="7">
        <f t="shared" si="76"/>
        <v>-6.1773338622583829E-3</v>
      </c>
      <c r="J1218" s="7">
        <f t="shared" si="77"/>
        <v>-5.8296733100851039E-3</v>
      </c>
      <c r="K1218" s="7">
        <f t="shared" si="78"/>
        <v>-1.2854830209803492E-2</v>
      </c>
      <c r="L1218" s="7"/>
    </row>
    <row r="1219" spans="1:12" x14ac:dyDescent="0.25">
      <c r="A1219" s="2" t="s">
        <v>1230</v>
      </c>
      <c r="B1219" s="7">
        <v>-1.4733113275903653E-2</v>
      </c>
      <c r="C1219" s="7">
        <v>1.0579025319135127E-3</v>
      </c>
      <c r="D1219" s="7">
        <v>2.5104602510460206E-2</v>
      </c>
      <c r="E1219" s="7">
        <v>-2.7320813315863557E-2</v>
      </c>
      <c r="F1219" s="7">
        <v>-7.8381965415763588E-4</v>
      </c>
      <c r="G1219" s="7"/>
      <c r="H1219" s="7">
        <f t="shared" ref="H1219:H1256" si="79">B1219-$F1219</f>
        <v>-1.3949293621746017E-2</v>
      </c>
      <c r="I1219" s="7">
        <f t="shared" ref="I1219:I1256" si="80">C1219-$F1219</f>
        <v>1.8417221860711486E-3</v>
      </c>
      <c r="J1219" s="7">
        <f t="shared" ref="J1219:J1256" si="81">D1219-$F1219</f>
        <v>2.5888422164617841E-2</v>
      </c>
      <c r="K1219" s="7">
        <f t="shared" ref="K1219:K1256" si="82">E1219-$F1219</f>
        <v>-2.6536993661705921E-2</v>
      </c>
      <c r="L1219" s="7"/>
    </row>
    <row r="1220" spans="1:12" x14ac:dyDescent="0.25">
      <c r="A1220" s="2" t="s">
        <v>1231</v>
      </c>
      <c r="B1220" s="7">
        <v>2.1043978627209192E-2</v>
      </c>
      <c r="C1220" s="7">
        <v>2.6163201810212033E-3</v>
      </c>
      <c r="D1220" s="7">
        <v>8.4388185654007408E-3</v>
      </c>
      <c r="E1220" s="7">
        <v>2.0906613822145204E-2</v>
      </c>
      <c r="F1220" s="7">
        <v>1.0554756443649449E-2</v>
      </c>
      <c r="G1220" s="7"/>
      <c r="H1220" s="7">
        <f t="shared" si="79"/>
        <v>1.0489222183559743E-2</v>
      </c>
      <c r="I1220" s="7">
        <f t="shared" si="80"/>
        <v>-7.9384362626282456E-3</v>
      </c>
      <c r="J1220" s="7">
        <f t="shared" si="81"/>
        <v>-2.1159378782487082E-3</v>
      </c>
      <c r="K1220" s="7">
        <f t="shared" si="82"/>
        <v>1.0351857378495755E-2</v>
      </c>
      <c r="L1220" s="7"/>
    </row>
    <row r="1221" spans="1:12" x14ac:dyDescent="0.25">
      <c r="A1221" s="2" t="s">
        <v>1232</v>
      </c>
      <c r="B1221" s="7">
        <v>-1.3135210573844702E-3</v>
      </c>
      <c r="C1221" s="7">
        <v>-2.1168501270111273E-3</v>
      </c>
      <c r="D1221" s="7">
        <v>0</v>
      </c>
      <c r="E1221" s="7">
        <v>-5.5180568556929543E-3</v>
      </c>
      <c r="F1221" s="7">
        <v>-2.9434351705374118E-3</v>
      </c>
      <c r="G1221" s="7"/>
      <c r="H1221" s="7">
        <f t="shared" si="79"/>
        <v>1.6299141131529415E-3</v>
      </c>
      <c r="I1221" s="7">
        <f t="shared" si="80"/>
        <v>8.2658504352628448E-4</v>
      </c>
      <c r="J1221" s="7">
        <f t="shared" si="81"/>
        <v>2.9434351705374118E-3</v>
      </c>
      <c r="K1221" s="7">
        <f t="shared" si="82"/>
        <v>-2.5746216851555426E-3</v>
      </c>
      <c r="L1221" s="7"/>
    </row>
    <row r="1222" spans="1:12" x14ac:dyDescent="0.25">
      <c r="A1222" s="2" t="s">
        <v>1233</v>
      </c>
      <c r="B1222" s="7">
        <v>-1.1282467532467533E-2</v>
      </c>
      <c r="C1222" s="7">
        <v>-1.0127820074037786E-2</v>
      </c>
      <c r="D1222" s="7">
        <v>2.155172413793105E-2</v>
      </c>
      <c r="E1222" s="7">
        <v>1.2672753579803464E-2</v>
      </c>
      <c r="F1222" s="7">
        <v>-8.5173024218827553E-3</v>
      </c>
      <c r="G1222" s="7"/>
      <c r="H1222" s="7">
        <f t="shared" si="79"/>
        <v>-2.7651651105847774E-3</v>
      </c>
      <c r="I1222" s="7">
        <f t="shared" si="80"/>
        <v>-1.6105176521550302E-3</v>
      </c>
      <c r="J1222" s="7">
        <f t="shared" si="81"/>
        <v>3.0069026559813805E-2</v>
      </c>
      <c r="K1222" s="7">
        <f t="shared" si="82"/>
        <v>2.1190056001686219E-2</v>
      </c>
      <c r="L1222" s="7"/>
    </row>
    <row r="1223" spans="1:12" x14ac:dyDescent="0.25">
      <c r="A1223" s="2" t="s">
        <v>230</v>
      </c>
      <c r="B1223" s="7">
        <v>-9.2480900683553635E-3</v>
      </c>
      <c r="C1223" s="7">
        <v>3.5749334081032202E-3</v>
      </c>
      <c r="D1223" s="7">
        <v>1.7543859649122862E-2</v>
      </c>
      <c r="E1223" s="7">
        <v>7.3377896165252032E-3</v>
      </c>
      <c r="F1223" s="7">
        <v>-2.5300382141189015E-3</v>
      </c>
      <c r="G1223" s="7"/>
      <c r="H1223" s="7">
        <f t="shared" si="79"/>
        <v>-6.718051854236462E-3</v>
      </c>
      <c r="I1223" s="7">
        <f t="shared" si="80"/>
        <v>6.1049716222221218E-3</v>
      </c>
      <c r="J1223" s="7">
        <f t="shared" si="81"/>
        <v>2.0073897863241763E-2</v>
      </c>
      <c r="K1223" s="7">
        <f t="shared" si="82"/>
        <v>9.8678278306441047E-3</v>
      </c>
      <c r="L1223" s="7"/>
    </row>
    <row r="1224" spans="1:12" x14ac:dyDescent="0.25">
      <c r="A1224" s="2" t="s">
        <v>1234</v>
      </c>
      <c r="B1224" s="7">
        <v>1.9847453456901309E-2</v>
      </c>
      <c r="C1224" s="7">
        <v>4.7894069587266497E-3</v>
      </c>
      <c r="D1224" s="7">
        <v>1.7857142857142572E-2</v>
      </c>
      <c r="E1224" s="7">
        <v>1.6657299064942954E-2</v>
      </c>
      <c r="F1224" s="7">
        <v>1.4917933130699224E-2</v>
      </c>
      <c r="G1224" s="7"/>
      <c r="H1224" s="7">
        <f t="shared" si="79"/>
        <v>4.9295203262020859E-3</v>
      </c>
      <c r="I1224" s="7">
        <f t="shared" si="80"/>
        <v>-1.0128526171972574E-2</v>
      </c>
      <c r="J1224" s="7">
        <f t="shared" si="81"/>
        <v>2.9392097264433481E-3</v>
      </c>
      <c r="K1224" s="7">
        <f t="shared" si="82"/>
        <v>1.7393659342437306E-3</v>
      </c>
      <c r="L1224" s="7"/>
    </row>
    <row r="1225" spans="1:12" x14ac:dyDescent="0.25">
      <c r="A1225" s="2" t="s">
        <v>1235</v>
      </c>
      <c r="B1225" s="7">
        <v>1.7949574219402242E-2</v>
      </c>
      <c r="C1225" s="7">
        <v>2.2763290592133778E-2</v>
      </c>
      <c r="D1225" s="7">
        <v>-8.8495575221236855E-3</v>
      </c>
      <c r="E1225" s="7">
        <v>-6.2871097490902139E-2</v>
      </c>
      <c r="F1225" s="7">
        <v>1.2173151138064053E-2</v>
      </c>
      <c r="G1225" s="7"/>
      <c r="H1225" s="7">
        <f t="shared" si="79"/>
        <v>5.7764230813381889E-3</v>
      </c>
      <c r="I1225" s="7">
        <f t="shared" si="80"/>
        <v>1.0590139454069725E-2</v>
      </c>
      <c r="J1225" s="7">
        <f t="shared" si="81"/>
        <v>-2.1022708660187739E-2</v>
      </c>
      <c r="K1225" s="7">
        <f t="shared" si="82"/>
        <v>-7.5044248628966193E-2</v>
      </c>
      <c r="L1225" s="7"/>
    </row>
    <row r="1226" spans="1:12" x14ac:dyDescent="0.25">
      <c r="A1226" s="2" t="s">
        <v>1236</v>
      </c>
      <c r="B1226" s="7">
        <v>-2.4910452621295986E-2</v>
      </c>
      <c r="C1226" s="7">
        <v>-2.3769338959212294E-2</v>
      </c>
      <c r="D1226" s="7">
        <v>-4.4052863436124801E-3</v>
      </c>
      <c r="E1226" s="7">
        <v>-6.6590563165905836E-3</v>
      </c>
      <c r="F1226" s="7">
        <v>-2.1449387057151936E-2</v>
      </c>
      <c r="G1226" s="7"/>
      <c r="H1226" s="7">
        <f t="shared" si="79"/>
        <v>-3.4610655641440502E-3</v>
      </c>
      <c r="I1226" s="7">
        <f t="shared" si="80"/>
        <v>-2.3199519020603576E-3</v>
      </c>
      <c r="J1226" s="7">
        <f t="shared" si="81"/>
        <v>1.7044100713539456E-2</v>
      </c>
      <c r="K1226" s="7">
        <f t="shared" si="82"/>
        <v>1.4790330740561353E-2</v>
      </c>
      <c r="L1226" s="7"/>
    </row>
    <row r="1227" spans="1:12" x14ac:dyDescent="0.25">
      <c r="A1227" s="2" t="s">
        <v>1237</v>
      </c>
      <c r="B1227" s="7">
        <v>-7.4337427278603485E-3</v>
      </c>
      <c r="C1227" s="7">
        <v>-1.7412935323383172E-2</v>
      </c>
      <c r="D1227" s="7">
        <v>-1.7316017316017285E-2</v>
      </c>
      <c r="E1227" s="7">
        <v>8.3936879466641745E-3</v>
      </c>
      <c r="F1227" s="7">
        <v>-8.6738945141735524E-3</v>
      </c>
      <c r="G1227" s="7"/>
      <c r="H1227" s="7">
        <f t="shared" si="79"/>
        <v>1.2401517863132039E-3</v>
      </c>
      <c r="I1227" s="7">
        <f t="shared" si="80"/>
        <v>-8.7390408092096195E-3</v>
      </c>
      <c r="J1227" s="7">
        <f t="shared" si="81"/>
        <v>-8.6421228018437324E-3</v>
      </c>
      <c r="K1227" s="7">
        <f t="shared" si="82"/>
        <v>1.7067582460837727E-2</v>
      </c>
      <c r="L1227" s="7"/>
    </row>
    <row r="1228" spans="1:12" x14ac:dyDescent="0.25">
      <c r="A1228" s="2" t="s">
        <v>231</v>
      </c>
      <c r="B1228" s="7">
        <v>-2.5818639798488641E-2</v>
      </c>
      <c r="C1228" s="7">
        <v>2.0952380952380834E-2</v>
      </c>
      <c r="D1228" s="7">
        <v>-1.7021276595744705E-2</v>
      </c>
      <c r="E1228" s="7">
        <v>-2.5656603420880386E-2</v>
      </c>
      <c r="F1228" s="7">
        <v>-1.0435666020885526E-2</v>
      </c>
      <c r="G1228" s="7"/>
      <c r="H1228" s="7">
        <f t="shared" si="79"/>
        <v>-1.5382973777603115E-2</v>
      </c>
      <c r="I1228" s="7">
        <f t="shared" si="80"/>
        <v>3.1388046973266359E-2</v>
      </c>
      <c r="J1228" s="7">
        <f t="shared" si="81"/>
        <v>-6.5856105748591798E-3</v>
      </c>
      <c r="K1228" s="7">
        <f t="shared" si="82"/>
        <v>-1.5220937399994861E-2</v>
      </c>
      <c r="L1228" s="7"/>
    </row>
    <row r="1229" spans="1:12" x14ac:dyDescent="0.25">
      <c r="A1229" s="2" t="s">
        <v>1238</v>
      </c>
      <c r="B1229" s="7">
        <v>5.3018912716626954E-3</v>
      </c>
      <c r="C1229" s="7">
        <v>3.2557151956968955E-3</v>
      </c>
      <c r="D1229" s="7">
        <v>2.1739130434782705E-2</v>
      </c>
      <c r="E1229" s="7">
        <v>-4.8830395758732159E-3</v>
      </c>
      <c r="F1229" s="7">
        <v>7.3733464711231989E-3</v>
      </c>
      <c r="G1229" s="7"/>
      <c r="H1229" s="7">
        <f t="shared" si="79"/>
        <v>-2.0714551994605035E-3</v>
      </c>
      <c r="I1229" s="7">
        <f t="shared" si="80"/>
        <v>-4.1176312754263034E-3</v>
      </c>
      <c r="J1229" s="7">
        <f t="shared" si="81"/>
        <v>1.4365783963659506E-2</v>
      </c>
      <c r="K1229" s="7">
        <f t="shared" si="82"/>
        <v>-1.2256386046996415E-2</v>
      </c>
      <c r="L1229" s="7"/>
    </row>
    <row r="1230" spans="1:12" x14ac:dyDescent="0.25">
      <c r="A1230" s="2" t="s">
        <v>1239</v>
      </c>
      <c r="B1230" s="7">
        <v>1.2823595415564659E-2</v>
      </c>
      <c r="C1230" s="7">
        <v>4.8360714031716601E-3</v>
      </c>
      <c r="D1230" s="7">
        <v>0</v>
      </c>
      <c r="E1230" s="7">
        <v>-1.5786785531876069E-3</v>
      </c>
      <c r="F1230" s="7">
        <v>8.1653905494540879E-3</v>
      </c>
      <c r="G1230" s="7"/>
      <c r="H1230" s="7">
        <f t="shared" si="79"/>
        <v>4.6582048661105713E-3</v>
      </c>
      <c r="I1230" s="7">
        <f t="shared" si="80"/>
        <v>-3.3293191462824279E-3</v>
      </c>
      <c r="J1230" s="7">
        <f t="shared" si="81"/>
        <v>-8.1653905494540879E-3</v>
      </c>
      <c r="K1230" s="7">
        <f t="shared" si="82"/>
        <v>-9.7440691026416948E-3</v>
      </c>
      <c r="L1230" s="7"/>
    </row>
    <row r="1231" spans="1:12" x14ac:dyDescent="0.25">
      <c r="A1231" s="2" t="s">
        <v>1240</v>
      </c>
      <c r="B1231" s="7">
        <v>1.9272464466393302E-3</v>
      </c>
      <c r="C1231" s="7">
        <v>1.0347057555507799E-2</v>
      </c>
      <c r="D1231" s="7">
        <v>1.7699115044247815E-2</v>
      </c>
      <c r="E1231" s="7">
        <v>-4.9436333394935472E-3</v>
      </c>
      <c r="F1231" s="7">
        <v>7.0353882429774472E-4</v>
      </c>
      <c r="G1231" s="7"/>
      <c r="H1231" s="7">
        <f t="shared" si="79"/>
        <v>1.2237076223415855E-3</v>
      </c>
      <c r="I1231" s="7">
        <f t="shared" si="80"/>
        <v>9.6435187312100545E-3</v>
      </c>
      <c r="J1231" s="7">
        <f t="shared" si="81"/>
        <v>1.699557621995007E-2</v>
      </c>
      <c r="K1231" s="7">
        <f t="shared" si="82"/>
        <v>-5.6471721637912919E-3</v>
      </c>
      <c r="L1231" s="7"/>
    </row>
    <row r="1232" spans="1:12" x14ac:dyDescent="0.25">
      <c r="A1232" s="2" t="s">
        <v>1241</v>
      </c>
      <c r="B1232" s="7">
        <v>-3.5324192423890288E-2</v>
      </c>
      <c r="C1232" s="7">
        <v>3.8952607660678318E-3</v>
      </c>
      <c r="D1232" s="7">
        <v>-4.2372881355932202E-2</v>
      </c>
      <c r="E1232" s="7">
        <v>-1.2140575079872207E-2</v>
      </c>
      <c r="F1232" s="7">
        <v>-6.6783378571121377E-3</v>
      </c>
      <c r="G1232" s="7"/>
      <c r="H1232" s="7">
        <f t="shared" si="79"/>
        <v>-2.8645854566778151E-2</v>
      </c>
      <c r="I1232" s="7">
        <f t="shared" si="80"/>
        <v>1.0573598623179969E-2</v>
      </c>
      <c r="J1232" s="7">
        <f t="shared" si="81"/>
        <v>-3.5694543498820064E-2</v>
      </c>
      <c r="K1232" s="7">
        <f t="shared" si="82"/>
        <v>-5.4622372227600691E-3</v>
      </c>
      <c r="L1232" s="7"/>
    </row>
    <row r="1233" spans="1:12" x14ac:dyDescent="0.25">
      <c r="A1233" s="2" t="s">
        <v>232</v>
      </c>
      <c r="B1233" s="7">
        <v>8.2005623242737968E-3</v>
      </c>
      <c r="C1233" s="7">
        <v>7.4122520165684769E-3</v>
      </c>
      <c r="D1233" s="7">
        <v>3.5087719298245723E-2</v>
      </c>
      <c r="E1233" s="7">
        <v>-1.0486481557471228E-3</v>
      </c>
      <c r="F1233" s="7">
        <v>2.7480346410215795E-3</v>
      </c>
      <c r="G1233" s="7"/>
      <c r="H1233" s="7">
        <f t="shared" si="79"/>
        <v>5.4525276832522174E-3</v>
      </c>
      <c r="I1233" s="7">
        <f t="shared" si="80"/>
        <v>4.6642173755468974E-3</v>
      </c>
      <c r="J1233" s="7">
        <f t="shared" si="81"/>
        <v>3.2339684657224144E-2</v>
      </c>
      <c r="K1233" s="7">
        <f t="shared" si="82"/>
        <v>-3.7966827967687022E-3</v>
      </c>
      <c r="L1233" s="7"/>
    </row>
    <row r="1234" spans="1:12" x14ac:dyDescent="0.25">
      <c r="A1234" s="2" t="s">
        <v>1242</v>
      </c>
      <c r="B1234" s="7">
        <v>-1.5152680563033649E-2</v>
      </c>
      <c r="C1234" s="7">
        <v>-9.5724773283430986E-3</v>
      </c>
      <c r="D1234" s="7">
        <v>-2.5641025641025661E-2</v>
      </c>
      <c r="E1234" s="7">
        <v>-1.3803956834532394E-2</v>
      </c>
      <c r="F1234" s="7">
        <v>-7.1946375018698827E-3</v>
      </c>
      <c r="G1234" s="7"/>
      <c r="H1234" s="7">
        <f t="shared" si="79"/>
        <v>-7.9580430611637665E-3</v>
      </c>
      <c r="I1234" s="7">
        <f t="shared" si="80"/>
        <v>-2.3778398264732159E-3</v>
      </c>
      <c r="J1234" s="7">
        <f t="shared" si="81"/>
        <v>-1.8446388139155778E-2</v>
      </c>
      <c r="K1234" s="7">
        <f t="shared" si="82"/>
        <v>-6.609319332662511E-3</v>
      </c>
      <c r="L1234" s="7"/>
    </row>
    <row r="1235" spans="1:12" x14ac:dyDescent="0.25">
      <c r="A1235" s="2" t="s">
        <v>1243</v>
      </c>
      <c r="B1235" s="7">
        <v>-7.6858043194238945E-4</v>
      </c>
      <c r="C1235" s="7">
        <v>1.594033343082768E-2</v>
      </c>
      <c r="D1235" s="7">
        <v>2.1834061135371119E-2</v>
      </c>
      <c r="E1235" s="7">
        <v>-1.0720163693785811E-2</v>
      </c>
      <c r="F1235" s="7">
        <v>6.7627976802335787E-3</v>
      </c>
      <c r="G1235" s="7"/>
      <c r="H1235" s="7">
        <f t="shared" si="79"/>
        <v>-7.5313781121759682E-3</v>
      </c>
      <c r="I1235" s="7">
        <f t="shared" si="80"/>
        <v>9.1775357505941013E-3</v>
      </c>
      <c r="J1235" s="7">
        <f t="shared" si="81"/>
        <v>1.507126345513754E-2</v>
      </c>
      <c r="K1235" s="7">
        <f t="shared" si="82"/>
        <v>-1.748296137401939E-2</v>
      </c>
      <c r="L1235" s="7"/>
    </row>
    <row r="1236" spans="1:12" x14ac:dyDescent="0.25">
      <c r="A1236" s="2" t="s">
        <v>1244</v>
      </c>
      <c r="B1236" s="7">
        <v>-6.035141329258864E-3</v>
      </c>
      <c r="C1236" s="7">
        <v>7.5885950047889228E-3</v>
      </c>
      <c r="D1236" s="7">
        <v>4.5662100456621113E-2</v>
      </c>
      <c r="E1236" s="7">
        <v>3.392099977683527E-3</v>
      </c>
      <c r="F1236" s="7">
        <v>-8.4553063018300012E-4</v>
      </c>
      <c r="G1236" s="7"/>
      <c r="H1236" s="7">
        <f t="shared" si="79"/>
        <v>-5.1896106990758639E-3</v>
      </c>
      <c r="I1236" s="7">
        <f t="shared" si="80"/>
        <v>8.4341256349719229E-3</v>
      </c>
      <c r="J1236" s="7">
        <f t="shared" si="81"/>
        <v>4.6507631086804113E-2</v>
      </c>
      <c r="K1236" s="7">
        <f t="shared" si="82"/>
        <v>4.2376306078665271E-3</v>
      </c>
      <c r="L1236" s="7"/>
    </row>
    <row r="1237" spans="1:12" x14ac:dyDescent="0.25">
      <c r="A1237" s="2" t="s">
        <v>1245</v>
      </c>
      <c r="B1237" s="7">
        <v>-2.4386526444138967E-3</v>
      </c>
      <c r="C1237" s="7">
        <v>-2.5977753857194141E-2</v>
      </c>
      <c r="D1237" s="7">
        <v>-4.5454545454546302E-3</v>
      </c>
      <c r="E1237" s="7">
        <v>1.3846780397303027E-2</v>
      </c>
      <c r="F1237" s="7">
        <v>-2.1491921425531579E-4</v>
      </c>
      <c r="G1237" s="7"/>
      <c r="H1237" s="7">
        <f t="shared" si="79"/>
        <v>-2.2237334301585809E-3</v>
      </c>
      <c r="I1237" s="7">
        <f t="shared" si="80"/>
        <v>-2.5762834642938826E-2</v>
      </c>
      <c r="J1237" s="7">
        <f t="shared" si="81"/>
        <v>-4.3305353311993144E-3</v>
      </c>
      <c r="K1237" s="7">
        <f t="shared" si="82"/>
        <v>1.4061699611558343E-2</v>
      </c>
      <c r="L1237" s="7"/>
    </row>
    <row r="1238" spans="1:12" x14ac:dyDescent="0.25">
      <c r="A1238" s="2" t="s">
        <v>233</v>
      </c>
      <c r="B1238" s="7">
        <v>2.9809676679659614E-3</v>
      </c>
      <c r="C1238" s="7">
        <v>-1.2682442964432439E-2</v>
      </c>
      <c r="D1238" s="7">
        <v>1.3824884792626779E-2</v>
      </c>
      <c r="E1238" s="7">
        <v>2.6314595526519824E-3</v>
      </c>
      <c r="F1238" s="7">
        <v>1.782224167916624E-3</v>
      </c>
      <c r="G1238" s="7"/>
      <c r="H1238" s="7">
        <f t="shared" si="79"/>
        <v>1.1987435000493374E-3</v>
      </c>
      <c r="I1238" s="7">
        <f t="shared" si="80"/>
        <v>-1.4464667132349063E-2</v>
      </c>
      <c r="J1238" s="7">
        <f t="shared" si="81"/>
        <v>1.2042660624710155E-2</v>
      </c>
      <c r="K1238" s="7">
        <f t="shared" si="82"/>
        <v>8.4923538473535842E-4</v>
      </c>
      <c r="L1238" s="7"/>
    </row>
    <row r="1239" spans="1:12" x14ac:dyDescent="0.25">
      <c r="A1239" s="2" t="s">
        <v>1246</v>
      </c>
      <c r="B1239" s="7">
        <v>1.8053069800015642E-2</v>
      </c>
      <c r="C1239" s="7">
        <v>6.4893389431648352E-3</v>
      </c>
      <c r="D1239" s="7">
        <v>0</v>
      </c>
      <c r="E1239" s="7">
        <v>1.1937009320049485E-2</v>
      </c>
      <c r="F1239" s="7">
        <v>1.0928710658818286E-2</v>
      </c>
      <c r="G1239" s="7"/>
      <c r="H1239" s="7">
        <f t="shared" si="79"/>
        <v>7.1243591411973561E-3</v>
      </c>
      <c r="I1239" s="7">
        <f t="shared" si="80"/>
        <v>-4.4393717156534507E-3</v>
      </c>
      <c r="J1239" s="7">
        <f t="shared" si="81"/>
        <v>-1.0928710658818286E-2</v>
      </c>
      <c r="K1239" s="7">
        <f t="shared" si="82"/>
        <v>1.0082986612311995E-3</v>
      </c>
      <c r="L1239" s="7"/>
    </row>
    <row r="1240" spans="1:12" x14ac:dyDescent="0.25">
      <c r="A1240" s="2" t="s">
        <v>1247</v>
      </c>
      <c r="B1240" s="7">
        <v>-1.1689610089979263E-2</v>
      </c>
      <c r="C1240" s="7">
        <v>7.1316502638696377E-5</v>
      </c>
      <c r="D1240" s="7">
        <v>-2.2522522522522626E-2</v>
      </c>
      <c r="E1240" s="7">
        <v>-4.1303350160626362E-4</v>
      </c>
      <c r="F1240" s="7">
        <v>-9.2106713438859789E-3</v>
      </c>
      <c r="G1240" s="7"/>
      <c r="H1240" s="7">
        <f t="shared" si="79"/>
        <v>-2.4789387460932844E-3</v>
      </c>
      <c r="I1240" s="7">
        <f t="shared" si="80"/>
        <v>9.2819878465246752E-3</v>
      </c>
      <c r="J1240" s="7">
        <f t="shared" si="81"/>
        <v>-1.3311851178636647E-2</v>
      </c>
      <c r="K1240" s="7">
        <f t="shared" si="82"/>
        <v>8.7976378422797152E-3</v>
      </c>
      <c r="L1240" s="7"/>
    </row>
    <row r="1241" spans="1:12" x14ac:dyDescent="0.25">
      <c r="A1241" s="2" t="s">
        <v>1248</v>
      </c>
      <c r="B1241" s="7">
        <v>2.9309679907443265E-3</v>
      </c>
      <c r="C1241" s="7">
        <v>1.3003901170351106E-2</v>
      </c>
      <c r="D1241" s="7">
        <v>3.2558139534883956E-2</v>
      </c>
      <c r="E1241" s="7">
        <v>-1.92378160498341E-3</v>
      </c>
      <c r="F1241" s="7">
        <v>9.3060600637495661E-3</v>
      </c>
      <c r="G1241" s="7"/>
      <c r="H1241" s="7">
        <f t="shared" si="79"/>
        <v>-6.3750920730052396E-3</v>
      </c>
      <c r="I1241" s="7">
        <f t="shared" si="80"/>
        <v>3.6978411066015404E-3</v>
      </c>
      <c r="J1241" s="7">
        <f t="shared" si="81"/>
        <v>2.325207947113439E-2</v>
      </c>
      <c r="K1241" s="7">
        <f t="shared" si="82"/>
        <v>-1.1229841668732976E-2</v>
      </c>
      <c r="L1241" s="7"/>
    </row>
    <row r="1242" spans="1:12" x14ac:dyDescent="0.25">
      <c r="A1242" s="2" t="s">
        <v>1249</v>
      </c>
      <c r="B1242" s="7">
        <v>-1.2792202847788037E-2</v>
      </c>
      <c r="C1242" s="7">
        <v>-1.4427932477276695E-3</v>
      </c>
      <c r="D1242" s="7">
        <v>-2.2727272727272818E-2</v>
      </c>
      <c r="E1242" s="7">
        <v>-2.0854823518859034E-2</v>
      </c>
      <c r="F1242" s="7">
        <v>-6.8023616108532359E-3</v>
      </c>
      <c r="G1242" s="7"/>
      <c r="H1242" s="7">
        <f t="shared" si="79"/>
        <v>-5.9898412369348009E-3</v>
      </c>
      <c r="I1242" s="7">
        <f t="shared" si="80"/>
        <v>5.3595683631255664E-3</v>
      </c>
      <c r="J1242" s="7">
        <f t="shared" si="81"/>
        <v>-1.5924911116419582E-2</v>
      </c>
      <c r="K1242" s="7">
        <f t="shared" si="82"/>
        <v>-1.4052461908005798E-2</v>
      </c>
      <c r="L1242" s="7"/>
    </row>
    <row r="1243" spans="1:12" x14ac:dyDescent="0.25">
      <c r="A1243" s="2" t="s">
        <v>234</v>
      </c>
      <c r="B1243" s="7">
        <v>5.0508915588889369E-3</v>
      </c>
      <c r="C1243" s="7">
        <v>7.2144866892553949E-5</v>
      </c>
      <c r="D1243" s="7">
        <v>4.5662100456622667E-3</v>
      </c>
      <c r="E1243" s="7">
        <v>-1.6366684312687507E-2</v>
      </c>
      <c r="F1243" s="7">
        <v>-5.3064530387267883E-3</v>
      </c>
      <c r="G1243" s="7"/>
      <c r="H1243" s="7">
        <f t="shared" si="79"/>
        <v>1.0357344597615725E-2</v>
      </c>
      <c r="I1243" s="7">
        <f t="shared" si="80"/>
        <v>5.3785979056193423E-3</v>
      </c>
      <c r="J1243" s="7">
        <f t="shared" si="81"/>
        <v>9.872663084389055E-3</v>
      </c>
      <c r="K1243" s="7">
        <f t="shared" si="82"/>
        <v>-1.1060231273960719E-2</v>
      </c>
      <c r="L1243" s="7"/>
    </row>
    <row r="1244" spans="1:12" x14ac:dyDescent="0.25">
      <c r="A1244" s="2" t="s">
        <v>1250</v>
      </c>
      <c r="B1244" s="7">
        <v>-2.519083969465763E-3</v>
      </c>
      <c r="C1244" s="7">
        <v>5.5132390279291066E-3</v>
      </c>
      <c r="D1244" s="7">
        <v>1.388888888888884E-2</v>
      </c>
      <c r="E1244" s="7">
        <v>-1.6735664582048226E-3</v>
      </c>
      <c r="F1244" s="7">
        <v>3.6087492386858155E-3</v>
      </c>
      <c r="G1244" s="7"/>
      <c r="H1244" s="7">
        <f t="shared" si="79"/>
        <v>-6.1278332081515785E-3</v>
      </c>
      <c r="I1244" s="7">
        <f t="shared" si="80"/>
        <v>1.904489789243291E-3</v>
      </c>
      <c r="J1244" s="7">
        <f t="shared" si="81"/>
        <v>1.0280139650203024E-2</v>
      </c>
      <c r="K1244" s="7">
        <f t="shared" si="82"/>
        <v>-5.2823156968906382E-3</v>
      </c>
      <c r="L1244" s="7"/>
    </row>
    <row r="1245" spans="1:12" x14ac:dyDescent="0.25">
      <c r="A1245" s="2" t="s">
        <v>1251</v>
      </c>
      <c r="B1245" s="7">
        <v>1.8662519440124425E-2</v>
      </c>
      <c r="C1245" s="7">
        <v>3.7134119702926238E-3</v>
      </c>
      <c r="D1245" s="7">
        <v>9.3457943925234765E-3</v>
      </c>
      <c r="E1245" s="7">
        <v>-6.1619718309857685E-4</v>
      </c>
      <c r="F1245" s="7">
        <v>1.1094247768300924E-2</v>
      </c>
      <c r="G1245" s="7"/>
      <c r="H1245" s="7">
        <f t="shared" si="79"/>
        <v>7.568271671823501E-3</v>
      </c>
      <c r="I1245" s="7">
        <f t="shared" si="80"/>
        <v>-7.3808357980083006E-3</v>
      </c>
      <c r="J1245" s="7">
        <f t="shared" si="81"/>
        <v>-1.7484533757774479E-3</v>
      </c>
      <c r="K1245" s="7">
        <f t="shared" si="82"/>
        <v>-1.1710444951399501E-2</v>
      </c>
      <c r="L1245" s="7"/>
    </row>
    <row r="1246" spans="1:12" x14ac:dyDescent="0.25">
      <c r="A1246" s="2" t="s">
        <v>1252</v>
      </c>
      <c r="B1246" s="7">
        <v>-1.7795768731383221E-2</v>
      </c>
      <c r="C1246" s="7">
        <v>1.4583637159109042E-3</v>
      </c>
      <c r="D1246" s="7">
        <v>4.6948356807512415E-3</v>
      </c>
      <c r="E1246" s="7">
        <v>-1.0969876371234588E-2</v>
      </c>
      <c r="F1246" s="7">
        <v>-4.0878020277237415E-3</v>
      </c>
      <c r="G1246" s="7"/>
      <c r="H1246" s="7">
        <f t="shared" si="79"/>
        <v>-1.370796670365948E-2</v>
      </c>
      <c r="I1246" s="7">
        <f t="shared" si="80"/>
        <v>5.5461657436346457E-3</v>
      </c>
      <c r="J1246" s="7">
        <f t="shared" si="81"/>
        <v>8.7826377084749829E-3</v>
      </c>
      <c r="K1246" s="7">
        <f t="shared" si="82"/>
        <v>-6.8820743435108467E-3</v>
      </c>
      <c r="L1246" s="7"/>
    </row>
    <row r="1247" spans="1:12" x14ac:dyDescent="0.25">
      <c r="A1247" s="2" t="s">
        <v>1253</v>
      </c>
      <c r="B1247" s="7">
        <v>2.4250958303997594E-2</v>
      </c>
      <c r="C1247" s="7">
        <v>-6.8795712940836751E-3</v>
      </c>
      <c r="D1247" s="7">
        <v>-9.302325581395321E-3</v>
      </c>
      <c r="E1247" s="7">
        <v>-8.7166652282730794E-3</v>
      </c>
      <c r="F1247" s="7">
        <v>3.2945816244711601E-3</v>
      </c>
      <c r="G1247" s="7"/>
      <c r="H1247" s="7">
        <f t="shared" si="79"/>
        <v>2.0956376679526434E-2</v>
      </c>
      <c r="I1247" s="7">
        <f t="shared" si="80"/>
        <v>-1.0174152918554835E-2</v>
      </c>
      <c r="J1247" s="7">
        <f t="shared" si="81"/>
        <v>-1.2596907205866481E-2</v>
      </c>
      <c r="K1247" s="7">
        <f t="shared" si="82"/>
        <v>-1.201124685274424E-2</v>
      </c>
      <c r="L1247" s="7"/>
    </row>
    <row r="1248" spans="1:12" x14ac:dyDescent="0.25">
      <c r="A1248" s="2" t="s">
        <v>235</v>
      </c>
      <c r="B1248" s="7">
        <v>-1.3200555812876269E-2</v>
      </c>
      <c r="C1248" s="7">
        <v>-8.682439765574923E-4</v>
      </c>
      <c r="D1248" s="7">
        <v>-4.8672566371681381E-2</v>
      </c>
      <c r="E1248" s="7">
        <v>9.270086759713303E-2</v>
      </c>
      <c r="F1248" s="7">
        <v>-1.9618291028877799E-4</v>
      </c>
      <c r="G1248" s="7"/>
      <c r="H1248" s="7">
        <f t="shared" si="79"/>
        <v>-1.3004372902587491E-2</v>
      </c>
      <c r="I1248" s="7">
        <f t="shared" si="80"/>
        <v>-6.7206106626871431E-4</v>
      </c>
      <c r="J1248" s="7">
        <f t="shared" si="81"/>
        <v>-4.8476383461392603E-2</v>
      </c>
      <c r="K1248" s="7">
        <f t="shared" si="82"/>
        <v>9.2897050507421808E-2</v>
      </c>
      <c r="L1248" s="7"/>
    </row>
    <row r="1249" spans="1:12" x14ac:dyDescent="0.25">
      <c r="A1249" s="2" t="s">
        <v>1254</v>
      </c>
      <c r="B1249" s="7">
        <v>2.0241001811451387E-2</v>
      </c>
      <c r="C1249" s="7">
        <v>1.1638120333772539E-2</v>
      </c>
      <c r="D1249" s="7">
        <v>-3.0042918454935785E-2</v>
      </c>
      <c r="E1249" s="7">
        <v>-2.159069939103142E-2</v>
      </c>
      <c r="F1249" s="7">
        <v>7.7199628035937717E-3</v>
      </c>
      <c r="G1249" s="7"/>
      <c r="H1249" s="7">
        <f t="shared" si="79"/>
        <v>1.2521039007857615E-2</v>
      </c>
      <c r="I1249" s="7">
        <f t="shared" si="80"/>
        <v>3.9181575301787674E-3</v>
      </c>
      <c r="J1249" s="7">
        <f t="shared" si="81"/>
        <v>-3.7762881258529557E-2</v>
      </c>
      <c r="K1249" s="7">
        <f t="shared" si="82"/>
        <v>-2.9310662194625192E-2</v>
      </c>
      <c r="L1249" s="7"/>
    </row>
    <row r="1250" spans="1:12" x14ac:dyDescent="0.25">
      <c r="A1250" s="2" t="s">
        <v>1255</v>
      </c>
      <c r="B1250" s="7">
        <v>1.9266275989403558E-2</v>
      </c>
      <c r="C1250" s="7">
        <v>3.9682539682539542E-3</v>
      </c>
      <c r="D1250" s="7">
        <v>-1.6877637130801704E-2</v>
      </c>
      <c r="E1250" s="7">
        <v>1.2518684603886276E-2</v>
      </c>
      <c r="F1250" s="7">
        <v>4.220639958823158E-3</v>
      </c>
      <c r="G1250" s="7"/>
      <c r="H1250" s="7">
        <f t="shared" si="79"/>
        <v>1.50456360305804E-2</v>
      </c>
      <c r="I1250" s="7">
        <f t="shared" si="80"/>
        <v>-2.5238599056920386E-4</v>
      </c>
      <c r="J1250" s="7">
        <f t="shared" si="81"/>
        <v>-2.1098277089624862E-2</v>
      </c>
      <c r="K1250" s="7">
        <f t="shared" si="82"/>
        <v>8.2980446450631185E-3</v>
      </c>
      <c r="L1250" s="7"/>
    </row>
    <row r="1251" spans="1:12" x14ac:dyDescent="0.25">
      <c r="A1251" s="2" t="s">
        <v>1256</v>
      </c>
      <c r="B1251" s="7">
        <v>1.3340925730090269E-2</v>
      </c>
      <c r="C1251" s="7">
        <v>5.882352941177782E-4</v>
      </c>
      <c r="D1251" s="7">
        <v>8.5106382978723527E-3</v>
      </c>
      <c r="E1251" s="7">
        <v>-2.2331826277572242E-2</v>
      </c>
      <c r="F1251" s="7">
        <v>1.4752303666720756E-3</v>
      </c>
      <c r="G1251" s="7"/>
      <c r="H1251" s="7">
        <f t="shared" si="79"/>
        <v>1.1865695363418194E-2</v>
      </c>
      <c r="I1251" s="7">
        <f t="shared" si="80"/>
        <v>-8.8699507255429744E-4</v>
      </c>
      <c r="J1251" s="7">
        <f t="shared" si="81"/>
        <v>7.0354079312002771E-3</v>
      </c>
      <c r="K1251" s="7">
        <f t="shared" si="82"/>
        <v>-2.3807056644244318E-2</v>
      </c>
      <c r="L1251" s="7"/>
    </row>
    <row r="1252" spans="1:12" x14ac:dyDescent="0.25">
      <c r="A1252" s="2" t="s">
        <v>1257</v>
      </c>
      <c r="B1252" s="7">
        <v>2.4463834298296128E-3</v>
      </c>
      <c r="C1252" s="7">
        <v>-6.6132706297306054E-4</v>
      </c>
      <c r="D1252" s="7">
        <v>4.9107142857142794E-2</v>
      </c>
      <c r="E1252" s="7">
        <v>2.3367761835771272E-2</v>
      </c>
      <c r="F1252" s="7">
        <v>-9.7353791525556233E-4</v>
      </c>
      <c r="G1252" s="7"/>
      <c r="H1252" s="7">
        <f t="shared" si="79"/>
        <v>3.4199213450851751E-3</v>
      </c>
      <c r="I1252" s="7">
        <f t="shared" si="80"/>
        <v>3.1221085228250178E-4</v>
      </c>
      <c r="J1252" s="7">
        <f t="shared" si="81"/>
        <v>5.0080680772398356E-2</v>
      </c>
      <c r="K1252" s="7">
        <f t="shared" si="82"/>
        <v>2.4341299751026835E-2</v>
      </c>
      <c r="L1252" s="7"/>
    </row>
    <row r="1253" spans="1:12" x14ac:dyDescent="0.25">
      <c r="A1253" s="2" t="s">
        <v>236</v>
      </c>
      <c r="B1253" s="7">
        <v>2.3622704507512582E-2</v>
      </c>
      <c r="C1253" s="7">
        <v>1.1746338562188763E-2</v>
      </c>
      <c r="D1253" s="7">
        <v>-4.6808510638297829E-2</v>
      </c>
      <c r="E1253" s="7">
        <v>4.2239639555075037E-3</v>
      </c>
      <c r="F1253" s="7">
        <v>1.4438277854756487E-2</v>
      </c>
      <c r="G1253" s="7"/>
      <c r="H1253" s="7">
        <f t="shared" si="79"/>
        <v>9.1844266527560947E-3</v>
      </c>
      <c r="I1253" s="7">
        <f t="shared" si="80"/>
        <v>-2.6919392925677244E-3</v>
      </c>
      <c r="J1253" s="7">
        <f t="shared" si="81"/>
        <v>-6.1246788493054316E-2</v>
      </c>
      <c r="K1253" s="7">
        <f t="shared" si="82"/>
        <v>-1.0214313899248983E-2</v>
      </c>
      <c r="L1253" s="7"/>
    </row>
    <row r="1254" spans="1:12" x14ac:dyDescent="0.25">
      <c r="A1254" s="2" t="s">
        <v>1258</v>
      </c>
      <c r="B1254" s="7">
        <v>6.9765487097588341E-3</v>
      </c>
      <c r="C1254" s="7">
        <v>1.4870994125937287E-4</v>
      </c>
      <c r="D1254" s="7">
        <v>4.9107142857142794E-2</v>
      </c>
      <c r="E1254" s="7">
        <v>-1.0449563440460663E-2</v>
      </c>
      <c r="F1254" s="7">
        <v>1.1825144919693331E-2</v>
      </c>
      <c r="G1254" s="7"/>
      <c r="H1254" s="7">
        <f t="shared" si="79"/>
        <v>-4.848596209934497E-3</v>
      </c>
      <c r="I1254" s="7">
        <f t="shared" si="80"/>
        <v>-1.1676434978433958E-2</v>
      </c>
      <c r="J1254" s="7">
        <f t="shared" si="81"/>
        <v>3.7281997937449463E-2</v>
      </c>
      <c r="K1254" s="7">
        <f t="shared" si="82"/>
        <v>-2.2274708360153994E-2</v>
      </c>
      <c r="L1254" s="7"/>
    </row>
    <row r="1255" spans="1:12" x14ac:dyDescent="0.25">
      <c r="A1255" s="2" t="s">
        <v>1259</v>
      </c>
      <c r="B1255" s="7">
        <v>1.875321116629558E-2</v>
      </c>
      <c r="C1255" s="7">
        <v>-1.0083909907257493E-2</v>
      </c>
      <c r="D1255" s="7">
        <v>-1.3215859030836885E-2</v>
      </c>
      <c r="E1255" s="7">
        <v>-1.1023332720926038E-2</v>
      </c>
      <c r="F1255" s="7">
        <v>3.6225385557842049E-3</v>
      </c>
      <c r="G1255" s="7"/>
      <c r="H1255" s="7">
        <f t="shared" si="79"/>
        <v>1.5130672610511375E-2</v>
      </c>
      <c r="I1255" s="7">
        <f t="shared" si="80"/>
        <v>-1.3706448463041698E-2</v>
      </c>
      <c r="J1255" s="7">
        <f t="shared" si="81"/>
        <v>-1.683839758662109E-2</v>
      </c>
      <c r="K1255" s="7">
        <f t="shared" si="82"/>
        <v>-1.4645871276710243E-2</v>
      </c>
      <c r="L1255" s="7"/>
    </row>
    <row r="1256" spans="1:12" x14ac:dyDescent="0.25">
      <c r="A1256" s="2" t="s">
        <v>1260</v>
      </c>
      <c r="B1256" s="7">
        <v>-1.2264230736699688E-2</v>
      </c>
      <c r="C1256" s="7">
        <v>-5.6356583473613497E-3</v>
      </c>
      <c r="D1256" s="7">
        <v>-3.4042553191489411E-2</v>
      </c>
      <c r="E1256" s="7">
        <v>-1.1262488646684776E-2</v>
      </c>
      <c r="F1256" s="7">
        <v>-3.1578231669390222E-3</v>
      </c>
      <c r="G1256" s="7"/>
      <c r="H1256" s="7">
        <f t="shared" si="79"/>
        <v>-9.1064075697606661E-3</v>
      </c>
      <c r="I1256" s="7">
        <f t="shared" si="80"/>
        <v>-2.4778351804223275E-3</v>
      </c>
      <c r="J1256" s="7">
        <f t="shared" si="81"/>
        <v>-3.0884730024550389E-2</v>
      </c>
      <c r="K1256" s="7">
        <f t="shared" si="82"/>
        <v>-8.104665479745754E-3</v>
      </c>
      <c r="L1256" s="7"/>
    </row>
    <row r="1257" spans="1:12" x14ac:dyDescent="0.25">
      <c r="A1257" s="2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3BF6-4B9F-4585-8369-4861C94A89FB}">
  <sheetPr>
    <tabColor rgb="FF002060"/>
  </sheetPr>
  <dimension ref="A1:Y1257"/>
  <sheetViews>
    <sheetView workbookViewId="0">
      <selection activeCell="T6" sqref="T6"/>
    </sheetView>
  </sheetViews>
  <sheetFormatPr defaultRowHeight="15" x14ac:dyDescent="0.25"/>
  <cols>
    <col min="1" max="1" width="10.42578125" style="2" bestFit="1" customWidth="1"/>
    <col min="2" max="7" width="9.140625" style="8"/>
    <col min="8" max="11" width="11.140625" style="8" customWidth="1"/>
    <col min="12" max="12" width="9.140625" style="8"/>
    <col min="13" max="16" width="9.140625" style="2"/>
    <col min="17" max="20" width="12.28515625" style="2" bestFit="1" customWidth="1"/>
    <col min="21" max="21" width="19.42578125" style="2" bestFit="1" customWidth="1"/>
    <col min="22" max="22" width="12" style="2" bestFit="1" customWidth="1"/>
    <col min="23" max="16384" width="9.140625" style="2"/>
  </cols>
  <sheetData>
    <row r="1" spans="1:2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2" t="s">
        <v>1271</v>
      </c>
      <c r="G1" s="13"/>
      <c r="H1" s="13" t="s">
        <v>1272</v>
      </c>
      <c r="I1" s="13" t="s">
        <v>1273</v>
      </c>
      <c r="J1" s="13" t="s">
        <v>1274</v>
      </c>
      <c r="K1" s="13" t="s">
        <v>1275</v>
      </c>
      <c r="L1" s="13"/>
      <c r="Q1" s="2" t="s">
        <v>1</v>
      </c>
      <c r="R1" s="2" t="s">
        <v>2</v>
      </c>
      <c r="S1" s="2" t="s">
        <v>3</v>
      </c>
      <c r="T1" s="2" t="s">
        <v>4</v>
      </c>
      <c r="W1" s="2" t="s">
        <v>1261</v>
      </c>
      <c r="X1" s="2" t="s">
        <v>1264</v>
      </c>
      <c r="Y1" s="2" t="s">
        <v>1265</v>
      </c>
    </row>
    <row r="2" spans="1:25" x14ac:dyDescent="0.25">
      <c r="A2" s="2" t="s">
        <v>238</v>
      </c>
      <c r="B2" s="7">
        <v>-1.6173039661512845E-2</v>
      </c>
      <c r="C2" s="7">
        <v>-6.5976803944719498E-3</v>
      </c>
      <c r="D2" s="7">
        <v>1.2522361359570633E-2</v>
      </c>
      <c r="E2" s="7">
        <v>-2.1688860537437238E-2</v>
      </c>
      <c r="F2" s="7">
        <v>-1.6721834878249076E-2</v>
      </c>
      <c r="G2" s="7"/>
      <c r="H2" s="7">
        <f>B2-$F2</f>
        <v>5.4879521673623088E-4</v>
      </c>
      <c r="I2" s="7">
        <f t="shared" ref="I2:K17" si="0">C2-$F2</f>
        <v>1.0124154483777126E-2</v>
      </c>
      <c r="J2" s="7">
        <f t="shared" si="0"/>
        <v>2.9244196237819708E-2</v>
      </c>
      <c r="K2" s="7">
        <f>E2-$F2</f>
        <v>-4.9670256591881623E-3</v>
      </c>
      <c r="L2" s="7"/>
      <c r="M2" s="4" t="s">
        <v>1</v>
      </c>
      <c r="N2" s="5">
        <v>0.25</v>
      </c>
      <c r="P2" s="2" t="s">
        <v>1</v>
      </c>
      <c r="Q2" s="9">
        <f>_xlfn.COVARIANCE.S(B2:B253, B2:B253)</f>
        <v>3.9765028044631991E-4</v>
      </c>
      <c r="R2" s="9">
        <f>_xlfn.COVARIANCE.S(B2:B253, C2:C253)</f>
        <v>1.962241748087939E-4</v>
      </c>
      <c r="S2" s="9">
        <f>_xlfn.COVARIANCE.S(B2:B253, D2:D253)</f>
        <v>4.6921429935911166E-5</v>
      </c>
      <c r="T2" s="9">
        <f>_xlfn.COVARIANCE.S(B2:B253, F2:F253)</f>
        <v>1.7419151901242779E-4</v>
      </c>
      <c r="V2" s="2" cm="1">
        <f t="array" ref="V2:V5">MMULT(Q2:T5, N2:N5)</f>
        <v>2.0374685105086323E-4</v>
      </c>
      <c r="W2" s="2">
        <f>V2/$V$8</f>
        <v>1.3663618956665947E-2</v>
      </c>
      <c r="X2" s="2">
        <f>N2*W2</f>
        <v>3.4159047391664867E-3</v>
      </c>
      <c r="Y2" s="2">
        <f>X2/$V$8</f>
        <v>0.22907652563714312</v>
      </c>
    </row>
    <row r="3" spans="1:25" x14ac:dyDescent="0.25">
      <c r="A3" s="2" t="s">
        <v>239</v>
      </c>
      <c r="B3" s="7">
        <v>1.0687989866200454E-3</v>
      </c>
      <c r="C3" s="7">
        <v>-2.7423167848699803E-2</v>
      </c>
      <c r="D3" s="7">
        <v>9.0252707581226499E-3</v>
      </c>
      <c r="E3" s="7">
        <v>-3.4342034342034422E-2</v>
      </c>
      <c r="F3" s="7">
        <v>-1.7406210652467391E-2</v>
      </c>
      <c r="G3" s="7"/>
      <c r="H3" s="7">
        <f t="shared" ref="H3:K66" si="1">B3-$F3</f>
        <v>1.8475009639087436E-2</v>
      </c>
      <c r="I3" s="7">
        <f t="shared" si="0"/>
        <v>-1.0016957196232412E-2</v>
      </c>
      <c r="J3" s="7">
        <f t="shared" si="0"/>
        <v>2.6431481410590041E-2</v>
      </c>
      <c r="K3" s="7">
        <f t="shared" si="0"/>
        <v>-1.6935823689567031E-2</v>
      </c>
      <c r="L3" s="7"/>
      <c r="M3" s="2" t="s">
        <v>2</v>
      </c>
      <c r="N3" s="1">
        <v>0.25</v>
      </c>
      <c r="P3" s="2" t="s">
        <v>2</v>
      </c>
      <c r="Q3" s="9">
        <f>_xlfn.COVARIANCE.S(C2:C253, B2:B253)</f>
        <v>1.962241748087939E-4</v>
      </c>
      <c r="R3" s="9">
        <f>_xlfn.COVARIANCE.S(C2:C253, C2:C253)</f>
        <v>3.8533007677940859E-4</v>
      </c>
      <c r="S3" s="9">
        <f>_xlfn.COVARIANCE.S(E2:E253, D2:D253)</f>
        <v>3.6216839981237568E-5</v>
      </c>
      <c r="T3" s="9">
        <f>_xlfn.COVARIANCE.S(C2:C253, E2:E253)</f>
        <v>1.7849592802510127E-4</v>
      </c>
      <c r="V3" s="2">
        <v>1.9906675489863535E-4</v>
      </c>
      <c r="W3" s="2">
        <f t="shared" ref="W3:W5" si="2">V3/$V$8</f>
        <v>1.3349763551417811E-2</v>
      </c>
      <c r="X3" s="2">
        <f>N3*W3</f>
        <v>3.3374408878544528E-3</v>
      </c>
      <c r="Y3" s="2">
        <f t="shared" ref="Y3:Y5" si="3">X3/$V$8</f>
        <v>0.22381460300780892</v>
      </c>
    </row>
    <row r="4" spans="1:25" x14ac:dyDescent="0.25">
      <c r="A4" s="2" t="s">
        <v>240</v>
      </c>
      <c r="B4" s="7">
        <v>3.8944523923065688E-3</v>
      </c>
      <c r="C4" s="7">
        <v>9.4088770709759295E-3</v>
      </c>
      <c r="D4" s="7">
        <v>-4.3177892918825567E-2</v>
      </c>
      <c r="E4" s="7">
        <v>3.4985655084475598E-2</v>
      </c>
      <c r="F4" s="7">
        <v>5.4191572470740912E-3</v>
      </c>
      <c r="G4" s="7"/>
      <c r="H4" s="7">
        <f t="shared" si="1"/>
        <v>-1.5247048547675224E-3</v>
      </c>
      <c r="I4" s="7">
        <f t="shared" si="0"/>
        <v>3.9897198239018383E-3</v>
      </c>
      <c r="J4" s="7">
        <f t="shared" si="0"/>
        <v>-4.8597050165899658E-2</v>
      </c>
      <c r="K4" s="7">
        <f t="shared" si="0"/>
        <v>2.9566497837401506E-2</v>
      </c>
      <c r="L4" s="7"/>
      <c r="M4" s="2" t="s">
        <v>3</v>
      </c>
      <c r="N4" s="1">
        <v>0.25</v>
      </c>
      <c r="P4" s="2" t="s">
        <v>3</v>
      </c>
      <c r="Q4" s="9">
        <f>_xlfn.COVARIANCE.S(B2:B253, D2:D253)</f>
        <v>4.6921429935911166E-5</v>
      </c>
      <c r="R4" s="9">
        <f>_xlfn.COVARIANCE.S(D2:D253, C2:C253)</f>
        <v>6.6639785068993494E-5</v>
      </c>
      <c r="S4" s="9">
        <f>_xlfn.COVARIANCE.S(D2:D253, D2:D253)</f>
        <v>5.377035311051496E-4</v>
      </c>
      <c r="T4" s="9">
        <f>_xlfn.COVARIANCE.S(D2:D253, E2:E253)</f>
        <v>3.6216839981237568E-5</v>
      </c>
      <c r="V4" s="2">
        <v>1.7187039652282298E-4</v>
      </c>
      <c r="W4" s="2">
        <f t="shared" si="2"/>
        <v>1.1525928356226183E-2</v>
      </c>
      <c r="X4" s="2">
        <f>N4*W4</f>
        <v>2.8814820890565459E-3</v>
      </c>
      <c r="Y4" s="2">
        <f t="shared" si="3"/>
        <v>0.19323721123669169</v>
      </c>
    </row>
    <row r="5" spans="1:25" x14ac:dyDescent="0.25">
      <c r="A5" s="2" t="s">
        <v>241</v>
      </c>
      <c r="B5" s="7">
        <v>5.9644518668733326E-4</v>
      </c>
      <c r="C5" s="7">
        <v>7.5054585152822817E-4</v>
      </c>
      <c r="D5" s="7">
        <v>5.8500914076782484E-2</v>
      </c>
      <c r="E5" s="7">
        <v>-4.6009836585753083E-3</v>
      </c>
      <c r="F5" s="7">
        <v>-3.742592311198889E-3</v>
      </c>
      <c r="G5" s="7"/>
      <c r="H5" s="7">
        <f t="shared" si="1"/>
        <v>4.3390374978862223E-3</v>
      </c>
      <c r="I5" s="7">
        <f t="shared" si="0"/>
        <v>4.4931381627271172E-3</v>
      </c>
      <c r="J5" s="7">
        <f t="shared" si="0"/>
        <v>6.2243506387981373E-2</v>
      </c>
      <c r="K5" s="7">
        <f t="shared" si="0"/>
        <v>-8.5839134737641931E-4</v>
      </c>
      <c r="L5" s="7"/>
      <c r="M5" s="2" t="s">
        <v>4</v>
      </c>
      <c r="N5" s="1">
        <v>0.25</v>
      </c>
      <c r="P5" s="2" t="s">
        <v>4</v>
      </c>
      <c r="Q5" s="9">
        <f>_xlfn.COVARIANCE.S(E2:E253, B2:B253)</f>
        <v>2.0423529832359183E-4</v>
      </c>
      <c r="R5" s="9">
        <f>_xlfn.COVARIANCE.S(E2:E253, C2:C253)</f>
        <v>1.7849592802510127E-4</v>
      </c>
      <c r="S5" s="9">
        <f>_xlfn.COVARIANCE.S(E2:E253, D2:D253)</f>
        <v>3.6216839981237568E-5</v>
      </c>
      <c r="T5" s="9">
        <f>_xlfn.COVARIANCE.S(E2:E253, E2:E253)</f>
        <v>8.4002399507566376E-4</v>
      </c>
      <c r="V5" s="2">
        <v>3.1474301535139862E-4</v>
      </c>
      <c r="W5" s="2">
        <f t="shared" si="2"/>
        <v>2.1107215197941832E-2</v>
      </c>
      <c r="X5" s="2">
        <f>N5*W5</f>
        <v>5.2768037994854579E-3</v>
      </c>
      <c r="Y5" s="2">
        <f t="shared" si="3"/>
        <v>0.35387166011835608</v>
      </c>
    </row>
    <row r="6" spans="1:25" x14ac:dyDescent="0.25">
      <c r="A6" s="2" t="s">
        <v>5</v>
      </c>
      <c r="B6" s="7">
        <v>1.4113472317432096E-2</v>
      </c>
      <c r="C6" s="7">
        <v>3.7960339943342802E-2</v>
      </c>
      <c r="D6" s="7">
        <v>4.1904761904761889E-2</v>
      </c>
      <c r="E6" s="7">
        <v>2.9817825341067028E-2</v>
      </c>
      <c r="F6" s="7">
        <v>1.1453197427795159E-2</v>
      </c>
      <c r="G6" s="7"/>
      <c r="H6" s="7">
        <f t="shared" si="1"/>
        <v>2.6602748896369377E-3</v>
      </c>
      <c r="I6" s="7">
        <f t="shared" si="0"/>
        <v>2.6507142515547644E-2</v>
      </c>
      <c r="J6" s="7">
        <f t="shared" si="0"/>
        <v>3.045156447696673E-2</v>
      </c>
      <c r="K6" s="7">
        <f t="shared" si="0"/>
        <v>1.8364627913271869E-2</v>
      </c>
      <c r="L6" s="7"/>
    </row>
    <row r="7" spans="1:25" x14ac:dyDescent="0.25">
      <c r="A7" s="2" t="s">
        <v>242</v>
      </c>
      <c r="B7" s="7">
        <v>-3.896208226221054E-3</v>
      </c>
      <c r="C7" s="7">
        <v>-1.0580898325275201E-2</v>
      </c>
      <c r="D7" s="7">
        <v>-4.3715846994535568E-2</v>
      </c>
      <c r="E7" s="7">
        <v>-1.9935948759007283E-2</v>
      </c>
      <c r="F7" s="7">
        <v>-1.5138144460977054E-2</v>
      </c>
      <c r="G7" s="7"/>
      <c r="H7" s="7">
        <f t="shared" si="1"/>
        <v>1.1241936234756E-2</v>
      </c>
      <c r="I7" s="7">
        <f t="shared" si="0"/>
        <v>4.5572461357018534E-3</v>
      </c>
      <c r="J7" s="7">
        <f t="shared" si="0"/>
        <v>-2.8577702533558513E-2</v>
      </c>
      <c r="K7" s="7">
        <f t="shared" si="0"/>
        <v>-4.7978042980302282E-3</v>
      </c>
      <c r="L7" s="7"/>
      <c r="U7" s="2" t="s">
        <v>1263</v>
      </c>
      <c r="V7" s="2" cm="1">
        <f t="array" ref="V7">MMULT(TRANSPOSE(N2:N5), V2:V5)</f>
        <v>2.2235675445593007E-4</v>
      </c>
    </row>
    <row r="8" spans="1:25" x14ac:dyDescent="0.25">
      <c r="A8" s="2" t="s">
        <v>243</v>
      </c>
      <c r="B8" s="7">
        <v>-3.9209410258461697E-3</v>
      </c>
      <c r="C8" s="7">
        <v>-1.6335814722911568E-2</v>
      </c>
      <c r="D8" s="7">
        <v>1.2915129151291671E-2</v>
      </c>
      <c r="E8" s="7">
        <v>-7.0891914007290002E-2</v>
      </c>
      <c r="F8" s="7">
        <v>-2.7488037194136616E-3</v>
      </c>
      <c r="G8" s="7"/>
      <c r="H8" s="7">
        <f t="shared" si="1"/>
        <v>-1.172137306432508E-3</v>
      </c>
      <c r="I8" s="7">
        <f t="shared" si="0"/>
        <v>-1.3587011003497906E-2</v>
      </c>
      <c r="J8" s="7">
        <f t="shared" si="0"/>
        <v>1.5663932870705333E-2</v>
      </c>
      <c r="K8" s="7">
        <f t="shared" si="0"/>
        <v>-6.8143110287876341E-2</v>
      </c>
      <c r="L8" s="7"/>
      <c r="U8" s="2" t="s">
        <v>1262</v>
      </c>
      <c r="V8" s="2">
        <f>SQRT(V7)</f>
        <v>1.4911631515562946E-2</v>
      </c>
    </row>
    <row r="9" spans="1:25" x14ac:dyDescent="0.25">
      <c r="A9" s="2" t="s">
        <v>244</v>
      </c>
      <c r="B9" s="7">
        <v>-1.6874483735200396E-2</v>
      </c>
      <c r="C9" s="7">
        <v>-2.6700657453374466E-2</v>
      </c>
      <c r="D9" s="7">
        <v>3.2380952380952399E-2</v>
      </c>
      <c r="E9" s="7">
        <v>-1.5669619975104188E-2</v>
      </c>
      <c r="F9" s="7">
        <v>-1.3607619909798752E-2</v>
      </c>
      <c r="G9" s="7"/>
      <c r="H9" s="7">
        <f t="shared" si="1"/>
        <v>-3.2668638254016447E-3</v>
      </c>
      <c r="I9" s="7">
        <f t="shared" si="0"/>
        <v>-1.3093037543575714E-2</v>
      </c>
      <c r="J9" s="7">
        <f t="shared" si="0"/>
        <v>4.5988572290751151E-2</v>
      </c>
      <c r="K9" s="7">
        <f t="shared" si="0"/>
        <v>-2.062000065305436E-3</v>
      </c>
      <c r="L9" s="7"/>
      <c r="X9" s="10" t="s">
        <v>1267</v>
      </c>
      <c r="Y9" s="10" t="s">
        <v>1266</v>
      </c>
    </row>
    <row r="10" spans="1:25" x14ac:dyDescent="0.25">
      <c r="A10" s="2" t="s">
        <v>245</v>
      </c>
      <c r="B10" s="7">
        <v>5.5770904200616034E-3</v>
      </c>
      <c r="C10" s="7">
        <v>-5.9353117705901459E-3</v>
      </c>
      <c r="D10" s="7">
        <v>-9.4339622641509413E-3</v>
      </c>
      <c r="E10" s="7">
        <v>-1.0240655401946297E-3</v>
      </c>
      <c r="F10" s="7">
        <v>2.494260662927017E-3</v>
      </c>
      <c r="G10" s="7"/>
      <c r="H10" s="7">
        <f t="shared" si="1"/>
        <v>3.0828297571345864E-3</v>
      </c>
      <c r="I10" s="7">
        <f t="shared" si="0"/>
        <v>-8.4295724335171629E-3</v>
      </c>
      <c r="J10" s="7">
        <f t="shared" si="0"/>
        <v>-1.1928222927077958E-2</v>
      </c>
      <c r="K10" s="7">
        <f t="shared" si="0"/>
        <v>-3.5183262031216467E-3</v>
      </c>
      <c r="L10" s="7"/>
      <c r="X10" s="2">
        <f>SUM(X2:X5)</f>
        <v>1.4911631515562945E-2</v>
      </c>
      <c r="Y10" s="2" t="b">
        <f>X10=V8</f>
        <v>1</v>
      </c>
    </row>
    <row r="11" spans="1:25" x14ac:dyDescent="0.25">
      <c r="A11" s="2" t="s">
        <v>6</v>
      </c>
      <c r="B11" s="7">
        <v>1.0794818487126046E-2</v>
      </c>
      <c r="C11" s="7">
        <v>-6.6905140434553312E-3</v>
      </c>
      <c r="D11" s="7">
        <v>5.5776892430278835E-2</v>
      </c>
      <c r="E11" s="7">
        <v>1.1093854004881276E-2</v>
      </c>
      <c r="F11" s="7">
        <v>1.0130891907499606E-2</v>
      </c>
      <c r="G11" s="7"/>
      <c r="H11" s="7">
        <f t="shared" si="1"/>
        <v>6.6392657962643931E-4</v>
      </c>
      <c r="I11" s="7">
        <f t="shared" si="0"/>
        <v>-1.6821405950954937E-2</v>
      </c>
      <c r="J11" s="7">
        <f t="shared" si="0"/>
        <v>4.5646000522779229E-2</v>
      </c>
      <c r="K11" s="7">
        <f t="shared" si="0"/>
        <v>9.6296209738166993E-4</v>
      </c>
      <c r="L11" s="7"/>
    </row>
    <row r="12" spans="1:25" x14ac:dyDescent="0.25">
      <c r="A12" s="2" t="s">
        <v>246</v>
      </c>
      <c r="B12" s="7">
        <v>-2.2051923678448548E-2</v>
      </c>
      <c r="C12" s="7">
        <v>1.247484909456742E-2</v>
      </c>
      <c r="D12" s="7">
        <v>1.0060362173038184E-2</v>
      </c>
      <c r="E12" s="7">
        <v>7.5260804769003986E-3</v>
      </c>
      <c r="F12" s="7">
        <v>-6.0590892333146629E-3</v>
      </c>
      <c r="G12" s="7"/>
      <c r="H12" s="7">
        <f t="shared" si="1"/>
        <v>-1.5992834445133886E-2</v>
      </c>
      <c r="I12" s="7">
        <f t="shared" si="0"/>
        <v>1.8533938327882082E-2</v>
      </c>
      <c r="J12" s="7">
        <f t="shared" si="0"/>
        <v>1.6119451406352847E-2</v>
      </c>
      <c r="K12" s="7">
        <f t="shared" si="0"/>
        <v>1.3585169710215061E-2</v>
      </c>
      <c r="L12" s="7"/>
    </row>
    <row r="13" spans="1:25" x14ac:dyDescent="0.25">
      <c r="A13" s="2" t="s">
        <v>247</v>
      </c>
      <c r="B13" s="7">
        <v>-1.9362754495609868E-2</v>
      </c>
      <c r="C13" s="7">
        <v>-3.9118386286008833E-2</v>
      </c>
      <c r="D13" s="7">
        <v>-5.1526717557252022E-2</v>
      </c>
      <c r="E13" s="7">
        <v>-1.5334947538337418E-2</v>
      </c>
      <c r="F13" s="7">
        <v>-1.5227722187786008E-2</v>
      </c>
      <c r="G13" s="7"/>
      <c r="H13" s="7">
        <f t="shared" si="1"/>
        <v>-4.1350323078238604E-3</v>
      </c>
      <c r="I13" s="7">
        <f t="shared" si="0"/>
        <v>-2.3890664098222825E-2</v>
      </c>
      <c r="J13" s="7">
        <f t="shared" si="0"/>
        <v>-3.6298995369466014E-2</v>
      </c>
      <c r="K13" s="7">
        <f t="shared" si="0"/>
        <v>-1.072253505514098E-4</v>
      </c>
      <c r="L13" s="7"/>
      <c r="U13" s="2" t="s">
        <v>1268</v>
      </c>
      <c r="V13" s="11">
        <f>$V$8*SQRT(252)</f>
        <v>0.2367148117944764</v>
      </c>
    </row>
    <row r="14" spans="1:25" x14ac:dyDescent="0.25">
      <c r="A14" s="2" t="s">
        <v>248</v>
      </c>
      <c r="B14" s="7">
        <v>-7.6678296208165797E-5</v>
      </c>
      <c r="C14" s="7">
        <v>-5.1529790660231889E-4</v>
      </c>
      <c r="D14" s="7">
        <v>-2.4208566108007479E-2</v>
      </c>
      <c r="E14" s="7">
        <v>-4.0920716112532451E-3</v>
      </c>
      <c r="F14" s="7">
        <v>-8.3757527855266023E-4</v>
      </c>
      <c r="G14" s="7"/>
      <c r="H14" s="7">
        <f t="shared" si="1"/>
        <v>7.6089698234449443E-4</v>
      </c>
      <c r="I14" s="7">
        <f t="shared" si="0"/>
        <v>3.2227737195034134E-4</v>
      </c>
      <c r="J14" s="7">
        <f t="shared" si="0"/>
        <v>-2.3370990829454819E-2</v>
      </c>
      <c r="K14" s="7">
        <f t="shared" si="0"/>
        <v>-3.2544963327005849E-3</v>
      </c>
      <c r="L14" s="7"/>
      <c r="U14" s="2" t="s">
        <v>1269</v>
      </c>
      <c r="V14" s="11">
        <f>W2*SQRT(252)</f>
        <v>0.21690322661091554</v>
      </c>
    </row>
    <row r="15" spans="1:25" x14ac:dyDescent="0.25">
      <c r="A15" s="2" t="s">
        <v>249</v>
      </c>
      <c r="B15" s="7">
        <v>3.6555333230721132E-3</v>
      </c>
      <c r="C15" s="7">
        <v>2.3873903581085543E-2</v>
      </c>
      <c r="D15" s="7">
        <v>-1.6483516483516425E-2</v>
      </c>
      <c r="E15" s="7">
        <v>3.1740048250904707E-2</v>
      </c>
      <c r="F15" s="7">
        <v>-2.1350826001804712E-3</v>
      </c>
      <c r="G15" s="7"/>
      <c r="H15" s="7">
        <f t="shared" si="1"/>
        <v>5.7906159232525845E-3</v>
      </c>
      <c r="I15" s="7">
        <f t="shared" si="0"/>
        <v>2.6008986181266014E-2</v>
      </c>
      <c r="J15" s="7">
        <f t="shared" si="0"/>
        <v>-1.4348433883335954E-2</v>
      </c>
      <c r="K15" s="7">
        <f t="shared" si="0"/>
        <v>3.3875130851085178E-2</v>
      </c>
      <c r="L15" s="7"/>
      <c r="U15" s="2" t="s">
        <v>1270</v>
      </c>
      <c r="V15" s="11">
        <f>X2*SQRT(252)</f>
        <v>5.4225806652728886E-2</v>
      </c>
    </row>
    <row r="16" spans="1:25" x14ac:dyDescent="0.25">
      <c r="A16" s="2" t="s">
        <v>7</v>
      </c>
      <c r="B16" s="7">
        <v>9.3995183717858755E-3</v>
      </c>
      <c r="C16" s="7">
        <v>-1.1602894205071435E-2</v>
      </c>
      <c r="D16" s="7">
        <v>1.8348623853210455E-3</v>
      </c>
      <c r="E16" s="7">
        <v>1.4144812294517806E-2</v>
      </c>
      <c r="F16" s="7">
        <v>8.3041296613362015E-3</v>
      </c>
      <c r="G16" s="7"/>
      <c r="H16" s="7">
        <f t="shared" si="1"/>
        <v>1.095388710449674E-3</v>
      </c>
      <c r="I16" s="7">
        <f t="shared" si="0"/>
        <v>-1.9907023866407636E-2</v>
      </c>
      <c r="J16" s="7">
        <f t="shared" si="0"/>
        <v>-6.4692672760151559E-3</v>
      </c>
      <c r="K16" s="7">
        <f t="shared" si="0"/>
        <v>5.8406826331816042E-3</v>
      </c>
      <c r="L16" s="7"/>
    </row>
    <row r="17" spans="1:12" x14ac:dyDescent="0.25">
      <c r="A17" s="2" t="s">
        <v>250</v>
      </c>
      <c r="B17" s="7">
        <v>-1.0872488378347422E-2</v>
      </c>
      <c r="C17" s="7">
        <v>-1.7924588694705923E-2</v>
      </c>
      <c r="D17" s="7">
        <v>7.3937153419594281E-3</v>
      </c>
      <c r="E17" s="7">
        <v>3.3755274261604296E-3</v>
      </c>
      <c r="F17" s="7">
        <v>-1.3276804314631963E-2</v>
      </c>
      <c r="G17" s="7"/>
      <c r="H17" s="7">
        <f t="shared" si="1"/>
        <v>2.4043159362845401E-3</v>
      </c>
      <c r="I17" s="7">
        <f t="shared" si="0"/>
        <v>-4.6477843800739604E-3</v>
      </c>
      <c r="J17" s="7">
        <f t="shared" si="0"/>
        <v>2.0670519656591391E-2</v>
      </c>
      <c r="K17" s="7">
        <f t="shared" si="0"/>
        <v>1.6652331740792392E-2</v>
      </c>
      <c r="L17" s="7"/>
    </row>
    <row r="18" spans="1:12" x14ac:dyDescent="0.25">
      <c r="A18" s="2" t="s">
        <v>251</v>
      </c>
      <c r="B18" s="7">
        <v>-8.4945908883131693E-3</v>
      </c>
      <c r="C18" s="7">
        <v>-2.9088196904717423E-2</v>
      </c>
      <c r="D18" s="7">
        <v>-3.5650623885917998E-2</v>
      </c>
      <c r="E18" s="7">
        <v>-2.1910407443535784E-2</v>
      </c>
      <c r="F18" s="7">
        <v>-5.6466991775238062E-3</v>
      </c>
      <c r="G18" s="7"/>
      <c r="H18" s="7">
        <f t="shared" si="1"/>
        <v>-2.8478917107893631E-3</v>
      </c>
      <c r="I18" s="7">
        <f t="shared" si="1"/>
        <v>-2.3441497727193616E-2</v>
      </c>
      <c r="J18" s="7">
        <f t="shared" si="1"/>
        <v>-3.0003924708394192E-2</v>
      </c>
      <c r="K18" s="7">
        <f t="shared" si="1"/>
        <v>-1.6263708266011978E-2</v>
      </c>
      <c r="L18" s="7"/>
    </row>
    <row r="19" spans="1:12" x14ac:dyDescent="0.25">
      <c r="A19" s="2" t="s">
        <v>252</v>
      </c>
      <c r="B19" s="7">
        <v>-4.6635071090047608E-3</v>
      </c>
      <c r="C19" s="7">
        <v>1.5206966178697545E-2</v>
      </c>
      <c r="D19" s="7">
        <v>0</v>
      </c>
      <c r="E19" s="7">
        <v>-1.7110406372151332E-2</v>
      </c>
      <c r="F19" s="7">
        <v>7.7560319395360011E-3</v>
      </c>
      <c r="G19" s="7"/>
      <c r="H19" s="7">
        <f t="shared" si="1"/>
        <v>-1.2419539048540762E-2</v>
      </c>
      <c r="I19" s="7">
        <f t="shared" si="1"/>
        <v>7.4509342391615441E-3</v>
      </c>
      <c r="J19" s="7">
        <f t="shared" si="1"/>
        <v>-7.7560319395360011E-3</v>
      </c>
      <c r="K19" s="7">
        <f t="shared" si="1"/>
        <v>-2.4866438311687333E-2</v>
      </c>
      <c r="L19" s="7"/>
    </row>
    <row r="20" spans="1:12" x14ac:dyDescent="0.25">
      <c r="A20" s="2" t="s">
        <v>253</v>
      </c>
      <c r="B20" s="7">
        <v>-3.6642490178302456E-3</v>
      </c>
      <c r="C20" s="7">
        <v>-1.8456583673975069E-2</v>
      </c>
      <c r="D20" s="7">
        <v>-2.9411764705882359E-2</v>
      </c>
      <c r="E20" s="7">
        <v>-4.8891694725028079E-2</v>
      </c>
      <c r="F20" s="7">
        <v>-9.4439971983341087E-3</v>
      </c>
      <c r="G20" s="7"/>
      <c r="H20" s="7">
        <f t="shared" si="1"/>
        <v>5.7797481805038631E-3</v>
      </c>
      <c r="I20" s="7">
        <f t="shared" si="1"/>
        <v>-9.0125864756409602E-3</v>
      </c>
      <c r="J20" s="7">
        <f t="shared" si="1"/>
        <v>-1.9967767507548251E-2</v>
      </c>
      <c r="K20" s="7">
        <f t="shared" si="1"/>
        <v>-3.944769752669397E-2</v>
      </c>
      <c r="L20" s="7"/>
    </row>
    <row r="21" spans="1:12" x14ac:dyDescent="0.25">
      <c r="A21" s="2" t="s">
        <v>8</v>
      </c>
      <c r="B21" s="7">
        <v>2.0440608675904581E-3</v>
      </c>
      <c r="C21" s="7">
        <v>-2.334865714977008E-2</v>
      </c>
      <c r="D21" s="7">
        <v>3.9568345323741205E-2</v>
      </c>
      <c r="E21" s="7">
        <v>-1.0755672749982681E-2</v>
      </c>
      <c r="F21" s="7">
        <v>3.9832065685119211E-4</v>
      </c>
      <c r="G21" s="7"/>
      <c r="H21" s="7">
        <f t="shared" si="1"/>
        <v>1.645740210739266E-3</v>
      </c>
      <c r="I21" s="7">
        <f t="shared" si="1"/>
        <v>-2.3746977806621272E-2</v>
      </c>
      <c r="J21" s="7">
        <f t="shared" si="1"/>
        <v>3.9170024666890013E-2</v>
      </c>
      <c r="K21" s="7">
        <f t="shared" si="1"/>
        <v>-1.1153993406833873E-2</v>
      </c>
      <c r="L21" s="7"/>
    </row>
    <row r="22" spans="1:12" x14ac:dyDescent="0.25">
      <c r="A22" s="2" t="s">
        <v>254</v>
      </c>
      <c r="B22" s="7">
        <v>-3.2130426818098523E-2</v>
      </c>
      <c r="C22" s="7">
        <v>-5.1152434254077006E-3</v>
      </c>
      <c r="D22" s="7">
        <v>6.1068702290076216E-2</v>
      </c>
      <c r="E22" s="7">
        <v>-2.661263086794996E-2</v>
      </c>
      <c r="F22" s="7">
        <v>-4.3393555521460403E-3</v>
      </c>
      <c r="G22" s="7"/>
      <c r="H22" s="7">
        <f t="shared" si="1"/>
        <v>-2.7791071265952483E-2</v>
      </c>
      <c r="I22" s="7">
        <f t="shared" si="1"/>
        <v>-7.7588787326166031E-4</v>
      </c>
      <c r="J22" s="7">
        <f t="shared" si="1"/>
        <v>6.5408057842222256E-2</v>
      </c>
      <c r="K22" s="7">
        <f t="shared" si="1"/>
        <v>-2.227327531580392E-2</v>
      </c>
      <c r="L22" s="7"/>
    </row>
    <row r="23" spans="1:12" x14ac:dyDescent="0.25">
      <c r="A23" s="2" t="s">
        <v>255</v>
      </c>
      <c r="B23" s="7">
        <v>-4.6676147759181497E-3</v>
      </c>
      <c r="C23" s="7">
        <v>3.8057267125770622E-3</v>
      </c>
      <c r="D23" s="7">
        <v>7.1574642126789545E-2</v>
      </c>
      <c r="E23" s="7">
        <v>-2.7777777777777679E-2</v>
      </c>
      <c r="F23" s="7">
        <v>-5.3655776669887523E-3</v>
      </c>
      <c r="G23" s="7"/>
      <c r="H23" s="7">
        <f t="shared" si="1"/>
        <v>6.9796289107060261E-4</v>
      </c>
      <c r="I23" s="7">
        <f t="shared" si="1"/>
        <v>9.1713043795658145E-3</v>
      </c>
      <c r="J23" s="7">
        <f t="shared" si="1"/>
        <v>7.6940219793778297E-2</v>
      </c>
      <c r="K23" s="7">
        <f t="shared" si="1"/>
        <v>-2.2412200110788927E-2</v>
      </c>
      <c r="L23" s="7"/>
    </row>
    <row r="24" spans="1:12" x14ac:dyDescent="0.25">
      <c r="A24" s="2" t="s">
        <v>256</v>
      </c>
      <c r="B24" s="7">
        <v>7.6798706548102391E-3</v>
      </c>
      <c r="C24" s="7">
        <v>-5.5268532980897733E-3</v>
      </c>
      <c r="D24" s="7">
        <v>8.2474226804123418E-3</v>
      </c>
      <c r="E24" s="7">
        <v>-5.420939194043628E-3</v>
      </c>
      <c r="F24" s="7">
        <v>8.1363469456769977E-3</v>
      </c>
      <c r="G24" s="7"/>
      <c r="H24" s="7">
        <f t="shared" si="1"/>
        <v>-4.5647629086675856E-4</v>
      </c>
      <c r="I24" s="7">
        <f t="shared" si="1"/>
        <v>-1.3663200243766771E-2</v>
      </c>
      <c r="J24" s="7">
        <f t="shared" si="1"/>
        <v>1.1107573473534416E-4</v>
      </c>
      <c r="K24" s="7">
        <f t="shared" si="1"/>
        <v>-1.3557286139720626E-2</v>
      </c>
      <c r="L24" s="7"/>
    </row>
    <row r="25" spans="1:12" x14ac:dyDescent="0.25">
      <c r="A25" s="2" t="s">
        <v>257</v>
      </c>
      <c r="B25" s="7">
        <v>2.2390863325569166E-2</v>
      </c>
      <c r="C25" s="7">
        <v>7.2141397138403285E-4</v>
      </c>
      <c r="D25" s="7">
        <v>1.6771488469601747E-2</v>
      </c>
      <c r="E25" s="7">
        <v>2.1599685822752956E-3</v>
      </c>
      <c r="F25" s="7">
        <v>7.6516397937917979E-3</v>
      </c>
      <c r="G25" s="7"/>
      <c r="H25" s="7">
        <f t="shared" si="1"/>
        <v>1.4739223531777368E-2</v>
      </c>
      <c r="I25" s="7">
        <f t="shared" si="1"/>
        <v>-6.9302258224077651E-3</v>
      </c>
      <c r="J25" s="7">
        <f t="shared" si="1"/>
        <v>9.1198486758099495E-3</v>
      </c>
      <c r="K25" s="7">
        <f t="shared" si="1"/>
        <v>-5.4916712115165023E-3</v>
      </c>
      <c r="L25" s="7"/>
    </row>
    <row r="26" spans="1:12" x14ac:dyDescent="0.25">
      <c r="A26" s="2" t="s">
        <v>9</v>
      </c>
      <c r="B26" s="7">
        <v>6.0473202812005855E-3</v>
      </c>
      <c r="C26" s="7">
        <v>-4.3098288040225308E-3</v>
      </c>
      <c r="D26" s="7">
        <v>-2.0920502092051096E-3</v>
      </c>
      <c r="E26" s="7">
        <v>-1.0812560699255291E-2</v>
      </c>
      <c r="F26" s="7">
        <v>-1.0385685815636703E-2</v>
      </c>
      <c r="G26" s="7"/>
      <c r="H26" s="7">
        <f t="shared" si="1"/>
        <v>1.6433006096837288E-2</v>
      </c>
      <c r="I26" s="7">
        <f t="shared" si="1"/>
        <v>6.0758570116141719E-3</v>
      </c>
      <c r="J26" s="7">
        <f t="shared" si="1"/>
        <v>8.293635606431593E-3</v>
      </c>
      <c r="K26" s="7">
        <f t="shared" si="1"/>
        <v>-4.2687488361858872E-4</v>
      </c>
      <c r="L26" s="7"/>
    </row>
    <row r="27" spans="1:12" x14ac:dyDescent="0.25">
      <c r="A27" s="2" t="s">
        <v>258</v>
      </c>
      <c r="B27" s="7">
        <v>1.5350372246526911E-2</v>
      </c>
      <c r="C27" s="7">
        <v>1.2178127840048347E-2</v>
      </c>
      <c r="D27" s="7">
        <v>2.1367521367521514E-2</v>
      </c>
      <c r="E27" s="7">
        <v>1.1667855059309673E-3</v>
      </c>
      <c r="F27" s="7">
        <v>6.9397789821754596E-3</v>
      </c>
      <c r="G27" s="7"/>
      <c r="H27" s="7">
        <f t="shared" si="1"/>
        <v>8.4105932643514514E-3</v>
      </c>
      <c r="I27" s="7">
        <f t="shared" si="1"/>
        <v>5.2383488578728876E-3</v>
      </c>
      <c r="J27" s="7">
        <f t="shared" si="1"/>
        <v>1.4427742385346054E-2</v>
      </c>
      <c r="K27" s="7">
        <f t="shared" si="1"/>
        <v>-5.7729934762444923E-3</v>
      </c>
      <c r="L27" s="7"/>
    </row>
    <row r="28" spans="1:12" x14ac:dyDescent="0.25">
      <c r="A28" s="2" t="s">
        <v>259</v>
      </c>
      <c r="B28" s="7">
        <v>-1.426139587667874E-2</v>
      </c>
      <c r="C28" s="7">
        <v>5.3602972528477011E-3</v>
      </c>
      <c r="D28" s="7">
        <v>1.9607843137254832E-2</v>
      </c>
      <c r="E28" s="7">
        <v>-9.6295820761378437E-3</v>
      </c>
      <c r="F28" s="7">
        <v>-2.8221370640183485E-3</v>
      </c>
      <c r="G28" s="7"/>
      <c r="H28" s="7">
        <f t="shared" si="1"/>
        <v>-1.1439258812660391E-2</v>
      </c>
      <c r="I28" s="7">
        <f t="shared" si="1"/>
        <v>8.1824343168660496E-3</v>
      </c>
      <c r="J28" s="7">
        <f t="shared" si="1"/>
        <v>2.2429980201273181E-2</v>
      </c>
      <c r="K28" s="7">
        <f t="shared" si="1"/>
        <v>-6.8074450121194952E-3</v>
      </c>
      <c r="L28" s="7"/>
    </row>
    <row r="29" spans="1:12" x14ac:dyDescent="0.25">
      <c r="A29" s="2" t="s">
        <v>260</v>
      </c>
      <c r="B29" s="7">
        <v>1.7811126269517974E-3</v>
      </c>
      <c r="C29" s="7">
        <v>-2.0582269418923826E-2</v>
      </c>
      <c r="D29" s="7">
        <v>2.4553571428571397E-2</v>
      </c>
      <c r="E29" s="7">
        <v>2.1874798944863105E-3</v>
      </c>
      <c r="F29" s="7">
        <v>5.5660931549768033E-3</v>
      </c>
      <c r="G29" s="7"/>
      <c r="H29" s="7">
        <f t="shared" si="1"/>
        <v>-3.784980528025006E-3</v>
      </c>
      <c r="I29" s="7">
        <f t="shared" si="1"/>
        <v>-2.614836257390063E-2</v>
      </c>
      <c r="J29" s="7">
        <f t="shared" si="1"/>
        <v>1.8987478273594594E-2</v>
      </c>
      <c r="K29" s="7">
        <f t="shared" si="1"/>
        <v>-3.3786132604904928E-3</v>
      </c>
      <c r="L29" s="7"/>
    </row>
    <row r="30" spans="1:12" x14ac:dyDescent="0.25">
      <c r="A30" s="2" t="s">
        <v>261</v>
      </c>
      <c r="B30" s="7">
        <v>3.1667839549612831E-2</v>
      </c>
      <c r="C30" s="7">
        <v>-2.4444185775811866E-2</v>
      </c>
      <c r="D30" s="7">
        <v>1.8181818181818299E-2</v>
      </c>
      <c r="E30" s="7">
        <v>-1.9264110961277892E-3</v>
      </c>
      <c r="F30" s="7">
        <v>1.0312792104349988E-3</v>
      </c>
      <c r="G30" s="7"/>
      <c r="H30" s="7">
        <f t="shared" si="1"/>
        <v>3.0636560339177832E-2</v>
      </c>
      <c r="I30" s="7">
        <f t="shared" si="1"/>
        <v>-2.5475464986246865E-2</v>
      </c>
      <c r="J30" s="7">
        <f t="shared" si="1"/>
        <v>1.71505389713833E-2</v>
      </c>
      <c r="K30" s="7">
        <f t="shared" si="1"/>
        <v>-2.957690306562788E-3</v>
      </c>
      <c r="L30" s="7"/>
    </row>
    <row r="31" spans="1:12" x14ac:dyDescent="0.25">
      <c r="A31" s="2" t="s">
        <v>262</v>
      </c>
      <c r="B31" s="7">
        <v>-2.2733351163412796E-2</v>
      </c>
      <c r="C31" s="7">
        <v>-1.1563021342691271E-2</v>
      </c>
      <c r="D31" s="7">
        <v>1.616628175519641E-2</v>
      </c>
      <c r="E31" s="7">
        <v>-1.8900018900018911E-2</v>
      </c>
      <c r="F31" s="7">
        <v>4.9906626312057334E-4</v>
      </c>
      <c r="G31" s="7"/>
      <c r="H31" s="7">
        <f t="shared" si="1"/>
        <v>-2.3232417426533369E-2</v>
      </c>
      <c r="I31" s="7">
        <f t="shared" si="1"/>
        <v>-1.2062087605811844E-2</v>
      </c>
      <c r="J31" s="7">
        <f t="shared" si="1"/>
        <v>1.5667215492075837E-2</v>
      </c>
      <c r="K31" s="7">
        <f t="shared" si="1"/>
        <v>-1.9399085163139485E-2</v>
      </c>
      <c r="L31" s="7"/>
    </row>
    <row r="32" spans="1:12" x14ac:dyDescent="0.25">
      <c r="A32" s="2" t="s">
        <v>263</v>
      </c>
      <c r="B32" s="7">
        <v>-4.9981851179673242E-2</v>
      </c>
      <c r="C32" s="7">
        <v>1.0169688516968867E-2</v>
      </c>
      <c r="D32" s="7">
        <v>-6.8807339449541427E-3</v>
      </c>
      <c r="E32" s="7">
        <v>-3.4018987341772222E-2</v>
      </c>
      <c r="F32" s="7">
        <v>-1.5660947897203292E-2</v>
      </c>
      <c r="G32" s="7"/>
      <c r="H32" s="7">
        <f t="shared" si="1"/>
        <v>-3.432090328246995E-2</v>
      </c>
      <c r="I32" s="7">
        <f t="shared" si="1"/>
        <v>2.5830636414172159E-2</v>
      </c>
      <c r="J32" s="7">
        <f t="shared" si="1"/>
        <v>8.7802139522491496E-3</v>
      </c>
      <c r="K32" s="7">
        <f t="shared" si="1"/>
        <v>-1.835803944456893E-2</v>
      </c>
      <c r="L32" s="7"/>
    </row>
    <row r="33" spans="1:12" x14ac:dyDescent="0.25">
      <c r="A33" s="2" t="s">
        <v>264</v>
      </c>
      <c r="B33" s="7">
        <v>6.6501023092662148E-3</v>
      </c>
      <c r="C33" s="7">
        <v>-3.3592030580330556E-3</v>
      </c>
      <c r="D33" s="7">
        <v>4.0572792362768562E-2</v>
      </c>
      <c r="E33" s="7">
        <v>-1.3152363221428098E-2</v>
      </c>
      <c r="F33" s="7">
        <v>-4.8978580514336123E-5</v>
      </c>
      <c r="G33" s="7"/>
      <c r="H33" s="7">
        <f t="shared" si="1"/>
        <v>6.6990808897805509E-3</v>
      </c>
      <c r="I33" s="7">
        <f t="shared" si="1"/>
        <v>-3.3102244775187195E-3</v>
      </c>
      <c r="J33" s="7">
        <f t="shared" si="1"/>
        <v>4.0621770943282898E-2</v>
      </c>
      <c r="K33" s="7">
        <f t="shared" si="1"/>
        <v>-1.3103384640913762E-2</v>
      </c>
      <c r="L33" s="7"/>
    </row>
    <row r="34" spans="1:12" x14ac:dyDescent="0.25">
      <c r="A34" s="2" t="s">
        <v>265</v>
      </c>
      <c r="B34" s="7">
        <v>-3.4229116597480624E-3</v>
      </c>
      <c r="C34" s="7">
        <v>1.8522888154789863E-2</v>
      </c>
      <c r="D34" s="7">
        <v>1.6990291262136026E-2</v>
      </c>
      <c r="E34" s="7">
        <v>2.1533742331288241E-2</v>
      </c>
      <c r="F34" s="7">
        <v>-3.3037465433419788E-3</v>
      </c>
      <c r="G34" s="7"/>
      <c r="H34" s="7">
        <f t="shared" si="1"/>
        <v>-1.1916511640608363E-4</v>
      </c>
      <c r="I34" s="7">
        <f t="shared" si="1"/>
        <v>2.1826634698131842E-2</v>
      </c>
      <c r="J34" s="7">
        <f t="shared" si="1"/>
        <v>2.0294037805478005E-2</v>
      </c>
      <c r="K34" s="7">
        <f t="shared" si="1"/>
        <v>2.483748887463022E-2</v>
      </c>
      <c r="L34" s="7"/>
    </row>
    <row r="35" spans="1:12" x14ac:dyDescent="0.25">
      <c r="A35" s="2" t="s">
        <v>10</v>
      </c>
      <c r="B35" s="7">
        <v>-1.1660548477650634E-2</v>
      </c>
      <c r="C35" s="7">
        <v>-1.3730509657900791E-2</v>
      </c>
      <c r="D35" s="7">
        <v>-2.421307506053183E-3</v>
      </c>
      <c r="E35" s="7">
        <v>3.0151990646729576E-3</v>
      </c>
      <c r="F35" s="7">
        <v>4.6910837672922145E-3</v>
      </c>
      <c r="G35" s="7"/>
      <c r="H35" s="7">
        <f t="shared" si="1"/>
        <v>-1.6351632244942849E-2</v>
      </c>
      <c r="I35" s="7">
        <f t="shared" si="1"/>
        <v>-1.8421593425193006E-2</v>
      </c>
      <c r="J35" s="7">
        <f t="shared" si="1"/>
        <v>-7.1123912733453976E-3</v>
      </c>
      <c r="K35" s="7">
        <f t="shared" si="1"/>
        <v>-1.6758847026192569E-3</v>
      </c>
      <c r="L35" s="7"/>
    </row>
    <row r="36" spans="1:12" x14ac:dyDescent="0.25">
      <c r="A36" s="2" t="s">
        <v>266</v>
      </c>
      <c r="B36" s="7">
        <v>8.0174133865409392E-3</v>
      </c>
      <c r="C36" s="7">
        <v>4.5880491663624179E-2</v>
      </c>
      <c r="D36" s="7">
        <v>2.2277227722772297E-2</v>
      </c>
      <c r="E36" s="7">
        <v>3.0109026369168346E-2</v>
      </c>
      <c r="F36" s="7">
        <v>1.9695810779006839E-2</v>
      </c>
      <c r="G36" s="7"/>
      <c r="H36" s="7">
        <f t="shared" si="1"/>
        <v>-1.16783973924659E-2</v>
      </c>
      <c r="I36" s="7">
        <f t="shared" si="1"/>
        <v>2.618468088461734E-2</v>
      </c>
      <c r="J36" s="7">
        <f t="shared" si="1"/>
        <v>2.5814169437654577E-3</v>
      </c>
      <c r="K36" s="7">
        <f t="shared" si="1"/>
        <v>1.0413215590161506E-2</v>
      </c>
      <c r="L36" s="7"/>
    </row>
    <row r="37" spans="1:12" x14ac:dyDescent="0.25">
      <c r="A37" s="2" t="s">
        <v>267</v>
      </c>
      <c r="B37" s="7">
        <v>-2.0996995257576145E-3</v>
      </c>
      <c r="C37" s="7">
        <v>7.8498712130503634E-3</v>
      </c>
      <c r="D37" s="7">
        <v>2.4813895781636841E-3</v>
      </c>
      <c r="E37" s="7">
        <v>-8.6716099032297933E-3</v>
      </c>
      <c r="F37" s="7">
        <v>-1.2250970546528239E-2</v>
      </c>
      <c r="G37" s="7"/>
      <c r="H37" s="7">
        <f t="shared" si="1"/>
        <v>1.0151271020770625E-2</v>
      </c>
      <c r="I37" s="7">
        <f t="shared" si="1"/>
        <v>2.0100841759578603E-2</v>
      </c>
      <c r="J37" s="7">
        <f t="shared" si="1"/>
        <v>1.4732360124691923E-2</v>
      </c>
      <c r="K37" s="7">
        <f t="shared" si="1"/>
        <v>3.5793606432984459E-3</v>
      </c>
      <c r="L37" s="7"/>
    </row>
    <row r="38" spans="1:12" x14ac:dyDescent="0.25">
      <c r="A38" s="2" t="s">
        <v>268</v>
      </c>
      <c r="B38" s="7">
        <v>2.6000074285926544E-2</v>
      </c>
      <c r="C38" s="7">
        <v>5.2135759452832664E-2</v>
      </c>
      <c r="D38" s="7">
        <v>-1.9464720194647178E-2</v>
      </c>
      <c r="E38" s="7">
        <v>-2.7558814543232613E-2</v>
      </c>
      <c r="F38" s="7">
        <v>-5.0724145358140849E-3</v>
      </c>
      <c r="G38" s="7"/>
      <c r="H38" s="7">
        <f t="shared" si="1"/>
        <v>3.1072488821740629E-2</v>
      </c>
      <c r="I38" s="7">
        <f t="shared" si="1"/>
        <v>5.7208173988646749E-2</v>
      </c>
      <c r="J38" s="7">
        <f t="shared" si="1"/>
        <v>-1.4392305658833093E-2</v>
      </c>
      <c r="K38" s="7">
        <f t="shared" si="1"/>
        <v>-2.2486400007418528E-2</v>
      </c>
      <c r="L38" s="7"/>
    </row>
    <row r="39" spans="1:12" x14ac:dyDescent="0.25">
      <c r="A39" s="2" t="s">
        <v>269</v>
      </c>
      <c r="B39" s="7">
        <v>-1.9647093712928942E-3</v>
      </c>
      <c r="C39" s="7">
        <v>1.4665444546287709E-2</v>
      </c>
      <c r="D39" s="7">
        <v>1.4814814814814836E-2</v>
      </c>
      <c r="E39" s="7">
        <v>-2.8148939960805142E-2</v>
      </c>
      <c r="F39" s="7">
        <v>-8.4039997477222128E-3</v>
      </c>
      <c r="G39" s="7"/>
      <c r="H39" s="7">
        <f t="shared" si="1"/>
        <v>6.4392903764293186E-3</v>
      </c>
      <c r="I39" s="7">
        <f t="shared" si="1"/>
        <v>2.3069444294009922E-2</v>
      </c>
      <c r="J39" s="7">
        <f t="shared" si="1"/>
        <v>2.3218814562537049E-2</v>
      </c>
      <c r="K39" s="7">
        <f t="shared" si="1"/>
        <v>-1.9744940213082929E-2</v>
      </c>
      <c r="L39" s="7"/>
    </row>
    <row r="40" spans="1:12" x14ac:dyDescent="0.25">
      <c r="A40" s="2" t="s">
        <v>11</v>
      </c>
      <c r="B40" s="7">
        <v>4.0580157383119708E-2</v>
      </c>
      <c r="C40" s="7">
        <v>1.7051416579225709E-3</v>
      </c>
      <c r="D40" s="7">
        <v>4.9627791563273682E-3</v>
      </c>
      <c r="E40" s="7">
        <v>-6.9002123142251071E-3</v>
      </c>
      <c r="F40" s="7">
        <v>5.3912434446889979E-3</v>
      </c>
      <c r="G40" s="7"/>
      <c r="H40" s="7">
        <f t="shared" si="1"/>
        <v>3.518891393843071E-2</v>
      </c>
      <c r="I40" s="7">
        <f t="shared" si="1"/>
        <v>-3.686101786766427E-3</v>
      </c>
      <c r="J40" s="7">
        <f t="shared" si="1"/>
        <v>-4.2846428836162964E-4</v>
      </c>
      <c r="K40" s="7">
        <f t="shared" si="1"/>
        <v>-1.2291455758914105E-2</v>
      </c>
      <c r="L40" s="7"/>
    </row>
    <row r="41" spans="1:12" x14ac:dyDescent="0.25">
      <c r="A41" s="2" t="s">
        <v>270</v>
      </c>
      <c r="B41" s="7">
        <v>4.6504417919701613E-3</v>
      </c>
      <c r="C41" s="7">
        <v>-2.0554984583761704E-2</v>
      </c>
      <c r="D41" s="7">
        <v>-1.4669926650366705E-2</v>
      </c>
      <c r="E41" s="7">
        <v>-2.6915351506456187E-2</v>
      </c>
      <c r="F41" s="7">
        <v>-4.3019022788028938E-3</v>
      </c>
      <c r="G41" s="7"/>
      <c r="H41" s="7">
        <f t="shared" si="1"/>
        <v>8.9523440707730551E-3</v>
      </c>
      <c r="I41" s="7">
        <f t="shared" si="1"/>
        <v>-1.625308230495881E-2</v>
      </c>
      <c r="J41" s="7">
        <f t="shared" si="1"/>
        <v>-1.0368024371563811E-2</v>
      </c>
      <c r="K41" s="7">
        <f t="shared" si="1"/>
        <v>-2.2613449227653293E-2</v>
      </c>
      <c r="L41" s="7"/>
    </row>
    <row r="42" spans="1:12" x14ac:dyDescent="0.25">
      <c r="A42" s="2" t="s">
        <v>271</v>
      </c>
      <c r="B42" s="7">
        <v>7.1818891491024495E-3</v>
      </c>
      <c r="C42" s="7">
        <v>2.8343210512753458E-3</v>
      </c>
      <c r="D42" s="7">
        <v>7.3891625615765122E-3</v>
      </c>
      <c r="E42" s="7">
        <v>-8.026870089946514E-3</v>
      </c>
      <c r="F42" s="7">
        <v>-1.2926284352460238E-3</v>
      </c>
      <c r="G42" s="7"/>
      <c r="H42" s="7">
        <f t="shared" si="1"/>
        <v>8.4745175843484732E-3</v>
      </c>
      <c r="I42" s="7">
        <f t="shared" si="1"/>
        <v>4.1269494865213696E-3</v>
      </c>
      <c r="J42" s="7">
        <f t="shared" si="1"/>
        <v>8.681790996822536E-3</v>
      </c>
      <c r="K42" s="7">
        <f t="shared" si="1"/>
        <v>-6.7342416547004902E-3</v>
      </c>
      <c r="L42" s="7"/>
    </row>
    <row r="43" spans="1:12" x14ac:dyDescent="0.25">
      <c r="A43" s="2" t="s">
        <v>272</v>
      </c>
      <c r="B43" s="7">
        <v>-7.0921985815601829E-3</v>
      </c>
      <c r="C43" s="7">
        <v>-1.3346892080843942E-2</v>
      </c>
      <c r="D43" s="7">
        <v>2.0100502512562679E-2</v>
      </c>
      <c r="E43" s="7">
        <v>1.7021769337656201E-2</v>
      </c>
      <c r="F43" s="7">
        <v>-8.1678273579299798E-5</v>
      </c>
      <c r="G43" s="7"/>
      <c r="H43" s="7">
        <f t="shared" si="1"/>
        <v>-7.0105203079808831E-3</v>
      </c>
      <c r="I43" s="7">
        <f t="shared" si="1"/>
        <v>-1.3265213807264642E-2</v>
      </c>
      <c r="J43" s="7">
        <f t="shared" si="1"/>
        <v>2.0182180786141979E-2</v>
      </c>
      <c r="K43" s="7">
        <f t="shared" si="1"/>
        <v>1.7103447611235501E-2</v>
      </c>
      <c r="L43" s="7"/>
    </row>
    <row r="44" spans="1:12" x14ac:dyDescent="0.25">
      <c r="A44" s="2" t="s">
        <v>273</v>
      </c>
      <c r="B44" s="7">
        <v>1.1208214131755323E-2</v>
      </c>
      <c r="C44" s="7">
        <v>-9.2563440589383816E-3</v>
      </c>
      <c r="D44" s="7">
        <v>1.5306122448979664E-2</v>
      </c>
      <c r="E44" s="7">
        <v>7.8776915446110429E-3</v>
      </c>
      <c r="F44" s="7">
        <v>4.0818793047137092E-3</v>
      </c>
      <c r="G44" s="7"/>
      <c r="H44" s="7">
        <f t="shared" si="1"/>
        <v>7.1263348270416138E-3</v>
      </c>
      <c r="I44" s="7">
        <f t="shared" si="1"/>
        <v>-1.3338223363652091E-2</v>
      </c>
      <c r="J44" s="7">
        <f t="shared" si="1"/>
        <v>1.1224243144265955E-2</v>
      </c>
      <c r="K44" s="7">
        <f t="shared" si="1"/>
        <v>3.7958122398973337E-3</v>
      </c>
      <c r="L44" s="7"/>
    </row>
    <row r="45" spans="1:12" x14ac:dyDescent="0.25">
      <c r="A45" s="2" t="s">
        <v>12</v>
      </c>
      <c r="B45" s="7">
        <v>2.9700173520035511E-2</v>
      </c>
      <c r="C45" s="7">
        <v>-1.938870021611605E-2</v>
      </c>
      <c r="D45" s="7">
        <v>-5.0761421319797106E-3</v>
      </c>
      <c r="E45" s="7">
        <v>-1.0737170236102211E-2</v>
      </c>
      <c r="F45" s="7">
        <v>5.0060659869484159E-3</v>
      </c>
      <c r="G45" s="7"/>
      <c r="H45" s="7">
        <f t="shared" si="1"/>
        <v>2.4694107533087095E-2</v>
      </c>
      <c r="I45" s="7">
        <f t="shared" si="1"/>
        <v>-2.4394766203064466E-2</v>
      </c>
      <c r="J45" s="7">
        <f t="shared" si="1"/>
        <v>-1.0082208118928127E-2</v>
      </c>
      <c r="K45" s="7">
        <f t="shared" si="1"/>
        <v>-1.5743236223050627E-2</v>
      </c>
      <c r="L45" s="7"/>
    </row>
    <row r="46" spans="1:12" x14ac:dyDescent="0.25">
      <c r="A46" s="2" t="s">
        <v>274</v>
      </c>
      <c r="B46" s="7">
        <v>-1.2493954538126406E-3</v>
      </c>
      <c r="C46" s="7">
        <v>1.2757175911450203E-2</v>
      </c>
      <c r="D46" s="7">
        <v>1.2853470437018011E-2</v>
      </c>
      <c r="E46" s="7">
        <v>-2.2293712608646654E-2</v>
      </c>
      <c r="F46" s="7">
        <v>3.2690374420485391E-4</v>
      </c>
      <c r="G46" s="7"/>
      <c r="H46" s="7">
        <f t="shared" si="1"/>
        <v>-1.5762991980174945E-3</v>
      </c>
      <c r="I46" s="7">
        <f t="shared" si="1"/>
        <v>1.2430272167245349E-2</v>
      </c>
      <c r="J46" s="7">
        <f t="shared" si="1"/>
        <v>1.2526566692813157E-2</v>
      </c>
      <c r="K46" s="7">
        <f t="shared" si="1"/>
        <v>-2.2620616352851508E-2</v>
      </c>
      <c r="L46" s="7"/>
    </row>
    <row r="47" spans="1:12" x14ac:dyDescent="0.25">
      <c r="A47" s="2" t="s">
        <v>275</v>
      </c>
      <c r="B47" s="7">
        <v>2.8291973163043771E-3</v>
      </c>
      <c r="C47" s="7">
        <v>3.0480732053099535E-2</v>
      </c>
      <c r="D47" s="7">
        <v>-2.0151133501259411E-2</v>
      </c>
      <c r="E47" s="7">
        <v>5.0453548348847077E-2</v>
      </c>
      <c r="F47" s="7">
        <v>5.4875051268103991E-3</v>
      </c>
      <c r="G47" s="7"/>
      <c r="H47" s="7">
        <f t="shared" si="1"/>
        <v>-2.6583078105060221E-3</v>
      </c>
      <c r="I47" s="7">
        <f t="shared" si="1"/>
        <v>2.4993226926289136E-2</v>
      </c>
      <c r="J47" s="7">
        <f t="shared" si="1"/>
        <v>-2.563863862806981E-2</v>
      </c>
      <c r="K47" s="7">
        <f t="shared" si="1"/>
        <v>4.4966043222036678E-2</v>
      </c>
      <c r="L47" s="7"/>
    </row>
    <row r="48" spans="1:12" x14ac:dyDescent="0.25">
      <c r="A48" s="2" t="s">
        <v>276</v>
      </c>
      <c r="B48" s="7">
        <v>3.8544244735667643E-3</v>
      </c>
      <c r="C48" s="7">
        <v>-1.5442028053016532E-3</v>
      </c>
      <c r="D48" s="7">
        <v>7.6142131979695105E-3</v>
      </c>
      <c r="E48" s="7">
        <v>3.8672332040150303E-2</v>
      </c>
      <c r="F48" s="7">
        <v>1.1587703733783039E-2</v>
      </c>
      <c r="G48" s="7"/>
      <c r="H48" s="7">
        <f t="shared" si="1"/>
        <v>-7.7332792602162748E-3</v>
      </c>
      <c r="I48" s="7">
        <f t="shared" si="1"/>
        <v>-1.3131906539084692E-2</v>
      </c>
      <c r="J48" s="7">
        <f t="shared" si="1"/>
        <v>-3.9734905358135286E-3</v>
      </c>
      <c r="K48" s="7">
        <f t="shared" si="1"/>
        <v>2.7084628306367264E-2</v>
      </c>
      <c r="L48" s="7"/>
    </row>
    <row r="49" spans="1:12" x14ac:dyDescent="0.25">
      <c r="A49" s="2" t="s">
        <v>277</v>
      </c>
      <c r="B49" s="7">
        <v>-3.454894433781186E-2</v>
      </c>
      <c r="C49" s="7">
        <v>-6.9619874289135075E-2</v>
      </c>
      <c r="D49" s="7">
        <v>-7.5566750629723067E-3</v>
      </c>
      <c r="E49" s="7">
        <v>-1.8198307134220215E-2</v>
      </c>
      <c r="F49" s="7">
        <v>-2.0626771431165203E-2</v>
      </c>
      <c r="G49" s="7"/>
      <c r="H49" s="7">
        <f t="shared" si="1"/>
        <v>-1.3922172906646657E-2</v>
      </c>
      <c r="I49" s="7">
        <f t="shared" si="1"/>
        <v>-4.8993102857969872E-2</v>
      </c>
      <c r="J49" s="7">
        <f t="shared" si="1"/>
        <v>1.3070096368192896E-2</v>
      </c>
      <c r="K49" s="7">
        <f t="shared" si="1"/>
        <v>2.4284642969449877E-3</v>
      </c>
      <c r="L49" s="7"/>
    </row>
    <row r="50" spans="1:12" x14ac:dyDescent="0.25">
      <c r="A50" s="2" t="s">
        <v>278</v>
      </c>
      <c r="B50" s="7">
        <v>-1.0388804899794657E-2</v>
      </c>
      <c r="C50" s="7">
        <v>-1.931431255136784E-2</v>
      </c>
      <c r="D50" s="7">
        <v>0</v>
      </c>
      <c r="E50" s="7">
        <v>-3.2352424969285698E-2</v>
      </c>
      <c r="F50" s="7">
        <v>-6.4223763656545696E-4</v>
      </c>
      <c r="G50" s="7"/>
      <c r="H50" s="7">
        <f t="shared" si="1"/>
        <v>-9.7465672632292E-3</v>
      </c>
      <c r="I50" s="7">
        <f t="shared" si="1"/>
        <v>-1.8672074914802383E-2</v>
      </c>
      <c r="J50" s="7">
        <f t="shared" si="1"/>
        <v>6.4223763656545696E-4</v>
      </c>
      <c r="K50" s="7">
        <f t="shared" si="1"/>
        <v>-3.1710187332720241E-2</v>
      </c>
      <c r="L50" s="7"/>
    </row>
    <row r="51" spans="1:12" x14ac:dyDescent="0.25">
      <c r="A51" s="2" t="s">
        <v>279</v>
      </c>
      <c r="B51" s="7">
        <v>-6.7380255659941213E-3</v>
      </c>
      <c r="C51" s="7">
        <v>6.559120723276024E-3</v>
      </c>
      <c r="D51" s="7">
        <v>7.6142131979695105E-3</v>
      </c>
      <c r="E51" s="7">
        <v>6.0623896409652822E-3</v>
      </c>
      <c r="F51" s="7">
        <v>2.579909335027164E-3</v>
      </c>
      <c r="G51" s="7"/>
      <c r="H51" s="7">
        <f t="shared" si="1"/>
        <v>-9.3179349010212853E-3</v>
      </c>
      <c r="I51" s="7">
        <f t="shared" si="1"/>
        <v>3.97921138824886E-3</v>
      </c>
      <c r="J51" s="7">
        <f t="shared" si="1"/>
        <v>5.0343038629423464E-3</v>
      </c>
      <c r="K51" s="7">
        <f t="shared" si="1"/>
        <v>3.4824803059381182E-3</v>
      </c>
      <c r="L51" s="7"/>
    </row>
    <row r="52" spans="1:12" x14ac:dyDescent="0.25">
      <c r="A52" s="2" t="s">
        <v>280</v>
      </c>
      <c r="B52" s="7">
        <v>-4.1792876040027682E-3</v>
      </c>
      <c r="C52" s="7">
        <v>3.3795802205620618E-3</v>
      </c>
      <c r="D52" s="7">
        <v>0</v>
      </c>
      <c r="E52" s="7">
        <v>1.7304353032752573E-2</v>
      </c>
      <c r="F52" s="7">
        <v>-5.3333409920530706E-3</v>
      </c>
      <c r="G52" s="7"/>
      <c r="H52" s="7">
        <f t="shared" si="1"/>
        <v>1.1540533880503023E-3</v>
      </c>
      <c r="I52" s="7">
        <f t="shared" si="1"/>
        <v>8.7129212126151323E-3</v>
      </c>
      <c r="J52" s="7">
        <f t="shared" si="1"/>
        <v>5.3333409920530706E-3</v>
      </c>
      <c r="K52" s="7">
        <f t="shared" si="1"/>
        <v>2.2637694024805644E-2</v>
      </c>
      <c r="L52" s="7"/>
    </row>
    <row r="53" spans="1:12" x14ac:dyDescent="0.25">
      <c r="A53" s="2" t="s">
        <v>281</v>
      </c>
      <c r="B53" s="7">
        <v>3.0768047382794261E-3</v>
      </c>
      <c r="C53" s="7">
        <v>8.7923918894670106E-3</v>
      </c>
      <c r="D53" s="7">
        <v>2.6041666666666741E-2</v>
      </c>
      <c r="E53" s="7">
        <v>4.2090072755696095E-3</v>
      </c>
      <c r="F53" s="7">
        <v>-1.9391538524380358E-3</v>
      </c>
      <c r="G53" s="7"/>
      <c r="H53" s="7">
        <f t="shared" si="1"/>
        <v>5.015958590717462E-3</v>
      </c>
      <c r="I53" s="7">
        <f t="shared" si="1"/>
        <v>1.0731545741905046E-2</v>
      </c>
      <c r="J53" s="7">
        <f t="shared" si="1"/>
        <v>2.7980820519104777E-2</v>
      </c>
      <c r="K53" s="7">
        <f t="shared" si="1"/>
        <v>6.1481611280076454E-3</v>
      </c>
      <c r="L53" s="7"/>
    </row>
    <row r="54" spans="1:12" x14ac:dyDescent="0.25">
      <c r="A54" s="2" t="s">
        <v>13</v>
      </c>
      <c r="B54" s="7">
        <v>3.3959788523134637E-3</v>
      </c>
      <c r="C54" s="7">
        <v>1.6352583586626057E-2</v>
      </c>
      <c r="D54" s="7">
        <v>1.3192612137203019E-2</v>
      </c>
      <c r="E54" s="7">
        <v>0.10168256491785899</v>
      </c>
      <c r="F54" s="7">
        <v>1.5775995222702122E-3</v>
      </c>
      <c r="G54" s="7"/>
      <c r="H54" s="7">
        <f t="shared" si="1"/>
        <v>1.8183793300432516E-3</v>
      </c>
      <c r="I54" s="7">
        <f t="shared" si="1"/>
        <v>1.4774984064355845E-2</v>
      </c>
      <c r="J54" s="7">
        <f t="shared" si="1"/>
        <v>1.1615012614932807E-2</v>
      </c>
      <c r="K54" s="7">
        <f t="shared" si="1"/>
        <v>0.10010496539558877</v>
      </c>
      <c r="L54" s="7"/>
    </row>
    <row r="55" spans="1:12" x14ac:dyDescent="0.25">
      <c r="A55" s="2" t="s">
        <v>282</v>
      </c>
      <c r="B55" s="7">
        <v>1.2751159196289219E-3</v>
      </c>
      <c r="C55" s="7">
        <v>0</v>
      </c>
      <c r="D55" s="7">
        <v>2.6455026455027841E-3</v>
      </c>
      <c r="E55" s="7">
        <v>-2.272285880753544E-2</v>
      </c>
      <c r="F55" s="7">
        <v>6.4755123918942559E-3</v>
      </c>
      <c r="G55" s="7"/>
      <c r="H55" s="7">
        <f t="shared" si="1"/>
        <v>-5.200396472265334E-3</v>
      </c>
      <c r="I55" s="7">
        <f t="shared" si="1"/>
        <v>-6.4755123918942559E-3</v>
      </c>
      <c r="J55" s="7">
        <f t="shared" si="1"/>
        <v>-3.8300097463914717E-3</v>
      </c>
      <c r="K55" s="7">
        <f t="shared" si="1"/>
        <v>-2.9198371199429696E-2</v>
      </c>
      <c r="L55" s="7"/>
    </row>
    <row r="56" spans="1:12" x14ac:dyDescent="0.25">
      <c r="A56" s="2" t="s">
        <v>283</v>
      </c>
      <c r="B56" s="7">
        <v>-4.9598216002151307E-3</v>
      </c>
      <c r="C56" s="7">
        <v>1.4305093106425026E-2</v>
      </c>
      <c r="D56" s="7">
        <v>3.5616438356164348E-2</v>
      </c>
      <c r="E56" s="7">
        <v>5.2606473594548619E-2</v>
      </c>
      <c r="F56" s="7">
        <v>7.6579303648571795E-5</v>
      </c>
      <c r="G56" s="7"/>
      <c r="H56" s="7">
        <f t="shared" si="1"/>
        <v>-5.0364009038637025E-3</v>
      </c>
      <c r="I56" s="7">
        <f t="shared" si="1"/>
        <v>1.4228513802776455E-2</v>
      </c>
      <c r="J56" s="7">
        <f t="shared" si="1"/>
        <v>3.5539859052515776E-2</v>
      </c>
      <c r="K56" s="7">
        <f t="shared" si="1"/>
        <v>5.2529894290900048E-2</v>
      </c>
      <c r="L56" s="7"/>
    </row>
    <row r="57" spans="1:12" x14ac:dyDescent="0.25">
      <c r="A57" s="2" t="s">
        <v>284</v>
      </c>
      <c r="B57" s="7">
        <v>-7.7066880317425701E-3</v>
      </c>
      <c r="C57" s="7">
        <v>-1.988275820390395E-2</v>
      </c>
      <c r="D57" s="7">
        <v>8.9552238805970186E-2</v>
      </c>
      <c r="E57" s="7">
        <v>-2.7501656726308887E-2</v>
      </c>
      <c r="F57" s="7">
        <v>-3.4399739662078765E-3</v>
      </c>
      <c r="G57" s="7"/>
      <c r="H57" s="7">
        <f t="shared" si="1"/>
        <v>-4.2667140655346936E-3</v>
      </c>
      <c r="I57" s="7">
        <f t="shared" si="1"/>
        <v>-1.6442784237696073E-2</v>
      </c>
      <c r="J57" s="7">
        <f t="shared" si="1"/>
        <v>9.2992212772178062E-2</v>
      </c>
      <c r="K57" s="7">
        <f t="shared" si="1"/>
        <v>-2.4061682760101011E-2</v>
      </c>
      <c r="L57" s="7"/>
    </row>
    <row r="58" spans="1:12" x14ac:dyDescent="0.25">
      <c r="A58" s="2" t="s">
        <v>285</v>
      </c>
      <c r="B58" s="7">
        <v>-1.8351372607767424E-2</v>
      </c>
      <c r="C58" s="7">
        <v>1.6275641813045194E-2</v>
      </c>
      <c r="D58" s="7">
        <v>1.2084592145015227E-2</v>
      </c>
      <c r="E58" s="7">
        <v>-3.4301804684500059E-2</v>
      </c>
      <c r="F58" s="7">
        <v>6.1967096732129523E-3</v>
      </c>
      <c r="G58" s="7"/>
      <c r="H58" s="7">
        <f t="shared" si="1"/>
        <v>-2.4548082280980377E-2</v>
      </c>
      <c r="I58" s="7">
        <f t="shared" si="1"/>
        <v>1.0078932139832242E-2</v>
      </c>
      <c r="J58" s="7">
        <f t="shared" si="1"/>
        <v>5.8878824718022749E-3</v>
      </c>
      <c r="K58" s="7">
        <f t="shared" si="1"/>
        <v>-4.0498514357713011E-2</v>
      </c>
      <c r="L58" s="7"/>
    </row>
    <row r="59" spans="1:12" x14ac:dyDescent="0.25">
      <c r="A59" s="2" t="s">
        <v>14</v>
      </c>
      <c r="B59" s="7">
        <v>-1.38499039739991E-2</v>
      </c>
      <c r="C59" s="7">
        <v>1.0676598386095693E-2</v>
      </c>
      <c r="D59" s="7">
        <v>1.2232415902140747E-2</v>
      </c>
      <c r="E59" s="7">
        <v>3.3388981636059967E-3</v>
      </c>
      <c r="F59" s="7">
        <v>6.3541868667500445E-3</v>
      </c>
      <c r="G59" s="7"/>
      <c r="H59" s="7">
        <f t="shared" si="1"/>
        <v>-2.0204090840749145E-2</v>
      </c>
      <c r="I59" s="7">
        <f t="shared" si="1"/>
        <v>4.322411519345648E-3</v>
      </c>
      <c r="J59" s="7">
        <f t="shared" si="1"/>
        <v>5.878229035390703E-3</v>
      </c>
      <c r="K59" s="7">
        <f t="shared" si="1"/>
        <v>-3.0152887031440478E-3</v>
      </c>
      <c r="L59" s="7"/>
    </row>
    <row r="60" spans="1:12" x14ac:dyDescent="0.25">
      <c r="A60" s="2" t="s">
        <v>286</v>
      </c>
      <c r="B60" s="7">
        <v>-3.1294871322853357E-3</v>
      </c>
      <c r="C60" s="7">
        <v>1.0791818295896594E-2</v>
      </c>
      <c r="D60" s="7">
        <v>-2.0958083832335328E-2</v>
      </c>
      <c r="E60" s="7">
        <v>6.2491472233592527E-2</v>
      </c>
      <c r="F60" s="7">
        <v>1.8946753341611E-3</v>
      </c>
      <c r="G60" s="7"/>
      <c r="H60" s="7">
        <f t="shared" si="1"/>
        <v>-5.0241624664464357E-3</v>
      </c>
      <c r="I60" s="7">
        <f t="shared" si="1"/>
        <v>8.8971429617354936E-3</v>
      </c>
      <c r="J60" s="7">
        <f t="shared" si="1"/>
        <v>-2.2852759166496428E-2</v>
      </c>
      <c r="K60" s="7">
        <f t="shared" si="1"/>
        <v>6.0596796899431427E-2</v>
      </c>
      <c r="L60" s="7"/>
    </row>
    <row r="61" spans="1:12" x14ac:dyDescent="0.25">
      <c r="A61" s="2" t="s">
        <v>287</v>
      </c>
      <c r="B61" s="7">
        <v>-4.4351587127042791E-3</v>
      </c>
      <c r="C61" s="7">
        <v>-6.668744157058204E-3</v>
      </c>
      <c r="D61" s="7">
        <v>6.0240963855422436E-3</v>
      </c>
      <c r="E61" s="7">
        <v>-5.293159609120579E-3</v>
      </c>
      <c r="F61" s="7">
        <v>-7.3576325649918894E-3</v>
      </c>
      <c r="G61" s="7"/>
      <c r="H61" s="7">
        <f t="shared" si="1"/>
        <v>2.9224738522876104E-3</v>
      </c>
      <c r="I61" s="7">
        <f t="shared" si="1"/>
        <v>6.8888840793368544E-4</v>
      </c>
      <c r="J61" s="7">
        <f t="shared" si="1"/>
        <v>1.3381728950534133E-2</v>
      </c>
      <c r="K61" s="7">
        <f t="shared" si="1"/>
        <v>2.0644729558713104E-3</v>
      </c>
      <c r="L61" s="7"/>
    </row>
    <row r="62" spans="1:12" x14ac:dyDescent="0.25">
      <c r="A62" s="2" t="s">
        <v>288</v>
      </c>
      <c r="B62" s="7">
        <v>-2.4862888482632961E-3</v>
      </c>
      <c r="C62" s="7">
        <v>-3.4161490683231044E-3</v>
      </c>
      <c r="D62" s="7">
        <v>-1.4836795252225587E-2</v>
      </c>
      <c r="E62" s="7">
        <v>-7.6099400633038439E-3</v>
      </c>
      <c r="F62" s="7">
        <v>-1.3756671985912794E-3</v>
      </c>
      <c r="G62" s="7"/>
      <c r="H62" s="7">
        <f t="shared" si="1"/>
        <v>-1.1106216496720167E-3</v>
      </c>
      <c r="I62" s="7">
        <f t="shared" si="1"/>
        <v>-2.040481869731825E-3</v>
      </c>
      <c r="J62" s="7">
        <f t="shared" si="1"/>
        <v>-1.3461128053634308E-2</v>
      </c>
      <c r="K62" s="7">
        <f t="shared" si="1"/>
        <v>-6.2342728647125645E-3</v>
      </c>
      <c r="L62" s="7"/>
    </row>
    <row r="63" spans="1:12" x14ac:dyDescent="0.25">
      <c r="A63" s="2" t="s">
        <v>15</v>
      </c>
      <c r="B63" s="7">
        <v>1.3180054184667167E-3</v>
      </c>
      <c r="C63" s="7">
        <v>-2.2310361923649769E-3</v>
      </c>
      <c r="D63" s="7">
        <v>1.2012012012011963E-2</v>
      </c>
      <c r="E63" s="7">
        <v>-2.4632159747766669E-2</v>
      </c>
      <c r="F63" s="7">
        <v>-3.4920937266411656E-3</v>
      </c>
      <c r="G63" s="7"/>
      <c r="H63" s="7">
        <f t="shared" si="1"/>
        <v>4.8100991451078823E-3</v>
      </c>
      <c r="I63" s="7">
        <f t="shared" si="1"/>
        <v>1.2610575342761887E-3</v>
      </c>
      <c r="J63" s="7">
        <f t="shared" si="1"/>
        <v>1.5504105738653129E-2</v>
      </c>
      <c r="K63" s="7">
        <f t="shared" si="1"/>
        <v>-2.1140066021125503E-2</v>
      </c>
      <c r="L63" s="7"/>
    </row>
    <row r="64" spans="1:12" x14ac:dyDescent="0.25">
      <c r="A64" s="2" t="s">
        <v>289</v>
      </c>
      <c r="B64" s="7">
        <v>-1.4988119173826586E-3</v>
      </c>
      <c r="C64" s="7">
        <v>1.0900889612830422E-2</v>
      </c>
      <c r="D64" s="7">
        <v>1.2158054711246313E-2</v>
      </c>
      <c r="E64" s="7">
        <v>1.4527522324403686E-2</v>
      </c>
      <c r="F64" s="7">
        <v>-3.043832632483312E-4</v>
      </c>
      <c r="G64" s="7"/>
      <c r="H64" s="7">
        <f t="shared" si="1"/>
        <v>-1.1944286541343274E-3</v>
      </c>
      <c r="I64" s="7">
        <f t="shared" si="1"/>
        <v>1.1205272876078753E-2</v>
      </c>
      <c r="J64" s="7">
        <f t="shared" si="1"/>
        <v>1.2462437974494645E-2</v>
      </c>
      <c r="K64" s="7">
        <f t="shared" si="1"/>
        <v>1.4831905587652017E-2</v>
      </c>
      <c r="L64" s="7"/>
    </row>
    <row r="65" spans="1:12" x14ac:dyDescent="0.25">
      <c r="A65" s="2" t="s">
        <v>290</v>
      </c>
      <c r="B65" s="7">
        <v>5.2919775090956023E-3</v>
      </c>
      <c r="C65" s="7">
        <v>1.1917455936774068E-3</v>
      </c>
      <c r="D65" s="7">
        <v>3.0487804878049918E-3</v>
      </c>
      <c r="E65" s="7">
        <v>-7.7365602063081962E-3</v>
      </c>
      <c r="F65" s="7">
        <v>3.2215161386959235E-3</v>
      </c>
      <c r="G65" s="7"/>
      <c r="H65" s="7">
        <f t="shared" si="1"/>
        <v>2.0704613703996788E-3</v>
      </c>
      <c r="I65" s="7">
        <f t="shared" si="1"/>
        <v>-2.0297705450185166E-3</v>
      </c>
      <c r="J65" s="7">
        <f t="shared" si="1"/>
        <v>-1.7273565089093168E-4</v>
      </c>
      <c r="K65" s="7">
        <f t="shared" si="1"/>
        <v>-1.095807634500412E-2</v>
      </c>
      <c r="L65" s="7"/>
    </row>
    <row r="66" spans="1:12" x14ac:dyDescent="0.25">
      <c r="A66" s="2" t="s">
        <v>291</v>
      </c>
      <c r="B66" s="7">
        <v>5.1344562647752667E-3</v>
      </c>
      <c r="C66" s="7">
        <v>8.7890011927949097E-4</v>
      </c>
      <c r="D66" s="7">
        <v>-1.2048192771084376E-2</v>
      </c>
      <c r="E66" s="7">
        <v>1.78855325914129E-3</v>
      </c>
      <c r="F66" s="7">
        <v>4.5504173154282679E-3</v>
      </c>
      <c r="G66" s="7"/>
      <c r="H66" s="7">
        <f t="shared" si="1"/>
        <v>5.8403894934699885E-4</v>
      </c>
      <c r="I66" s="7">
        <f t="shared" si="1"/>
        <v>-3.6715171961487769E-3</v>
      </c>
      <c r="J66" s="7">
        <f t="shared" si="1"/>
        <v>-1.6598610086512644E-2</v>
      </c>
      <c r="K66" s="7">
        <f t="shared" si="1"/>
        <v>-2.7618640562869778E-3</v>
      </c>
      <c r="L66" s="7"/>
    </row>
    <row r="67" spans="1:12" x14ac:dyDescent="0.25">
      <c r="A67" s="2" t="s">
        <v>16</v>
      </c>
      <c r="B67" s="7">
        <v>-9.8387037782085018E-3</v>
      </c>
      <c r="C67" s="7">
        <v>-1.2093773257256357E-2</v>
      </c>
      <c r="D67" s="7">
        <v>1.5290519877675823E-2</v>
      </c>
      <c r="E67" s="7">
        <v>7.8109353094333311E-3</v>
      </c>
      <c r="F67" s="7">
        <v>6.4364620674519646E-3</v>
      </c>
      <c r="G67" s="7"/>
      <c r="H67" s="7">
        <f t="shared" ref="H67:K130" si="4">B67-$F67</f>
        <v>-1.6275165845660466E-2</v>
      </c>
      <c r="I67" s="7">
        <f t="shared" si="4"/>
        <v>-1.8530235324708322E-2</v>
      </c>
      <c r="J67" s="7">
        <f t="shared" si="4"/>
        <v>8.8540578102238587E-3</v>
      </c>
      <c r="K67" s="7">
        <f t="shared" si="4"/>
        <v>1.3744732419813666E-3</v>
      </c>
      <c r="L67" s="7"/>
    </row>
    <row r="68" spans="1:12" x14ac:dyDescent="0.25">
      <c r="A68" s="2" t="s">
        <v>292</v>
      </c>
      <c r="B68" s="7">
        <v>5.4056041773922203E-3</v>
      </c>
      <c r="C68" s="7">
        <v>1.2419274714356998E-3</v>
      </c>
      <c r="D68" s="7">
        <v>-3.0487804878047697E-3</v>
      </c>
      <c r="E68" s="7">
        <v>1.6766223187618889E-2</v>
      </c>
      <c r="F68" s="7">
        <v>8.8180245499471788E-3</v>
      </c>
      <c r="G68" s="7"/>
      <c r="H68" s="7">
        <f t="shared" si="4"/>
        <v>-3.4124203725549584E-3</v>
      </c>
      <c r="I68" s="7">
        <f t="shared" si="4"/>
        <v>-7.576097078511479E-3</v>
      </c>
      <c r="J68" s="7">
        <f t="shared" si="4"/>
        <v>-1.1866805037751949E-2</v>
      </c>
      <c r="K68" s="7">
        <f t="shared" si="4"/>
        <v>7.9481986376717106E-3</v>
      </c>
      <c r="L68" s="7"/>
    </row>
    <row r="69" spans="1:12" x14ac:dyDescent="0.25">
      <c r="A69" s="2" t="s">
        <v>293</v>
      </c>
      <c r="B69" s="7">
        <v>1.2887072425347146E-3</v>
      </c>
      <c r="C69" s="7">
        <v>-2.5394859089501454E-3</v>
      </c>
      <c r="D69" s="7">
        <v>-2.3809523809523836E-2</v>
      </c>
      <c r="E69" s="7">
        <v>1.5636685022775154E-3</v>
      </c>
      <c r="F69" s="7">
        <v>7.9343234996123169E-3</v>
      </c>
      <c r="G69" s="7"/>
      <c r="H69" s="7">
        <f t="shared" si="4"/>
        <v>-6.6456162570776023E-3</v>
      </c>
      <c r="I69" s="7">
        <f t="shared" si="4"/>
        <v>-1.0473809408562462E-2</v>
      </c>
      <c r="J69" s="7">
        <f t="shared" si="4"/>
        <v>-3.1743847309136153E-2</v>
      </c>
      <c r="K69" s="7">
        <f t="shared" si="4"/>
        <v>-6.3706549973348015E-3</v>
      </c>
      <c r="L69" s="7"/>
    </row>
    <row r="70" spans="1:12" x14ac:dyDescent="0.25">
      <c r="A70" s="2" t="s">
        <v>294</v>
      </c>
      <c r="B70" s="7">
        <v>-1.0060142154182827E-2</v>
      </c>
      <c r="C70" s="7">
        <v>-6.2780821074660542E-3</v>
      </c>
      <c r="D70" s="7">
        <v>2.9850746268655914E-3</v>
      </c>
      <c r="E70" s="7">
        <v>-1.4736419050170757E-2</v>
      </c>
      <c r="F70" s="7">
        <v>-1.1592203827500702E-2</v>
      </c>
      <c r="G70" s="7"/>
      <c r="H70" s="7">
        <f t="shared" si="4"/>
        <v>1.5320616733178749E-3</v>
      </c>
      <c r="I70" s="7">
        <f t="shared" si="4"/>
        <v>5.314121720034648E-3</v>
      </c>
      <c r="J70" s="7">
        <f t="shared" si="4"/>
        <v>1.4577278454366294E-2</v>
      </c>
      <c r="K70" s="7">
        <f t="shared" si="4"/>
        <v>-3.1442152226700548E-3</v>
      </c>
      <c r="L70" s="7"/>
    </row>
    <row r="71" spans="1:12" x14ac:dyDescent="0.25">
      <c r="A71" s="2" t="s">
        <v>295</v>
      </c>
      <c r="B71" s="7">
        <v>1.82581705313134E-3</v>
      </c>
      <c r="C71" s="7">
        <v>-1.5094568380213391E-2</v>
      </c>
      <c r="D71" s="7">
        <v>-1.179941002949858E-2</v>
      </c>
      <c r="E71" s="7">
        <v>-5.3301352521820666E-3</v>
      </c>
      <c r="F71" s="7">
        <v>-2.3839178699950336E-3</v>
      </c>
      <c r="G71" s="7"/>
      <c r="H71" s="7">
        <f t="shared" si="4"/>
        <v>4.2097349231263737E-3</v>
      </c>
      <c r="I71" s="7">
        <f t="shared" si="4"/>
        <v>-1.2710650510218358E-2</v>
      </c>
      <c r="J71" s="7">
        <f t="shared" si="4"/>
        <v>-9.4154921595035468E-3</v>
      </c>
      <c r="K71" s="7">
        <f t="shared" si="4"/>
        <v>-2.946217382187033E-3</v>
      </c>
      <c r="L71" s="7"/>
    </row>
    <row r="72" spans="1:12" x14ac:dyDescent="0.25">
      <c r="A72" s="2" t="s">
        <v>17</v>
      </c>
      <c r="B72" s="7">
        <v>-1.4998920940939353E-2</v>
      </c>
      <c r="C72" s="7">
        <v>-1.8971156705322567E-2</v>
      </c>
      <c r="D72" s="7">
        <v>1.8018018018018056E-2</v>
      </c>
      <c r="E72" s="7">
        <v>-3.5906988694758502E-2</v>
      </c>
      <c r="F72" s="7">
        <v>-1.5965058492165562E-3</v>
      </c>
      <c r="G72" s="7"/>
      <c r="H72" s="7">
        <f t="shared" si="4"/>
        <v>-1.3402415091722797E-2</v>
      </c>
      <c r="I72" s="7">
        <f t="shared" si="4"/>
        <v>-1.7374650856106011E-2</v>
      </c>
      <c r="J72" s="7">
        <f t="shared" si="4"/>
        <v>1.9614523867234612E-2</v>
      </c>
      <c r="K72" s="7">
        <f t="shared" si="4"/>
        <v>-3.4310482845541945E-2</v>
      </c>
      <c r="L72" s="7"/>
    </row>
    <row r="73" spans="1:12" x14ac:dyDescent="0.25">
      <c r="A73" s="2" t="s">
        <v>296</v>
      </c>
      <c r="B73" s="7">
        <v>9.0002520070564529E-4</v>
      </c>
      <c r="C73" s="7">
        <v>1.7873100983021306E-3</v>
      </c>
      <c r="D73" s="7">
        <v>-5.9701492537312939E-3</v>
      </c>
      <c r="E73" s="7">
        <v>-7.7756532823454183E-3</v>
      </c>
      <c r="F73" s="7">
        <v>-1.0663671931604113E-2</v>
      </c>
      <c r="G73" s="7"/>
      <c r="H73" s="7">
        <f t="shared" si="4"/>
        <v>1.1563697132309758E-2</v>
      </c>
      <c r="I73" s="7">
        <f t="shared" si="4"/>
        <v>1.2450982029906243E-2</v>
      </c>
      <c r="J73" s="7">
        <f t="shared" si="4"/>
        <v>4.693522677872819E-3</v>
      </c>
      <c r="K73" s="7">
        <f t="shared" si="4"/>
        <v>2.8880186492586946E-3</v>
      </c>
      <c r="L73" s="7"/>
    </row>
    <row r="74" spans="1:12" x14ac:dyDescent="0.25">
      <c r="A74" s="2" t="s">
        <v>297</v>
      </c>
      <c r="B74" s="7">
        <v>-2.6928048255062675E-3</v>
      </c>
      <c r="C74" s="7">
        <v>1.7766189667717702E-2</v>
      </c>
      <c r="D74" s="7">
        <v>-5.9347181008901906E-3</v>
      </c>
      <c r="E74" s="7">
        <v>-1.2089157536834039E-2</v>
      </c>
      <c r="F74" s="7">
        <v>2.0793764194066977E-3</v>
      </c>
      <c r="G74" s="7"/>
      <c r="H74" s="7">
        <f t="shared" si="4"/>
        <v>-4.7721812449129652E-3</v>
      </c>
      <c r="I74" s="7">
        <f t="shared" si="4"/>
        <v>1.5686813248311005E-2</v>
      </c>
      <c r="J74" s="7">
        <f t="shared" si="4"/>
        <v>-8.0140945202968883E-3</v>
      </c>
      <c r="K74" s="7">
        <f t="shared" si="4"/>
        <v>-1.4168533956240736E-2</v>
      </c>
      <c r="L74" s="7"/>
    </row>
    <row r="75" spans="1:12" x14ac:dyDescent="0.25">
      <c r="A75" s="2" t="s">
        <v>298</v>
      </c>
      <c r="B75" s="7">
        <v>5.7778419760219357E-3</v>
      </c>
      <c r="C75" s="7">
        <v>3.4682080924854919E-3</v>
      </c>
      <c r="D75" s="7">
        <v>-1.4619883040935644E-2</v>
      </c>
      <c r="E75" s="7">
        <v>1.833803539369061E-2</v>
      </c>
      <c r="F75" s="7">
        <v>6.7494967480494772E-3</v>
      </c>
      <c r="G75" s="7"/>
      <c r="H75" s="7">
        <f t="shared" si="4"/>
        <v>-9.7165477202754147E-4</v>
      </c>
      <c r="I75" s="7">
        <f t="shared" si="4"/>
        <v>-3.2812886555639853E-3</v>
      </c>
      <c r="J75" s="7">
        <f t="shared" si="4"/>
        <v>-2.1369379788985121E-2</v>
      </c>
      <c r="K75" s="7">
        <f t="shared" si="4"/>
        <v>1.1588538645641133E-2</v>
      </c>
      <c r="L75" s="7"/>
    </row>
    <row r="76" spans="1:12" x14ac:dyDescent="0.25">
      <c r="A76" s="2" t="s">
        <v>299</v>
      </c>
      <c r="B76" s="7">
        <v>-2.5573605157943602E-3</v>
      </c>
      <c r="C76" s="7">
        <v>6.8614837958709263E-3</v>
      </c>
      <c r="D76" s="7">
        <v>-1.1560693641618491E-2</v>
      </c>
      <c r="E76" s="7">
        <v>-1.3722886232846343E-2</v>
      </c>
      <c r="F76" s="7">
        <v>-8.7635890402559813E-4</v>
      </c>
      <c r="G76" s="7"/>
      <c r="H76" s="7">
        <f t="shared" si="4"/>
        <v>-1.6810016117687621E-3</v>
      </c>
      <c r="I76" s="7">
        <f t="shared" si="4"/>
        <v>7.7378426998965244E-3</v>
      </c>
      <c r="J76" s="7">
        <f t="shared" si="4"/>
        <v>-1.0684334737592893E-2</v>
      </c>
      <c r="K76" s="7">
        <f t="shared" si="4"/>
        <v>-1.2846527328820745E-2</v>
      </c>
      <c r="L76" s="7"/>
    </row>
    <row r="77" spans="1:12" x14ac:dyDescent="0.25">
      <c r="A77" s="2" t="s">
        <v>18</v>
      </c>
      <c r="B77" s="7">
        <v>-3.1954617262673901E-3</v>
      </c>
      <c r="C77" s="7">
        <v>-2.0992023031248142E-2</v>
      </c>
      <c r="D77" s="7">
        <v>-4.6831955922865043E-2</v>
      </c>
      <c r="E77" s="7">
        <v>-1.2001010611419893E-3</v>
      </c>
      <c r="F77" s="7">
        <v>-3.4772356776897606E-3</v>
      </c>
      <c r="G77" s="7"/>
      <c r="H77" s="7">
        <f t="shared" si="4"/>
        <v>2.8177395142237049E-4</v>
      </c>
      <c r="I77" s="7">
        <f t="shared" si="4"/>
        <v>-1.7514787353558381E-2</v>
      </c>
      <c r="J77" s="7">
        <f t="shared" si="4"/>
        <v>-4.3354720245175282E-2</v>
      </c>
      <c r="K77" s="7">
        <f t="shared" si="4"/>
        <v>2.2771346165477713E-3</v>
      </c>
      <c r="L77" s="7"/>
    </row>
    <row r="78" spans="1:12" x14ac:dyDescent="0.25">
      <c r="A78" s="2" t="s">
        <v>300</v>
      </c>
      <c r="B78" s="7">
        <v>-6.8463842533162955E-3</v>
      </c>
      <c r="C78" s="7">
        <v>-1.056317132514395E-2</v>
      </c>
      <c r="D78" s="7">
        <v>0</v>
      </c>
      <c r="E78" s="7">
        <v>5.5894308943089666E-3</v>
      </c>
      <c r="F78" s="7">
        <v>1.9366731222436595E-3</v>
      </c>
      <c r="G78" s="7"/>
      <c r="H78" s="7">
        <f t="shared" si="4"/>
        <v>-8.783057375559955E-3</v>
      </c>
      <c r="I78" s="7">
        <f t="shared" si="4"/>
        <v>-1.2499844447387609E-2</v>
      </c>
      <c r="J78" s="7">
        <f t="shared" si="4"/>
        <v>-1.9366731222436595E-3</v>
      </c>
      <c r="K78" s="7">
        <f t="shared" si="4"/>
        <v>3.6527577720653071E-3</v>
      </c>
      <c r="L78" s="7"/>
    </row>
    <row r="79" spans="1:12" x14ac:dyDescent="0.25">
      <c r="A79" s="2" t="s">
        <v>301</v>
      </c>
      <c r="B79" s="7">
        <v>-1.2117796251937429E-2</v>
      </c>
      <c r="C79" s="7">
        <v>-2.2110027855153258E-2</v>
      </c>
      <c r="D79" s="7">
        <v>0</v>
      </c>
      <c r="E79" s="7">
        <v>-4.0485829959514552E-3</v>
      </c>
      <c r="F79" s="7">
        <v>1.0803361305278258E-3</v>
      </c>
      <c r="G79" s="7"/>
      <c r="H79" s="7">
        <f t="shared" si="4"/>
        <v>-1.3198132382465255E-2</v>
      </c>
      <c r="I79" s="7">
        <f t="shared" si="4"/>
        <v>-2.3190363985681084E-2</v>
      </c>
      <c r="J79" s="7">
        <f t="shared" si="4"/>
        <v>-1.0803361305278258E-3</v>
      </c>
      <c r="K79" s="7">
        <f t="shared" si="4"/>
        <v>-5.1289191264792811E-3</v>
      </c>
      <c r="L79" s="7"/>
    </row>
    <row r="80" spans="1:12" x14ac:dyDescent="0.25">
      <c r="A80" s="2" t="s">
        <v>302</v>
      </c>
      <c r="B80" s="7">
        <v>-7.1348628987130125E-3</v>
      </c>
      <c r="C80" s="7">
        <v>8.9583699279818241E-3</v>
      </c>
      <c r="D80" s="7">
        <v>1.9662921348314599E-2</v>
      </c>
      <c r="E80" s="7">
        <v>-1.8928815242350794E-2</v>
      </c>
      <c r="F80" s="7">
        <v>2.9797770511774679E-3</v>
      </c>
      <c r="G80" s="7"/>
      <c r="H80" s="7">
        <f t="shared" si="4"/>
        <v>-1.011463994989048E-2</v>
      </c>
      <c r="I80" s="7">
        <f t="shared" si="4"/>
        <v>5.9785928768043561E-3</v>
      </c>
      <c r="J80" s="7">
        <f t="shared" si="4"/>
        <v>1.6683144297137131E-2</v>
      </c>
      <c r="K80" s="7">
        <f t="shared" si="4"/>
        <v>-2.1908592293528262E-2</v>
      </c>
      <c r="L80" s="7"/>
    </row>
    <row r="81" spans="1:12" x14ac:dyDescent="0.25">
      <c r="A81" s="2" t="s">
        <v>303</v>
      </c>
      <c r="B81" s="7">
        <v>1.0889548861547249E-2</v>
      </c>
      <c r="C81" s="7">
        <v>6.3045015319349584E-3</v>
      </c>
      <c r="D81" s="7">
        <v>5.6497175141243527E-3</v>
      </c>
      <c r="E81" s="7">
        <v>-1.9055156459271805E-2</v>
      </c>
      <c r="F81" s="7">
        <v>2.4572008167182968E-3</v>
      </c>
      <c r="G81" s="7"/>
      <c r="H81" s="7">
        <f t="shared" si="4"/>
        <v>8.4323480448289523E-3</v>
      </c>
      <c r="I81" s="7">
        <f t="shared" si="4"/>
        <v>3.8473007152166616E-3</v>
      </c>
      <c r="J81" s="7">
        <f t="shared" si="4"/>
        <v>3.1925166974060559E-3</v>
      </c>
      <c r="K81" s="7">
        <f t="shared" si="4"/>
        <v>-2.1512357275990102E-2</v>
      </c>
      <c r="L81" s="7"/>
    </row>
    <row r="82" spans="1:12" x14ac:dyDescent="0.25">
      <c r="A82" s="2" t="s">
        <v>19</v>
      </c>
      <c r="B82" s="7">
        <v>1.5255393230194869E-2</v>
      </c>
      <c r="C82" s="7">
        <v>-9.107893507706688E-3</v>
      </c>
      <c r="D82" s="7">
        <v>2.8328611898018607E-3</v>
      </c>
      <c r="E82" s="7">
        <v>4.4246662428480521E-2</v>
      </c>
      <c r="F82" s="7">
        <v>-5.3233349247856498E-3</v>
      </c>
      <c r="G82" s="7"/>
      <c r="H82" s="7">
        <f t="shared" si="4"/>
        <v>2.0578728154980519E-2</v>
      </c>
      <c r="I82" s="7">
        <f t="shared" si="4"/>
        <v>-3.7845585829210382E-3</v>
      </c>
      <c r="J82" s="7">
        <f t="shared" si="4"/>
        <v>8.1561961145875106E-3</v>
      </c>
      <c r="K82" s="7">
        <f t="shared" si="4"/>
        <v>4.9569997353266171E-2</v>
      </c>
      <c r="L82" s="7"/>
    </row>
    <row r="83" spans="1:12" x14ac:dyDescent="0.25">
      <c r="A83" s="2" t="s">
        <v>304</v>
      </c>
      <c r="B83" s="7">
        <v>4.6882325363335475E-3</v>
      </c>
      <c r="C83" s="7">
        <v>7.2924017878146508E-3</v>
      </c>
      <c r="D83" s="7">
        <v>-3.2876712328767099E-2</v>
      </c>
      <c r="E83" s="7">
        <v>-1.9035532994923221E-3</v>
      </c>
      <c r="F83" s="7">
        <v>5.3547759228842473E-3</v>
      </c>
      <c r="G83" s="7"/>
      <c r="H83" s="7">
        <f t="shared" si="4"/>
        <v>-6.6654338655069978E-4</v>
      </c>
      <c r="I83" s="7">
        <f t="shared" si="4"/>
        <v>1.9376258649304035E-3</v>
      </c>
      <c r="J83" s="7">
        <f t="shared" si="4"/>
        <v>-3.8231488251651347E-2</v>
      </c>
      <c r="K83" s="7">
        <f t="shared" si="4"/>
        <v>-7.2583292223765694E-3</v>
      </c>
      <c r="L83" s="7"/>
    </row>
    <row r="84" spans="1:12" x14ac:dyDescent="0.25">
      <c r="A84" s="2" t="s">
        <v>305</v>
      </c>
      <c r="B84" s="7">
        <v>2.0960572440462677E-3</v>
      </c>
      <c r="C84" s="7">
        <v>-4.2747555191193776E-3</v>
      </c>
      <c r="D84" s="7">
        <v>0</v>
      </c>
      <c r="E84" s="7">
        <v>3.7577224380613838E-3</v>
      </c>
      <c r="F84" s="7">
        <v>6.9067142781129576E-3</v>
      </c>
      <c r="G84" s="7"/>
      <c r="H84" s="7">
        <f t="shared" si="4"/>
        <v>-4.8106570340666899E-3</v>
      </c>
      <c r="I84" s="7">
        <f t="shared" si="4"/>
        <v>-1.1181469797232335E-2</v>
      </c>
      <c r="J84" s="7">
        <f t="shared" si="4"/>
        <v>-6.9067142781129576E-3</v>
      </c>
      <c r="K84" s="7">
        <f t="shared" si="4"/>
        <v>-3.1489918400515737E-3</v>
      </c>
      <c r="L84" s="7"/>
    </row>
    <row r="85" spans="1:12" x14ac:dyDescent="0.25">
      <c r="A85" s="2" t="s">
        <v>306</v>
      </c>
      <c r="B85" s="7">
        <v>3.8090401218890957E-3</v>
      </c>
      <c r="C85" s="7">
        <v>1.1670616113744092E-2</v>
      </c>
      <c r="D85" s="7">
        <v>-1.084010840108407E-2</v>
      </c>
      <c r="E85" s="7">
        <v>-2.3144403658308943E-2</v>
      </c>
      <c r="F85" s="7">
        <v>9.0617319302264132E-3</v>
      </c>
      <c r="G85" s="7"/>
      <c r="H85" s="7">
        <f t="shared" si="4"/>
        <v>-5.2526918083373175E-3</v>
      </c>
      <c r="I85" s="7">
        <f t="shared" si="4"/>
        <v>2.608884183517679E-3</v>
      </c>
      <c r="J85" s="7">
        <f t="shared" si="4"/>
        <v>-1.9901840331310483E-2</v>
      </c>
      <c r="K85" s="7">
        <f t="shared" si="4"/>
        <v>-3.2206135588535356E-2</v>
      </c>
      <c r="L85" s="7"/>
    </row>
    <row r="86" spans="1:12" x14ac:dyDescent="0.25">
      <c r="A86" s="2" t="s">
        <v>20</v>
      </c>
      <c r="B86" s="7">
        <v>1.6295531632502636E-2</v>
      </c>
      <c r="C86" s="7">
        <v>8.7247520019122504E-3</v>
      </c>
      <c r="D86" s="7">
        <v>-1.072386058981234E-2</v>
      </c>
      <c r="E86" s="7">
        <v>5.1003727195448878E-2</v>
      </c>
      <c r="F86" s="7">
        <v>1.5467235297948356E-2</v>
      </c>
      <c r="G86" s="7"/>
      <c r="H86" s="7">
        <f t="shared" si="4"/>
        <v>8.2829633455427931E-4</v>
      </c>
      <c r="I86" s="7">
        <f t="shared" si="4"/>
        <v>-6.7424832960361059E-3</v>
      </c>
      <c r="J86" s="7">
        <f t="shared" si="4"/>
        <v>-2.6191095887760696E-2</v>
      </c>
      <c r="K86" s="7">
        <f t="shared" si="4"/>
        <v>3.5536491897500522E-2</v>
      </c>
      <c r="L86" s="7"/>
    </row>
    <row r="87" spans="1:12" x14ac:dyDescent="0.25">
      <c r="A87" s="2" t="s">
        <v>307</v>
      </c>
      <c r="B87" s="7">
        <v>1.9699248120300883E-2</v>
      </c>
      <c r="C87" s="7">
        <v>2.1175321901507393E-2</v>
      </c>
      <c r="D87" s="7">
        <v>3.0386740331491691E-2</v>
      </c>
      <c r="E87" s="7">
        <v>-2.2834029227557506E-3</v>
      </c>
      <c r="F87" s="7">
        <v>9.8229633753188494E-3</v>
      </c>
      <c r="G87" s="7"/>
      <c r="H87" s="7">
        <f t="shared" si="4"/>
        <v>9.8762847449820335E-3</v>
      </c>
      <c r="I87" s="7">
        <f t="shared" si="4"/>
        <v>1.1352358526188544E-2</v>
      </c>
      <c r="J87" s="7">
        <f t="shared" si="4"/>
        <v>2.0563776956172841E-2</v>
      </c>
      <c r="K87" s="7">
        <f t="shared" si="4"/>
        <v>-1.21063662980746E-2</v>
      </c>
      <c r="L87" s="7"/>
    </row>
    <row r="88" spans="1:12" x14ac:dyDescent="0.25">
      <c r="A88" s="2" t="s">
        <v>308</v>
      </c>
      <c r="B88" s="7">
        <v>-8.6094442995042764E-3</v>
      </c>
      <c r="C88" s="7">
        <v>-1.1878919440424518E-2</v>
      </c>
      <c r="D88" s="7">
        <v>-1.0928961748633892E-2</v>
      </c>
      <c r="E88" s="7">
        <v>-3.5307445402479654E-2</v>
      </c>
      <c r="F88" s="7">
        <v>-1.5567225119539341E-2</v>
      </c>
      <c r="G88" s="7"/>
      <c r="H88" s="7">
        <f t="shared" si="4"/>
        <v>6.9577808200350644E-3</v>
      </c>
      <c r="I88" s="7">
        <f t="shared" si="4"/>
        <v>3.6883056791148228E-3</v>
      </c>
      <c r="J88" s="7">
        <f t="shared" si="4"/>
        <v>4.6382633709054488E-3</v>
      </c>
      <c r="K88" s="7">
        <f t="shared" si="4"/>
        <v>-1.9740220282940313E-2</v>
      </c>
      <c r="L88" s="7"/>
    </row>
    <row r="89" spans="1:12" x14ac:dyDescent="0.25">
      <c r="A89" s="2" t="s">
        <v>309</v>
      </c>
      <c r="B89" s="7">
        <v>4.1917736442231845E-3</v>
      </c>
      <c r="C89" s="7">
        <v>4.7864283550438369E-3</v>
      </c>
      <c r="D89" s="7">
        <v>-3.1746031746031633E-2</v>
      </c>
      <c r="E89" s="7">
        <v>-5.1965940395692911E-3</v>
      </c>
      <c r="F89" s="7">
        <v>3.7537855204221593E-3</v>
      </c>
      <c r="G89" s="7"/>
      <c r="H89" s="7">
        <f t="shared" si="4"/>
        <v>4.3798812380102525E-4</v>
      </c>
      <c r="I89" s="7">
        <f t="shared" si="4"/>
        <v>1.0326428346216776E-3</v>
      </c>
      <c r="J89" s="7">
        <f t="shared" si="4"/>
        <v>-3.5499817266453793E-2</v>
      </c>
      <c r="K89" s="7">
        <f t="shared" si="4"/>
        <v>-8.9503795599914504E-3</v>
      </c>
      <c r="L89" s="7"/>
    </row>
    <row r="90" spans="1:12" x14ac:dyDescent="0.25">
      <c r="A90" s="2" t="s">
        <v>310</v>
      </c>
      <c r="B90" s="7">
        <v>-7.4847498222285758E-5</v>
      </c>
      <c r="C90" s="7">
        <v>2.4293956878227441E-3</v>
      </c>
      <c r="D90" s="7">
        <v>2.1621621621621623E-2</v>
      </c>
      <c r="E90" s="7">
        <v>1.2744911546509252E-2</v>
      </c>
      <c r="F90" s="7">
        <v>-8.2563871224939911E-3</v>
      </c>
      <c r="G90" s="7"/>
      <c r="H90" s="7">
        <f t="shared" si="4"/>
        <v>8.1815396242717053E-3</v>
      </c>
      <c r="I90" s="7">
        <f t="shared" si="4"/>
        <v>1.0685782810316735E-2</v>
      </c>
      <c r="J90" s="7">
        <f t="shared" si="4"/>
        <v>2.9878008744115614E-2</v>
      </c>
      <c r="K90" s="7">
        <f t="shared" si="4"/>
        <v>2.1001298669003243E-2</v>
      </c>
      <c r="L90" s="7"/>
    </row>
    <row r="91" spans="1:12" x14ac:dyDescent="0.25">
      <c r="A91" s="2" t="s">
        <v>21</v>
      </c>
      <c r="B91" s="7">
        <v>-1.8187830687830808E-2</v>
      </c>
      <c r="C91" s="7">
        <v>-1.3067194149733341E-2</v>
      </c>
      <c r="D91" s="7">
        <v>2.4930747922437657E-2</v>
      </c>
      <c r="E91" s="7">
        <v>2.5422626788036418E-2</v>
      </c>
      <c r="F91" s="7">
        <v>-9.1623094959838447E-3</v>
      </c>
      <c r="G91" s="7"/>
      <c r="H91" s="7">
        <f t="shared" si="4"/>
        <v>-9.0255211918469636E-3</v>
      </c>
      <c r="I91" s="7">
        <f t="shared" si="4"/>
        <v>-3.9048846537494963E-3</v>
      </c>
      <c r="J91" s="7">
        <f t="shared" si="4"/>
        <v>3.4093057418421502E-2</v>
      </c>
      <c r="K91" s="7">
        <f t="shared" si="4"/>
        <v>3.4584936284020262E-2</v>
      </c>
      <c r="L91" s="7"/>
    </row>
    <row r="92" spans="1:12" x14ac:dyDescent="0.25">
      <c r="A92" s="2" t="s">
        <v>311</v>
      </c>
      <c r="B92" s="7">
        <v>-1.9435989585242508E-3</v>
      </c>
      <c r="C92" s="7">
        <v>-1.3599006681251025E-2</v>
      </c>
      <c r="D92" s="7">
        <v>5.5710306406684396E-3</v>
      </c>
      <c r="E92" s="7">
        <v>-3.7787787787787686E-2</v>
      </c>
      <c r="F92" s="7">
        <v>-5.016705034071034E-4</v>
      </c>
      <c r="G92" s="7"/>
      <c r="H92" s="7">
        <f t="shared" si="4"/>
        <v>-1.4419284551171474E-3</v>
      </c>
      <c r="I92" s="7">
        <f t="shared" si="4"/>
        <v>-1.3097336177843921E-2</v>
      </c>
      <c r="J92" s="7">
        <f t="shared" si="4"/>
        <v>6.072701144075543E-3</v>
      </c>
      <c r="K92" s="7">
        <f t="shared" si="4"/>
        <v>-3.7286117284380582E-2</v>
      </c>
      <c r="L92" s="7"/>
    </row>
    <row r="93" spans="1:12" x14ac:dyDescent="0.25">
      <c r="A93" s="2" t="s">
        <v>312</v>
      </c>
      <c r="B93" s="7">
        <v>-1.9032978295083769E-3</v>
      </c>
      <c r="C93" s="7">
        <v>-2.7124240816086553E-3</v>
      </c>
      <c r="D93" s="7">
        <v>8.4269662921347965E-3</v>
      </c>
      <c r="E93" s="7">
        <v>1.2222151858653607E-2</v>
      </c>
      <c r="F93" s="7">
        <v>-1.6556900387101336E-2</v>
      </c>
      <c r="G93" s="7"/>
      <c r="H93" s="7">
        <f t="shared" si="4"/>
        <v>1.465360255759296E-2</v>
      </c>
      <c r="I93" s="7">
        <f t="shared" si="4"/>
        <v>1.3844476305492681E-2</v>
      </c>
      <c r="J93" s="7">
        <f t="shared" si="4"/>
        <v>2.4983866679236133E-2</v>
      </c>
      <c r="K93" s="7">
        <f t="shared" si="4"/>
        <v>2.8779052245754944E-2</v>
      </c>
      <c r="L93" s="7"/>
    </row>
    <row r="94" spans="1:12" x14ac:dyDescent="0.25">
      <c r="A94" s="2" t="s">
        <v>313</v>
      </c>
      <c r="B94" s="7">
        <v>-6.4729626531875306E-3</v>
      </c>
      <c r="C94" s="7">
        <v>1.4294258373205748E-2</v>
      </c>
      <c r="D94" s="7">
        <v>1.1363636363636465E-2</v>
      </c>
      <c r="E94" s="7">
        <v>-1.797263681592054E-2</v>
      </c>
      <c r="F94" s="7">
        <v>6.2950861813360071E-4</v>
      </c>
      <c r="G94" s="7"/>
      <c r="H94" s="7">
        <f t="shared" si="4"/>
        <v>-7.1024712713211313E-3</v>
      </c>
      <c r="I94" s="7">
        <f t="shared" si="4"/>
        <v>1.3664749755072148E-2</v>
      </c>
      <c r="J94" s="7">
        <f t="shared" si="4"/>
        <v>1.0734127745502864E-2</v>
      </c>
      <c r="K94" s="7">
        <f t="shared" si="4"/>
        <v>-1.860214543405414E-2</v>
      </c>
      <c r="L94" s="7"/>
    </row>
    <row r="95" spans="1:12" x14ac:dyDescent="0.25">
      <c r="A95" s="2" t="s">
        <v>314</v>
      </c>
      <c r="B95" s="7">
        <v>2.1584070138940481E-2</v>
      </c>
      <c r="C95" s="7">
        <v>5.9563203176702384E-3</v>
      </c>
      <c r="D95" s="7">
        <v>-5.6497175141243527E-3</v>
      </c>
      <c r="E95" s="7">
        <v>-3.0682982699378969E-2</v>
      </c>
      <c r="F95" s="7">
        <v>2.0753963084874094E-3</v>
      </c>
      <c r="G95" s="7"/>
      <c r="H95" s="7">
        <f t="shared" si="4"/>
        <v>1.9508673830453072E-2</v>
      </c>
      <c r="I95" s="7">
        <f t="shared" si="4"/>
        <v>3.880924009182829E-3</v>
      </c>
      <c r="J95" s="7">
        <f t="shared" si="4"/>
        <v>-7.7251138226117622E-3</v>
      </c>
      <c r="K95" s="7">
        <f t="shared" si="4"/>
        <v>-3.2758379007866378E-2</v>
      </c>
      <c r="L95" s="7"/>
    </row>
    <row r="96" spans="1:12" x14ac:dyDescent="0.25">
      <c r="A96" s="2" t="s">
        <v>22</v>
      </c>
      <c r="B96" s="7">
        <v>4.5529183460220057E-3</v>
      </c>
      <c r="C96" s="7">
        <v>1.719706242350072E-2</v>
      </c>
      <c r="D96" s="7">
        <v>2.608695652173898E-2</v>
      </c>
      <c r="E96" s="7">
        <v>-2.7053023926897346E-3</v>
      </c>
      <c r="F96" s="7">
        <v>1.5400963024610581E-2</v>
      </c>
      <c r="G96" s="7"/>
      <c r="H96" s="7">
        <f t="shared" si="4"/>
        <v>-1.0848044678588575E-2</v>
      </c>
      <c r="I96" s="7">
        <f t="shared" si="4"/>
        <v>1.7960993988901386E-3</v>
      </c>
      <c r="J96" s="7">
        <f t="shared" si="4"/>
        <v>1.0685993497128399E-2</v>
      </c>
      <c r="K96" s="7">
        <f t="shared" si="4"/>
        <v>-1.8106265417300316E-2</v>
      </c>
      <c r="L96" s="7"/>
    </row>
    <row r="97" spans="1:12" x14ac:dyDescent="0.25">
      <c r="A97" s="2" t="s">
        <v>315</v>
      </c>
      <c r="B97" s="7">
        <v>-4.8280472405853869E-3</v>
      </c>
      <c r="C97" s="7">
        <v>6.0337396872307547E-3</v>
      </c>
      <c r="D97" s="7">
        <v>-8.6206896551723755E-3</v>
      </c>
      <c r="E97" s="7">
        <v>-7.5771135373784437E-3</v>
      </c>
      <c r="F97" s="7">
        <v>1.2618446740633171E-3</v>
      </c>
      <c r="G97" s="7"/>
      <c r="H97" s="7">
        <f t="shared" si="4"/>
        <v>-6.0898919146487041E-3</v>
      </c>
      <c r="I97" s="7">
        <f t="shared" si="4"/>
        <v>4.7718950131674376E-3</v>
      </c>
      <c r="J97" s="7">
        <f t="shared" si="4"/>
        <v>-9.8825343292356926E-3</v>
      </c>
      <c r="K97" s="7">
        <f t="shared" si="4"/>
        <v>-8.8389582114417609E-3</v>
      </c>
      <c r="L97" s="7"/>
    </row>
    <row r="98" spans="1:12" x14ac:dyDescent="0.25">
      <c r="A98" s="2" t="s">
        <v>316</v>
      </c>
      <c r="B98" s="7">
        <v>-1.3722508622927565E-3</v>
      </c>
      <c r="C98" s="7">
        <v>-2.885382773650913E-3</v>
      </c>
      <c r="D98" s="7">
        <v>5.7803468208093012E-3</v>
      </c>
      <c r="E98" s="7">
        <v>1.6927557335274956E-2</v>
      </c>
      <c r="F98" s="7">
        <v>-1.1178157494750818E-2</v>
      </c>
      <c r="G98" s="7"/>
      <c r="H98" s="7">
        <f t="shared" si="4"/>
        <v>9.8059066324580613E-3</v>
      </c>
      <c r="I98" s="7">
        <f t="shared" si="4"/>
        <v>8.2927747210999048E-3</v>
      </c>
      <c r="J98" s="7">
        <f t="shared" si="4"/>
        <v>1.6958504315560119E-2</v>
      </c>
      <c r="K98" s="7">
        <f t="shared" si="4"/>
        <v>2.8105714830025774E-2</v>
      </c>
      <c r="L98" s="7"/>
    </row>
    <row r="99" spans="1:12" x14ac:dyDescent="0.25">
      <c r="A99" s="2" t="s">
        <v>317</v>
      </c>
      <c r="B99" s="7">
        <v>3.7101621340851487E-4</v>
      </c>
      <c r="C99" s="7">
        <v>2.3242665996607847E-2</v>
      </c>
      <c r="D99" s="7">
        <v>1.4662756598240456E-2</v>
      </c>
      <c r="E99" s="7">
        <v>3.1649421789408105E-3</v>
      </c>
      <c r="F99" s="7">
        <v>3.6535209811638936E-3</v>
      </c>
      <c r="G99" s="7"/>
      <c r="H99" s="7">
        <f t="shared" si="4"/>
        <v>-3.2825047677553787E-3</v>
      </c>
      <c r="I99" s="7">
        <f t="shared" si="4"/>
        <v>1.9589145015443954E-2</v>
      </c>
      <c r="J99" s="7">
        <f t="shared" si="4"/>
        <v>1.1009235617076563E-2</v>
      </c>
      <c r="K99" s="7">
        <f t="shared" si="4"/>
        <v>-4.8857880222308303E-4</v>
      </c>
      <c r="L99" s="7"/>
    </row>
    <row r="100" spans="1:12" x14ac:dyDescent="0.25">
      <c r="A100" s="2" t="s">
        <v>318</v>
      </c>
      <c r="B100" s="7">
        <v>3.6866016235941323E-3</v>
      </c>
      <c r="C100" s="7">
        <v>-9.8277041736642978E-3</v>
      </c>
      <c r="D100" s="7">
        <v>-3.125E-2</v>
      </c>
      <c r="E100" s="7">
        <v>-2.0215874530383315E-2</v>
      </c>
      <c r="F100" s="7">
        <v>-1.1736770592982726E-2</v>
      </c>
      <c r="G100" s="7"/>
      <c r="H100" s="7">
        <f t="shared" si="4"/>
        <v>1.5423372216576858E-2</v>
      </c>
      <c r="I100" s="7">
        <f t="shared" si="4"/>
        <v>1.9090664193184281E-3</v>
      </c>
      <c r="J100" s="7">
        <f t="shared" si="4"/>
        <v>-1.9513229407017274E-2</v>
      </c>
      <c r="K100" s="7">
        <f t="shared" si="4"/>
        <v>-8.4791039374005894E-3</v>
      </c>
      <c r="L100" s="7"/>
    </row>
    <row r="101" spans="1:12" x14ac:dyDescent="0.25">
      <c r="A101" s="2" t="s">
        <v>23</v>
      </c>
      <c r="B101" s="7">
        <v>-4.8914251834284439E-3</v>
      </c>
      <c r="C101" s="7">
        <v>-2.5931535898212621E-2</v>
      </c>
      <c r="D101" s="7">
        <v>-1.4005602240896309E-2</v>
      </c>
      <c r="E101" s="7">
        <v>-1.6076981752038977E-2</v>
      </c>
      <c r="F101" s="7">
        <v>1.7207099207625642E-3</v>
      </c>
      <c r="G101" s="7"/>
      <c r="H101" s="7">
        <f t="shared" si="4"/>
        <v>-6.6121351041910081E-3</v>
      </c>
      <c r="I101" s="7">
        <f t="shared" si="4"/>
        <v>-2.7652245818975185E-2</v>
      </c>
      <c r="J101" s="7">
        <f t="shared" si="4"/>
        <v>-1.5726312161658873E-2</v>
      </c>
      <c r="K101" s="7">
        <f t="shared" si="4"/>
        <v>-1.7797691672801541E-2</v>
      </c>
      <c r="L101" s="7"/>
    </row>
    <row r="102" spans="1:12" x14ac:dyDescent="0.25">
      <c r="A102" s="2" t="s">
        <v>319</v>
      </c>
      <c r="B102" s="7">
        <v>-3.7655050206732987E-3</v>
      </c>
      <c r="C102" s="7">
        <v>3.0303030303047152E-4</v>
      </c>
      <c r="D102" s="7">
        <v>2.8089887640447841E-3</v>
      </c>
      <c r="E102" s="7">
        <v>-2.0123038003794669E-2</v>
      </c>
      <c r="F102" s="7">
        <v>2.6178701149457417E-3</v>
      </c>
      <c r="G102" s="7"/>
      <c r="H102" s="7">
        <f t="shared" si="4"/>
        <v>-6.3833751356190405E-3</v>
      </c>
      <c r="I102" s="7">
        <f t="shared" si="4"/>
        <v>-2.3148398119152702E-3</v>
      </c>
      <c r="J102" s="7">
        <f t="shared" si="4"/>
        <v>1.9111864909904241E-4</v>
      </c>
      <c r="K102" s="7">
        <f t="shared" si="4"/>
        <v>-2.2740908118740411E-2</v>
      </c>
      <c r="L102" s="7"/>
    </row>
    <row r="103" spans="1:12" x14ac:dyDescent="0.25">
      <c r="A103" s="2" t="s">
        <v>320</v>
      </c>
      <c r="B103" s="7">
        <v>6.2780935398789595E-3</v>
      </c>
      <c r="C103" s="7">
        <v>1.1091365892518024E-2</v>
      </c>
      <c r="D103" s="7">
        <v>-8.3565459610027704E-3</v>
      </c>
      <c r="E103" s="7">
        <v>-3.3561149080402197E-2</v>
      </c>
      <c r="F103" s="7">
        <v>-9.9048122149192341E-3</v>
      </c>
      <c r="G103" s="7"/>
      <c r="H103" s="7">
        <f t="shared" si="4"/>
        <v>1.6182905754798194E-2</v>
      </c>
      <c r="I103" s="7">
        <f t="shared" si="4"/>
        <v>2.0996178107437258E-2</v>
      </c>
      <c r="J103" s="7">
        <f t="shared" si="4"/>
        <v>1.5482662539164638E-3</v>
      </c>
      <c r="K103" s="7">
        <f t="shared" si="4"/>
        <v>-2.3656336865482963E-2</v>
      </c>
      <c r="L103" s="7"/>
    </row>
    <row r="104" spans="1:12" x14ac:dyDescent="0.25">
      <c r="A104" s="2" t="s">
        <v>321</v>
      </c>
      <c r="B104" s="7">
        <v>2.6071734515251688E-3</v>
      </c>
      <c r="C104" s="7">
        <v>-1.3182560319284109E-2</v>
      </c>
      <c r="D104" s="7">
        <v>0</v>
      </c>
      <c r="E104" s="7">
        <v>1.839067451335441E-2</v>
      </c>
      <c r="F104" s="7">
        <v>-4.3535740666289513E-5</v>
      </c>
      <c r="G104" s="7"/>
      <c r="H104" s="7">
        <f t="shared" si="4"/>
        <v>2.6507091921914583E-3</v>
      </c>
      <c r="I104" s="7">
        <f t="shared" si="4"/>
        <v>-1.3139024578617819E-2</v>
      </c>
      <c r="J104" s="7">
        <f t="shared" si="4"/>
        <v>4.3535740666289513E-5</v>
      </c>
      <c r="K104" s="7">
        <f t="shared" si="4"/>
        <v>1.84342102540207E-2</v>
      </c>
      <c r="L104" s="7"/>
    </row>
    <row r="105" spans="1:12" x14ac:dyDescent="0.25">
      <c r="A105" s="2" t="s">
        <v>322</v>
      </c>
      <c r="B105" s="7">
        <v>7.0816250465899344E-4</v>
      </c>
      <c r="C105" s="7">
        <v>-9.3452345294434691E-3</v>
      </c>
      <c r="D105" s="7">
        <v>3.4582132564841439E-2</v>
      </c>
      <c r="E105" s="7">
        <v>-1.5213151295625504E-2</v>
      </c>
      <c r="F105" s="7">
        <v>2.2879467532392894E-3</v>
      </c>
      <c r="G105" s="7"/>
      <c r="H105" s="7">
        <f t="shared" si="4"/>
        <v>-1.579784248580296E-3</v>
      </c>
      <c r="I105" s="7">
        <f t="shared" si="4"/>
        <v>-1.1633181282682759E-2</v>
      </c>
      <c r="J105" s="7">
        <f t="shared" si="4"/>
        <v>3.229418581160215E-2</v>
      </c>
      <c r="K105" s="7">
        <f t="shared" si="4"/>
        <v>-1.7501098048864794E-2</v>
      </c>
      <c r="L105" s="7"/>
    </row>
    <row r="106" spans="1:12" x14ac:dyDescent="0.25">
      <c r="A106" s="2" t="s">
        <v>24</v>
      </c>
      <c r="B106" s="7">
        <v>2.2796584324489277E-2</v>
      </c>
      <c r="C106" s="7">
        <v>-5.9869484523733529E-4</v>
      </c>
      <c r="D106" s="7">
        <v>2.8901734104047616E-3</v>
      </c>
      <c r="E106" s="7">
        <v>2.718946765884378E-2</v>
      </c>
      <c r="F106" s="7">
        <v>1.2290019126314666E-2</v>
      </c>
      <c r="G106" s="7"/>
      <c r="H106" s="7">
        <f t="shared" si="4"/>
        <v>1.0506565198174611E-2</v>
      </c>
      <c r="I106" s="7">
        <f t="shared" si="4"/>
        <v>-1.2888713971552002E-2</v>
      </c>
      <c r="J106" s="7">
        <f t="shared" si="4"/>
        <v>-9.3998457159099047E-3</v>
      </c>
      <c r="K106" s="7">
        <f t="shared" si="4"/>
        <v>1.4899448532529114E-2</v>
      </c>
      <c r="L106" s="7"/>
    </row>
    <row r="107" spans="1:12" x14ac:dyDescent="0.25">
      <c r="A107" s="2" t="s">
        <v>323</v>
      </c>
      <c r="B107" s="7">
        <v>1.2466710409510195E-2</v>
      </c>
      <c r="C107" s="7">
        <v>-1.8048206937095745E-2</v>
      </c>
      <c r="D107" s="7">
        <v>5.8139534883721034E-3</v>
      </c>
      <c r="E107" s="7">
        <v>1.6288539848749117E-2</v>
      </c>
      <c r="F107" s="7">
        <v>7.9024225191588471E-3</v>
      </c>
      <c r="G107" s="7"/>
      <c r="H107" s="7">
        <f t="shared" si="4"/>
        <v>4.5642878903513484E-3</v>
      </c>
      <c r="I107" s="7">
        <f t="shared" si="4"/>
        <v>-2.5950629456254592E-2</v>
      </c>
      <c r="J107" s="7">
        <f t="shared" si="4"/>
        <v>-2.0884690307867437E-3</v>
      </c>
      <c r="K107" s="7">
        <f t="shared" si="4"/>
        <v>8.3861173295902702E-3</v>
      </c>
      <c r="L107" s="7"/>
    </row>
    <row r="108" spans="1:12" x14ac:dyDescent="0.25">
      <c r="A108" s="2" t="s">
        <v>324</v>
      </c>
      <c r="B108" s="7">
        <v>4.3805241122654159E-3</v>
      </c>
      <c r="C108" s="7">
        <v>2.6120528443023261E-2</v>
      </c>
      <c r="D108" s="7">
        <v>1.1764705882352899E-2</v>
      </c>
      <c r="E108" s="7">
        <v>3.6416254672615445E-2</v>
      </c>
      <c r="F108" s="7">
        <v>5.8273875272412123E-3</v>
      </c>
      <c r="G108" s="7"/>
      <c r="H108" s="7">
        <f t="shared" si="4"/>
        <v>-1.4468634149757964E-3</v>
      </c>
      <c r="I108" s="7">
        <f t="shared" si="4"/>
        <v>2.0293140915782049E-2</v>
      </c>
      <c r="J108" s="7">
        <f t="shared" si="4"/>
        <v>5.937318355111687E-3</v>
      </c>
      <c r="K108" s="7">
        <f t="shared" si="4"/>
        <v>3.0588867145374232E-2</v>
      </c>
      <c r="L108" s="7"/>
    </row>
    <row r="109" spans="1:12" x14ac:dyDescent="0.25">
      <c r="A109" s="2" t="s">
        <v>325</v>
      </c>
      <c r="B109" s="7">
        <v>-1.643344644831668E-2</v>
      </c>
      <c r="C109" s="7">
        <v>3.5111084206067567E-3</v>
      </c>
      <c r="D109" s="7">
        <v>8.9020771513352859E-3</v>
      </c>
      <c r="E109" s="7">
        <v>-4.8599028019438162E-3</v>
      </c>
      <c r="F109" s="7">
        <v>-5.3375103001329638E-3</v>
      </c>
      <c r="G109" s="7"/>
      <c r="H109" s="7">
        <f t="shared" si="4"/>
        <v>-1.1095936148183716E-2</v>
      </c>
      <c r="I109" s="7">
        <f t="shared" si="4"/>
        <v>8.8486187207397204E-3</v>
      </c>
      <c r="J109" s="7">
        <f t="shared" si="4"/>
        <v>1.423958745146825E-2</v>
      </c>
      <c r="K109" s="7">
        <f t="shared" si="4"/>
        <v>4.7760749818914761E-4</v>
      </c>
      <c r="L109" s="7"/>
    </row>
    <row r="110" spans="1:12" x14ac:dyDescent="0.25">
      <c r="A110" s="2" t="s">
        <v>326</v>
      </c>
      <c r="B110" s="7">
        <v>2.0249102162450683E-3</v>
      </c>
      <c r="C110" s="7">
        <v>7.6647331030437194E-2</v>
      </c>
      <c r="D110" s="7">
        <v>-1.7492711370262426E-2</v>
      </c>
      <c r="E110" s="7">
        <v>-3.9199861647547185E-2</v>
      </c>
      <c r="F110" s="7">
        <v>3.2664551389505192E-5</v>
      </c>
      <c r="G110" s="7"/>
      <c r="H110" s="7">
        <f t="shared" si="4"/>
        <v>1.9922456648555631E-3</v>
      </c>
      <c r="I110" s="7">
        <f t="shared" si="4"/>
        <v>7.6614666479047688E-2</v>
      </c>
      <c r="J110" s="7">
        <f t="shared" si="4"/>
        <v>-1.7525375921651931E-2</v>
      </c>
      <c r="K110" s="7">
        <f t="shared" si="4"/>
        <v>-3.923252619893669E-2</v>
      </c>
      <c r="L110" s="7"/>
    </row>
    <row r="111" spans="1:12" x14ac:dyDescent="0.25">
      <c r="A111" s="2" t="s">
        <v>25</v>
      </c>
      <c r="B111" s="7">
        <v>3.9434494261546327E-2</v>
      </c>
      <c r="C111" s="7">
        <v>1.4010970854537064E-2</v>
      </c>
      <c r="D111" s="7">
        <v>1.7804154302670572E-2</v>
      </c>
      <c r="E111" s="7">
        <v>3.8431607303202497E-2</v>
      </c>
      <c r="F111" s="7">
        <v>1.0672252892777845E-2</v>
      </c>
      <c r="G111" s="7"/>
      <c r="H111" s="7">
        <f t="shared" si="4"/>
        <v>2.8762241368768482E-2</v>
      </c>
      <c r="I111" s="7">
        <f t="shared" si="4"/>
        <v>3.3387179617592189E-3</v>
      </c>
      <c r="J111" s="7">
        <f t="shared" si="4"/>
        <v>7.1319014098927269E-3</v>
      </c>
      <c r="K111" s="7">
        <f t="shared" si="4"/>
        <v>2.7759354410424653E-2</v>
      </c>
      <c r="L111" s="7"/>
    </row>
    <row r="112" spans="1:12" x14ac:dyDescent="0.25">
      <c r="A112" s="2" t="s">
        <v>327</v>
      </c>
      <c r="B112" s="7">
        <v>1.9556239371609108E-2</v>
      </c>
      <c r="C112" s="7">
        <v>8.1284562595775878E-3</v>
      </c>
      <c r="D112" s="7">
        <v>2.7439024390244038E-2</v>
      </c>
      <c r="E112" s="7">
        <v>1.1872312072203073E-2</v>
      </c>
      <c r="F112" s="7">
        <v>5.270724249404557E-3</v>
      </c>
      <c r="G112" s="7"/>
      <c r="H112" s="7">
        <f t="shared" si="4"/>
        <v>1.4285515122204551E-2</v>
      </c>
      <c r="I112" s="7">
        <f t="shared" si="4"/>
        <v>2.8577320101730308E-3</v>
      </c>
      <c r="J112" s="7">
        <f t="shared" si="4"/>
        <v>2.2168300140839481E-2</v>
      </c>
      <c r="K112" s="7">
        <f t="shared" si="4"/>
        <v>6.6015878227985159E-3</v>
      </c>
      <c r="L112" s="7"/>
    </row>
    <row r="113" spans="1:12" x14ac:dyDescent="0.25">
      <c r="A113" s="2" t="s">
        <v>328</v>
      </c>
      <c r="B113" s="7">
        <v>-7.5943263551252471E-3</v>
      </c>
      <c r="C113" s="7">
        <v>-1.3409583908499223E-2</v>
      </c>
      <c r="D113" s="7">
        <v>3.7974683544303778E-2</v>
      </c>
      <c r="E113" s="7">
        <v>-4.9424386715688495E-3</v>
      </c>
      <c r="F113" s="7">
        <v>-6.2943520220175575E-3</v>
      </c>
      <c r="G113" s="7"/>
      <c r="H113" s="7">
        <f t="shared" si="4"/>
        <v>-1.2999743331076896E-3</v>
      </c>
      <c r="I113" s="7">
        <f t="shared" si="4"/>
        <v>-7.1152318864816655E-3</v>
      </c>
      <c r="J113" s="7">
        <f t="shared" si="4"/>
        <v>4.4269035566321335E-2</v>
      </c>
      <c r="K113" s="7">
        <f t="shared" si="4"/>
        <v>1.351913350448708E-3</v>
      </c>
      <c r="L113" s="7"/>
    </row>
    <row r="114" spans="1:12" x14ac:dyDescent="0.25">
      <c r="A114" s="2" t="s">
        <v>329</v>
      </c>
      <c r="B114" s="7">
        <v>6.3485644965628474E-3</v>
      </c>
      <c r="C114" s="7">
        <v>6.1507936507936289E-3</v>
      </c>
      <c r="D114" s="7">
        <v>2.5974025974025983E-2</v>
      </c>
      <c r="E114" s="7">
        <v>1.872774161856805E-2</v>
      </c>
      <c r="F114" s="7">
        <v>4.0260011950075114E-3</v>
      </c>
      <c r="G114" s="7"/>
      <c r="H114" s="7">
        <f t="shared" si="4"/>
        <v>2.322563301555336E-3</v>
      </c>
      <c r="I114" s="7">
        <f t="shared" si="4"/>
        <v>2.1247924557861175E-3</v>
      </c>
      <c r="J114" s="7">
        <f t="shared" si="4"/>
        <v>2.1948024779018471E-2</v>
      </c>
      <c r="K114" s="7">
        <f t="shared" si="4"/>
        <v>1.4701740423560539E-2</v>
      </c>
      <c r="L114" s="7"/>
    </row>
    <row r="115" spans="1:12" x14ac:dyDescent="0.25">
      <c r="A115" s="2" t="s">
        <v>330</v>
      </c>
      <c r="B115" s="7">
        <v>4.4500182046203207E-4</v>
      </c>
      <c r="C115" s="7">
        <v>9.4805715048738026E-3</v>
      </c>
      <c r="D115" s="7">
        <v>-1.5974440894568676E-2</v>
      </c>
      <c r="E115" s="7">
        <v>-2.3679635513458308E-2</v>
      </c>
      <c r="F115" s="7">
        <v>-1.5643032313906735E-3</v>
      </c>
      <c r="G115" s="7"/>
      <c r="H115" s="7">
        <f t="shared" si="4"/>
        <v>2.0093050518527056E-3</v>
      </c>
      <c r="I115" s="7">
        <f t="shared" si="4"/>
        <v>1.1044874736264476E-2</v>
      </c>
      <c r="J115" s="7">
        <f t="shared" si="4"/>
        <v>-1.4410137663178002E-2</v>
      </c>
      <c r="K115" s="7">
        <f t="shared" si="4"/>
        <v>-2.2115332282067635E-2</v>
      </c>
      <c r="L115" s="7"/>
    </row>
    <row r="116" spans="1:12" x14ac:dyDescent="0.25">
      <c r="A116" s="2" t="s">
        <v>26</v>
      </c>
      <c r="B116" s="7">
        <v>9.7630718954246909E-3</v>
      </c>
      <c r="C116" s="7">
        <v>1.5801966768396181E-2</v>
      </c>
      <c r="D116" s="7">
        <v>3.2051282051281937E-3</v>
      </c>
      <c r="E116" s="7">
        <v>4.9053518646626104E-2</v>
      </c>
      <c r="F116" s="7">
        <v>1.5598602672868944E-2</v>
      </c>
      <c r="G116" s="7"/>
      <c r="H116" s="7">
        <f t="shared" si="4"/>
        <v>-5.8355307774442533E-3</v>
      </c>
      <c r="I116" s="7">
        <f t="shared" si="4"/>
        <v>2.0336409552723644E-4</v>
      </c>
      <c r="J116" s="7">
        <f t="shared" si="4"/>
        <v>-1.239347446774075E-2</v>
      </c>
      <c r="K116" s="7">
        <f t="shared" si="4"/>
        <v>3.345491597375716E-2</v>
      </c>
      <c r="L116" s="7"/>
    </row>
    <row r="117" spans="1:12" x14ac:dyDescent="0.25">
      <c r="A117" s="2" t="s">
        <v>331</v>
      </c>
      <c r="B117" s="7">
        <v>-3.4548035967818191E-2</v>
      </c>
      <c r="C117" s="7">
        <v>-2.7053777631145026E-2</v>
      </c>
      <c r="D117" s="7">
        <v>-2.5000000000000022E-2</v>
      </c>
      <c r="E117" s="7">
        <v>-8.4465684016582276E-2</v>
      </c>
      <c r="F117" s="7">
        <v>-2.7111658161485086E-2</v>
      </c>
      <c r="G117" s="7"/>
      <c r="H117" s="7">
        <f t="shared" si="4"/>
        <v>-7.4363778063331054E-3</v>
      </c>
      <c r="I117" s="7">
        <f t="shared" si="4"/>
        <v>5.7880530340059799E-5</v>
      </c>
      <c r="J117" s="7">
        <f t="shared" si="4"/>
        <v>2.1116581614850638E-3</v>
      </c>
      <c r="K117" s="7">
        <f t="shared" si="4"/>
        <v>-5.735402585509719E-2</v>
      </c>
      <c r="L117" s="7"/>
    </row>
    <row r="118" spans="1:12" x14ac:dyDescent="0.25">
      <c r="A118" s="2" t="s">
        <v>332</v>
      </c>
      <c r="B118" s="7">
        <v>-1.5568583297744243E-2</v>
      </c>
      <c r="C118" s="7">
        <v>-1.9981893429901532E-2</v>
      </c>
      <c r="D118" s="7">
        <v>1.9108280254777066E-2</v>
      </c>
      <c r="E118" s="7">
        <v>-4.1077738515901019E-2</v>
      </c>
      <c r="F118" s="7">
        <v>-2.755518440207827E-3</v>
      </c>
      <c r="G118" s="7"/>
      <c r="H118" s="7">
        <f t="shared" si="4"/>
        <v>-1.2813064857536416E-2</v>
      </c>
      <c r="I118" s="7">
        <f t="shared" si="4"/>
        <v>-1.7226374989693705E-2</v>
      </c>
      <c r="J118" s="7">
        <f t="shared" si="4"/>
        <v>2.1863798694984893E-2</v>
      </c>
      <c r="K118" s="7">
        <f t="shared" si="4"/>
        <v>-3.8322220075693192E-2</v>
      </c>
      <c r="L118" s="7"/>
    </row>
    <row r="119" spans="1:12" x14ac:dyDescent="0.25">
      <c r="A119" s="2" t="s">
        <v>333</v>
      </c>
      <c r="B119" s="7">
        <v>6.172116098285052E-3</v>
      </c>
      <c r="C119" s="7">
        <v>4.3514970448788048E-3</v>
      </c>
      <c r="D119" s="7">
        <v>0</v>
      </c>
      <c r="E119" s="7">
        <v>-1.1581095240721373E-3</v>
      </c>
      <c r="F119" s="7">
        <v>5.8276082381798489E-3</v>
      </c>
      <c r="G119" s="7"/>
      <c r="H119" s="7">
        <f t="shared" si="4"/>
        <v>3.4450786010520318E-4</v>
      </c>
      <c r="I119" s="7">
        <f t="shared" si="4"/>
        <v>-1.476111193301044E-3</v>
      </c>
      <c r="J119" s="7">
        <f t="shared" si="4"/>
        <v>-5.8276082381798489E-3</v>
      </c>
      <c r="K119" s="7">
        <f t="shared" si="4"/>
        <v>-6.9857177622519862E-3</v>
      </c>
      <c r="L119" s="7"/>
    </row>
    <row r="120" spans="1:12" x14ac:dyDescent="0.25">
      <c r="A120" s="2" t="s">
        <v>334</v>
      </c>
      <c r="B120" s="7">
        <v>-8.1967213114741977E-4</v>
      </c>
      <c r="C120" s="7">
        <v>-3.8817364300963719E-3</v>
      </c>
      <c r="D120" s="7">
        <v>-1.5673981191222541E-2</v>
      </c>
      <c r="E120" s="7">
        <v>-3.1460314069009621E-2</v>
      </c>
      <c r="F120" s="7">
        <v>-3.8114143626080121E-3</v>
      </c>
      <c r="G120" s="7"/>
      <c r="H120" s="7">
        <f t="shared" si="4"/>
        <v>2.9917422314605924E-3</v>
      </c>
      <c r="I120" s="7">
        <f t="shared" si="4"/>
        <v>-7.0322067488359785E-5</v>
      </c>
      <c r="J120" s="7">
        <f t="shared" si="4"/>
        <v>-1.1862566828614529E-2</v>
      </c>
      <c r="K120" s="7">
        <f t="shared" si="4"/>
        <v>-2.7648899706401608E-2</v>
      </c>
      <c r="L120" s="7"/>
    </row>
    <row r="121" spans="1:12" x14ac:dyDescent="0.25">
      <c r="A121" s="2" t="s">
        <v>27</v>
      </c>
      <c r="B121" s="7">
        <v>-5.1644468605598348E-3</v>
      </c>
      <c r="C121" s="7">
        <v>-1.7230417090539185E-2</v>
      </c>
      <c r="D121" s="7">
        <v>-1.2383900928792602E-2</v>
      </c>
      <c r="E121" s="7">
        <v>-4.3078232196990252E-3</v>
      </c>
      <c r="F121" s="7">
        <v>3.6466298082578064E-3</v>
      </c>
      <c r="G121" s="7"/>
      <c r="H121" s="7">
        <f t="shared" si="4"/>
        <v>-8.8110766688176412E-3</v>
      </c>
      <c r="I121" s="7">
        <f t="shared" si="4"/>
        <v>-2.0877046898796991E-2</v>
      </c>
      <c r="J121" s="7">
        <f t="shared" si="4"/>
        <v>-1.6030530737050408E-2</v>
      </c>
      <c r="K121" s="7">
        <f t="shared" si="4"/>
        <v>-7.9544530279568315E-3</v>
      </c>
      <c r="L121" s="7"/>
    </row>
    <row r="122" spans="1:12" x14ac:dyDescent="0.25">
      <c r="A122" s="2" t="s">
        <v>335</v>
      </c>
      <c r="B122" s="7">
        <v>3.4678927680797944E-3</v>
      </c>
      <c r="C122" s="7">
        <v>-8.2586875039702967E-4</v>
      </c>
      <c r="D122" s="7">
        <v>0</v>
      </c>
      <c r="E122" s="7">
        <v>-6.9187704658286719E-3</v>
      </c>
      <c r="F122" s="7">
        <v>6.552152903416264E-5</v>
      </c>
      <c r="G122" s="7"/>
      <c r="H122" s="7">
        <f t="shared" si="4"/>
        <v>3.4023712390456318E-3</v>
      </c>
      <c r="I122" s="7">
        <f t="shared" si="4"/>
        <v>-8.9139027943119231E-4</v>
      </c>
      <c r="J122" s="7">
        <f t="shared" si="4"/>
        <v>-6.552152903416264E-5</v>
      </c>
      <c r="K122" s="7">
        <f t="shared" si="4"/>
        <v>-6.9842919948628346E-3</v>
      </c>
      <c r="L122" s="7"/>
    </row>
    <row r="123" spans="1:12" x14ac:dyDescent="0.25">
      <c r="A123" s="2" t="s">
        <v>336</v>
      </c>
      <c r="B123" s="7">
        <v>6.589268904926282E-3</v>
      </c>
      <c r="C123" s="7">
        <v>1.7912571132953969E-2</v>
      </c>
      <c r="D123" s="7">
        <v>-6.1538461538461764E-3</v>
      </c>
      <c r="E123" s="7">
        <v>3.5890141153299027E-2</v>
      </c>
      <c r="F123" s="7">
        <v>6.1836929312208966E-4</v>
      </c>
      <c r="G123" s="7"/>
      <c r="H123" s="7">
        <f t="shared" si="4"/>
        <v>5.9708996118041924E-3</v>
      </c>
      <c r="I123" s="7">
        <f t="shared" si="4"/>
        <v>1.729420183983188E-2</v>
      </c>
      <c r="J123" s="7">
        <f t="shared" si="4"/>
        <v>-6.7722154469682661E-3</v>
      </c>
      <c r="K123" s="7">
        <f t="shared" si="4"/>
        <v>3.5271771860176937E-2</v>
      </c>
      <c r="L123" s="7"/>
    </row>
    <row r="124" spans="1:12" x14ac:dyDescent="0.25">
      <c r="A124" s="2" t="s">
        <v>337</v>
      </c>
      <c r="B124" s="7">
        <v>3.1870942356875265E-3</v>
      </c>
      <c r="C124" s="7">
        <v>5.2655528830525267E-3</v>
      </c>
      <c r="D124" s="7">
        <v>6.5573770491803351E-2</v>
      </c>
      <c r="E124" s="7">
        <v>2.2659878028310931E-2</v>
      </c>
      <c r="F124" s="7">
        <v>3.3998857734067744E-3</v>
      </c>
      <c r="G124" s="7"/>
      <c r="H124" s="7">
        <f t="shared" si="4"/>
        <v>-2.1279153771924797E-4</v>
      </c>
      <c r="I124" s="7">
        <f t="shared" si="4"/>
        <v>1.8656671096457522E-3</v>
      </c>
      <c r="J124" s="7">
        <f t="shared" si="4"/>
        <v>6.2173884718396577E-2</v>
      </c>
      <c r="K124" s="7">
        <f t="shared" si="4"/>
        <v>1.9259992254904157E-2</v>
      </c>
      <c r="L124" s="7"/>
    </row>
    <row r="125" spans="1:12" x14ac:dyDescent="0.25">
      <c r="A125" s="2" t="s">
        <v>338</v>
      </c>
      <c r="B125" s="7">
        <v>7.8755660563101237E-4</v>
      </c>
      <c r="C125" s="7">
        <v>7.1363100693990766E-3</v>
      </c>
      <c r="D125" s="7">
        <v>2.0066889632106788E-2</v>
      </c>
      <c r="E125" s="7">
        <v>-6.5036131183991985E-3</v>
      </c>
      <c r="F125" s="7">
        <v>4.0908483593822265E-3</v>
      </c>
      <c r="G125" s="7"/>
      <c r="H125" s="7">
        <f t="shared" si="4"/>
        <v>-3.3032917537512141E-3</v>
      </c>
      <c r="I125" s="7">
        <f t="shared" si="4"/>
        <v>3.0454617100168502E-3</v>
      </c>
      <c r="J125" s="7">
        <f t="shared" si="4"/>
        <v>1.5976041272724562E-2</v>
      </c>
      <c r="K125" s="7">
        <f t="shared" si="4"/>
        <v>-1.0594461477781425E-2</v>
      </c>
      <c r="L125" s="7"/>
    </row>
    <row r="126" spans="1:12" x14ac:dyDescent="0.25">
      <c r="A126" s="2" t="s">
        <v>28</v>
      </c>
      <c r="B126" s="7">
        <v>-4.0004706436052029E-3</v>
      </c>
      <c r="C126" s="7">
        <v>8.3179297597044677E-3</v>
      </c>
      <c r="D126" s="7">
        <v>-3.548387096774186E-2</v>
      </c>
      <c r="E126" s="7">
        <v>4.6477808155430234E-2</v>
      </c>
      <c r="F126" s="7">
        <v>2.6355795716241914E-3</v>
      </c>
      <c r="G126" s="7"/>
      <c r="H126" s="7">
        <f t="shared" si="4"/>
        <v>-6.6360502152293943E-3</v>
      </c>
      <c r="I126" s="7">
        <f t="shared" si="4"/>
        <v>5.6823501880802763E-3</v>
      </c>
      <c r="J126" s="7">
        <f t="shared" si="4"/>
        <v>-3.8119450539366051E-2</v>
      </c>
      <c r="K126" s="7">
        <f t="shared" si="4"/>
        <v>4.3842228583806042E-2</v>
      </c>
      <c r="L126" s="7"/>
    </row>
    <row r="127" spans="1:12" x14ac:dyDescent="0.25">
      <c r="A127" s="2" t="s">
        <v>339</v>
      </c>
      <c r="B127" s="7">
        <v>-5.4996489585771302E-3</v>
      </c>
      <c r="C127" s="7">
        <v>-1.3844023996308907E-3</v>
      </c>
      <c r="D127" s="7">
        <v>-3.215434083601254E-3</v>
      </c>
      <c r="E127" s="7">
        <v>-2.0288368382059607E-2</v>
      </c>
      <c r="F127" s="7">
        <v>5.9018398963164298E-3</v>
      </c>
      <c r="G127" s="7"/>
      <c r="H127" s="7">
        <f t="shared" si="4"/>
        <v>-1.140148885489356E-2</v>
      </c>
      <c r="I127" s="7">
        <f t="shared" si="4"/>
        <v>-7.2862422959473205E-3</v>
      </c>
      <c r="J127" s="7">
        <f t="shared" si="4"/>
        <v>-9.1172739799176838E-3</v>
      </c>
      <c r="K127" s="7">
        <f t="shared" si="4"/>
        <v>-2.6190208278376037E-2</v>
      </c>
      <c r="L127" s="7"/>
    </row>
    <row r="128" spans="1:12" x14ac:dyDescent="0.25">
      <c r="A128" s="2" t="s">
        <v>340</v>
      </c>
      <c r="B128" s="7">
        <v>1.8067744113092088E-2</v>
      </c>
      <c r="C128" s="7">
        <v>-1.0179445350734118E-2</v>
      </c>
      <c r="D128" s="7">
        <v>-2.8125000000000067E-2</v>
      </c>
      <c r="E128" s="7">
        <v>-5.4976195873951417E-3</v>
      </c>
      <c r="F128" s="7">
        <v>-5.0090615052493792E-3</v>
      </c>
      <c r="G128" s="7"/>
      <c r="H128" s="7">
        <f t="shared" si="4"/>
        <v>2.3076805618341467E-2</v>
      </c>
      <c r="I128" s="7">
        <f t="shared" si="4"/>
        <v>-5.1703838454847384E-3</v>
      </c>
      <c r="J128" s="7">
        <f t="shared" si="4"/>
        <v>-2.3115938494750687E-2</v>
      </c>
      <c r="K128" s="7">
        <f t="shared" si="4"/>
        <v>-4.8855808214576246E-4</v>
      </c>
      <c r="L128" s="7"/>
    </row>
    <row r="129" spans="1:12" x14ac:dyDescent="0.25">
      <c r="A129" s="2" t="s">
        <v>341</v>
      </c>
      <c r="B129" s="7">
        <v>-8.3481000196887756E-3</v>
      </c>
      <c r="C129" s="7">
        <v>-1.0843606790163385E-2</v>
      </c>
      <c r="D129" s="7">
        <v>-1.538461538461533E-2</v>
      </c>
      <c r="E129" s="7">
        <v>8.1922982585234116E-2</v>
      </c>
      <c r="F129" s="7">
        <v>-2.8466618195801541E-3</v>
      </c>
      <c r="G129" s="7"/>
      <c r="H129" s="7">
        <f t="shared" si="4"/>
        <v>-5.5014382001086215E-3</v>
      </c>
      <c r="I129" s="7">
        <f t="shared" si="4"/>
        <v>-7.9969449705832307E-3</v>
      </c>
      <c r="J129" s="7">
        <f t="shared" si="4"/>
        <v>-1.2537953565035176E-2</v>
      </c>
      <c r="K129" s="7">
        <f t="shared" si="4"/>
        <v>8.4769644404814271E-2</v>
      </c>
      <c r="L129" s="7"/>
    </row>
    <row r="130" spans="1:12" x14ac:dyDescent="0.25">
      <c r="A130" s="2" t="s">
        <v>342</v>
      </c>
      <c r="B130" s="7">
        <v>-6.4165264681717016E-3</v>
      </c>
      <c r="C130" s="7">
        <v>1.5801206399160828E-2</v>
      </c>
      <c r="D130" s="7">
        <v>3.833865814696491E-2</v>
      </c>
      <c r="E130" s="7">
        <v>-7.1232876712328252E-3</v>
      </c>
      <c r="F130" s="7">
        <v>-5.5021475256769037E-3</v>
      </c>
      <c r="G130" s="7"/>
      <c r="H130" s="7">
        <f t="shared" si="4"/>
        <v>-9.143789424947979E-4</v>
      </c>
      <c r="I130" s="7">
        <f t="shared" si="4"/>
        <v>2.1303353924837731E-2</v>
      </c>
      <c r="J130" s="7">
        <f t="shared" si="4"/>
        <v>4.3840805672641814E-2</v>
      </c>
      <c r="K130" s="7">
        <f t="shared" ref="K130:K193" si="5">E130-$F130</f>
        <v>-1.6211401455559216E-3</v>
      </c>
      <c r="L130" s="7"/>
    </row>
    <row r="131" spans="1:12" x14ac:dyDescent="0.25">
      <c r="A131" s="2" t="s">
        <v>29</v>
      </c>
      <c r="B131" s="7">
        <v>4.309676366159243E-2</v>
      </c>
      <c r="C131" s="7">
        <v>-1.7457965599433023E-2</v>
      </c>
      <c r="D131" s="7">
        <v>-9.493670886076E-3</v>
      </c>
      <c r="E131" s="7">
        <v>8.8446655610834313E-3</v>
      </c>
      <c r="F131" s="7">
        <v>4.4100258689507843E-3</v>
      </c>
      <c r="G131" s="7"/>
      <c r="H131" s="7">
        <f t="shared" ref="H131:K194" si="6">B131-$F131</f>
        <v>3.8686737792641646E-2</v>
      </c>
      <c r="I131" s="7">
        <f t="shared" si="6"/>
        <v>-2.1867991468383807E-2</v>
      </c>
      <c r="J131" s="7">
        <f t="shared" si="6"/>
        <v>-1.3903696755026784E-2</v>
      </c>
      <c r="K131" s="7">
        <f t="shared" si="5"/>
        <v>4.434639692132647E-3</v>
      </c>
      <c r="L131" s="7"/>
    </row>
    <row r="132" spans="1:12" x14ac:dyDescent="0.25">
      <c r="A132" s="2" t="s">
        <v>343</v>
      </c>
      <c r="B132" s="7">
        <v>3.2009434359600686E-2</v>
      </c>
      <c r="C132" s="7">
        <v>7.7252661646325382E-3</v>
      </c>
      <c r="D132" s="7">
        <v>-1.2499999999999956E-2</v>
      </c>
      <c r="E132" s="7">
        <v>2.0310192023633711E-3</v>
      </c>
      <c r="F132" s="7">
        <v>4.8854335671504323E-3</v>
      </c>
      <c r="G132" s="7"/>
      <c r="H132" s="7">
        <f t="shared" si="6"/>
        <v>2.7124000792450254E-2</v>
      </c>
      <c r="I132" s="7">
        <f t="shared" si="6"/>
        <v>2.8398325974821059E-3</v>
      </c>
      <c r="J132" s="7">
        <f t="shared" si="6"/>
        <v>-1.7385433567150388E-2</v>
      </c>
      <c r="K132" s="7">
        <f t="shared" si="5"/>
        <v>-2.8544143647870612E-3</v>
      </c>
      <c r="L132" s="7"/>
    </row>
    <row r="133" spans="1:12" x14ac:dyDescent="0.25">
      <c r="A133" s="2" t="s">
        <v>344</v>
      </c>
      <c r="B133" s="7">
        <v>-4.6533076213631785E-3</v>
      </c>
      <c r="C133" s="7">
        <v>1.495351407580614E-3</v>
      </c>
      <c r="D133" s="7">
        <v>-3.1152647975076775E-3</v>
      </c>
      <c r="E133" s="7">
        <v>-2.2206174399711176E-2</v>
      </c>
      <c r="F133" s="7">
        <v>4.7891399698500869E-3</v>
      </c>
      <c r="G133" s="7"/>
      <c r="H133" s="7">
        <f t="shared" si="6"/>
        <v>-9.4424475912132655E-3</v>
      </c>
      <c r="I133" s="7">
        <f t="shared" si="6"/>
        <v>-3.2937885622694729E-3</v>
      </c>
      <c r="J133" s="7">
        <f t="shared" si="6"/>
        <v>-7.9044047673577644E-3</v>
      </c>
      <c r="K133" s="7">
        <f t="shared" si="5"/>
        <v>-2.6995314369561263E-2</v>
      </c>
      <c r="L133" s="7"/>
    </row>
    <row r="134" spans="1:12" x14ac:dyDescent="0.25">
      <c r="A134" s="2" t="s">
        <v>345</v>
      </c>
      <c r="B134" s="7">
        <v>3.5338662179218439E-3</v>
      </c>
      <c r="C134" s="7">
        <v>-8.5089924579384579E-3</v>
      </c>
      <c r="D134" s="7">
        <v>3.2154340836012985E-2</v>
      </c>
      <c r="E134" s="7">
        <v>2.4412798224523691E-2</v>
      </c>
      <c r="F134" s="7">
        <v>-9.7021838238409153E-4</v>
      </c>
      <c r="G134" s="7"/>
      <c r="H134" s="7">
        <f t="shared" si="6"/>
        <v>4.5040846003059354E-3</v>
      </c>
      <c r="I134" s="7">
        <f t="shared" si="6"/>
        <v>-7.5387740755543664E-3</v>
      </c>
      <c r="J134" s="7">
        <f t="shared" si="6"/>
        <v>3.3124559218397076E-2</v>
      </c>
      <c r="K134" s="7">
        <f t="shared" si="5"/>
        <v>2.5383016606907782E-2</v>
      </c>
      <c r="L134" s="7"/>
    </row>
    <row r="135" spans="1:12" x14ac:dyDescent="0.25">
      <c r="A135" s="2" t="s">
        <v>346</v>
      </c>
      <c r="B135" s="7">
        <v>6.1375661375659973E-3</v>
      </c>
      <c r="C135" s="7">
        <v>-1.0303303496683736E-3</v>
      </c>
      <c r="D135" s="7">
        <v>-3.1152647975077885E-2</v>
      </c>
      <c r="E135" s="7">
        <v>2.6385725132877846E-2</v>
      </c>
      <c r="F135" s="7">
        <v>-1.2879273439672101E-3</v>
      </c>
      <c r="G135" s="7"/>
      <c r="H135" s="7">
        <f t="shared" si="6"/>
        <v>7.4254934815332074E-3</v>
      </c>
      <c r="I135" s="7">
        <f t="shared" si="6"/>
        <v>2.5759699429883653E-4</v>
      </c>
      <c r="J135" s="7">
        <f t="shared" si="6"/>
        <v>-2.9864720631110675E-2</v>
      </c>
      <c r="K135" s="7">
        <f t="shared" si="5"/>
        <v>2.7673652476845056E-2</v>
      </c>
      <c r="L135" s="7"/>
    </row>
    <row r="136" spans="1:12" x14ac:dyDescent="0.25">
      <c r="A136" s="2" t="s">
        <v>30</v>
      </c>
      <c r="B136" s="7">
        <v>1.125759780840685E-2</v>
      </c>
      <c r="C136" s="7">
        <v>-7.6682216116046309E-3</v>
      </c>
      <c r="D136" s="7">
        <v>4.9019607843137303E-2</v>
      </c>
      <c r="E136" s="7">
        <v>1.9218367083709387E-2</v>
      </c>
      <c r="F136" s="7">
        <v>4.7066578173196039E-3</v>
      </c>
      <c r="G136" s="7"/>
      <c r="H136" s="7">
        <f t="shared" si="6"/>
        <v>6.5509399910872457E-3</v>
      </c>
      <c r="I136" s="7">
        <f t="shared" si="6"/>
        <v>-1.2374879428924235E-2</v>
      </c>
      <c r="J136" s="7">
        <f t="shared" si="6"/>
        <v>4.4312950025817699E-2</v>
      </c>
      <c r="K136" s="7">
        <f t="shared" si="5"/>
        <v>1.4511709266389783E-2</v>
      </c>
      <c r="L136" s="7"/>
    </row>
    <row r="137" spans="1:12" x14ac:dyDescent="0.25">
      <c r="A137" s="2" t="s">
        <v>347</v>
      </c>
      <c r="B137" s="7">
        <v>1.7553029313123414E-2</v>
      </c>
      <c r="C137" s="7">
        <v>-1.0058198380566874E-2</v>
      </c>
      <c r="D137" s="7">
        <v>-3.4700315457413256E-2</v>
      </c>
      <c r="E137" s="7">
        <v>-2.4446731857951098E-3</v>
      </c>
      <c r="F137" s="7">
        <v>-4.8273464622994311E-4</v>
      </c>
      <c r="G137" s="7"/>
      <c r="H137" s="7">
        <f t="shared" si="6"/>
        <v>1.8035763959353357E-2</v>
      </c>
      <c r="I137" s="7">
        <f t="shared" si="6"/>
        <v>-9.5754637343369309E-3</v>
      </c>
      <c r="J137" s="7">
        <f t="shared" si="6"/>
        <v>-3.4217580811183312E-2</v>
      </c>
      <c r="K137" s="7">
        <f t="shared" si="5"/>
        <v>-1.9619385395651667E-3</v>
      </c>
      <c r="L137" s="7"/>
    </row>
    <row r="138" spans="1:12" x14ac:dyDescent="0.25">
      <c r="A138" s="2" t="s">
        <v>348</v>
      </c>
      <c r="B138" s="7">
        <v>1.4269305531012577E-2</v>
      </c>
      <c r="C138" s="7">
        <v>3.8428693424423788E-2</v>
      </c>
      <c r="D138" s="7">
        <v>2.5889967637540368E-2</v>
      </c>
      <c r="E138" s="7">
        <v>7.9969429583825358E-2</v>
      </c>
      <c r="F138" s="7">
        <v>8.4858635280862238E-3</v>
      </c>
      <c r="G138" s="7"/>
      <c r="H138" s="7">
        <f t="shared" si="6"/>
        <v>5.7834420029263534E-3</v>
      </c>
      <c r="I138" s="7">
        <f t="shared" si="6"/>
        <v>2.9942829896337564E-2</v>
      </c>
      <c r="J138" s="7">
        <f t="shared" si="6"/>
        <v>1.7404104109454144E-2</v>
      </c>
      <c r="K138" s="7">
        <f t="shared" si="5"/>
        <v>7.1483566055739134E-2</v>
      </c>
      <c r="L138" s="7"/>
    </row>
    <row r="139" spans="1:12" x14ac:dyDescent="0.25">
      <c r="A139" s="2" t="s">
        <v>349</v>
      </c>
      <c r="B139" s="7">
        <v>-3.2235998289867451E-2</v>
      </c>
      <c r="C139" s="7">
        <v>3.2292078555422599E-3</v>
      </c>
      <c r="D139" s="7">
        <v>0</v>
      </c>
      <c r="E139" s="7">
        <v>-2.1549966009517196E-2</v>
      </c>
      <c r="F139" s="7">
        <v>2.9834428900241683E-3</v>
      </c>
      <c r="G139" s="7"/>
      <c r="H139" s="7">
        <f t="shared" si="6"/>
        <v>-3.521944117989162E-2</v>
      </c>
      <c r="I139" s="7">
        <f t="shared" si="6"/>
        <v>2.4576496551809157E-4</v>
      </c>
      <c r="J139" s="7">
        <f t="shared" si="6"/>
        <v>-2.9834428900241683E-3</v>
      </c>
      <c r="K139" s="7">
        <f t="shared" si="5"/>
        <v>-2.4533408899541365E-2</v>
      </c>
      <c r="L139" s="7"/>
    </row>
    <row r="140" spans="1:12" x14ac:dyDescent="0.25">
      <c r="A140" s="2" t="s">
        <v>350</v>
      </c>
      <c r="B140" s="7">
        <v>-1.4867539906498806E-2</v>
      </c>
      <c r="C140" s="7">
        <v>-6.0264640377307721E-3</v>
      </c>
      <c r="D140" s="7">
        <v>-1.9047619047619091E-2</v>
      </c>
      <c r="E140" s="7">
        <v>4.1784702549575004E-2</v>
      </c>
      <c r="F140" s="7">
        <v>2.6881596267984698E-3</v>
      </c>
      <c r="G140" s="7"/>
      <c r="H140" s="7">
        <f t="shared" si="6"/>
        <v>-1.7555699533297275E-2</v>
      </c>
      <c r="I140" s="7">
        <f t="shared" si="6"/>
        <v>-8.7146236645292419E-3</v>
      </c>
      <c r="J140" s="7">
        <f t="shared" si="6"/>
        <v>-2.1735778674417561E-2</v>
      </c>
      <c r="K140" s="7">
        <f t="shared" si="5"/>
        <v>3.9096542922776534E-2</v>
      </c>
      <c r="L140" s="7"/>
    </row>
    <row r="141" spans="1:12" x14ac:dyDescent="0.25">
      <c r="A141" s="2" t="s">
        <v>31</v>
      </c>
      <c r="B141" s="7">
        <v>-7.5241399490030281E-3</v>
      </c>
      <c r="C141" s="7">
        <v>-8.3149278939846916E-3</v>
      </c>
      <c r="D141" s="7">
        <v>-6.3091482649841879E-3</v>
      </c>
      <c r="E141" s="7">
        <v>4.1451541525298508E-2</v>
      </c>
      <c r="F141" s="7">
        <v>2.1059939828742547E-3</v>
      </c>
      <c r="G141" s="7"/>
      <c r="H141" s="7">
        <f t="shared" si="6"/>
        <v>-9.6301339318772827E-3</v>
      </c>
      <c r="I141" s="7">
        <f t="shared" si="6"/>
        <v>-1.0420921876858946E-2</v>
      </c>
      <c r="J141" s="7">
        <f t="shared" si="6"/>
        <v>-8.4151422478584426E-3</v>
      </c>
      <c r="K141" s="7">
        <f t="shared" si="5"/>
        <v>3.9345547542424253E-2</v>
      </c>
      <c r="L141" s="7"/>
    </row>
    <row r="142" spans="1:12" x14ac:dyDescent="0.25">
      <c r="A142" s="2" t="s">
        <v>351</v>
      </c>
      <c r="B142" s="7">
        <v>-3.7606551897040319E-4</v>
      </c>
      <c r="C142" s="7">
        <v>-1.4270887389724596E-3</v>
      </c>
      <c r="D142" s="7">
        <v>1.2779552715654896E-2</v>
      </c>
      <c r="E142" s="7">
        <v>3.5594256034219507E-2</v>
      </c>
      <c r="F142" s="7">
        <v>-3.1651410010334891E-3</v>
      </c>
      <c r="G142" s="7"/>
      <c r="H142" s="7">
        <f t="shared" si="6"/>
        <v>2.7890754820630859E-3</v>
      </c>
      <c r="I142" s="7">
        <f t="shared" si="6"/>
        <v>1.7380522620610295E-3</v>
      </c>
      <c r="J142" s="7">
        <f t="shared" si="6"/>
        <v>1.5944693716688385E-2</v>
      </c>
      <c r="K142" s="7">
        <f t="shared" si="5"/>
        <v>3.8759397035252996E-2</v>
      </c>
      <c r="L142" s="7"/>
    </row>
    <row r="143" spans="1:12" x14ac:dyDescent="0.25">
      <c r="A143" s="2" t="s">
        <v>352</v>
      </c>
      <c r="B143" s="7">
        <v>5.4617259053859613E-3</v>
      </c>
      <c r="C143" s="7">
        <v>2.316320435388608E-2</v>
      </c>
      <c r="D143" s="7">
        <v>1.9543973941368087E-2</v>
      </c>
      <c r="E143" s="7">
        <v>-4.052766581165268E-2</v>
      </c>
      <c r="F143" s="7">
        <v>8.3464376436432897E-3</v>
      </c>
      <c r="G143" s="7"/>
      <c r="H143" s="7">
        <f t="shared" si="6"/>
        <v>-2.8847117382573284E-3</v>
      </c>
      <c r="I143" s="7">
        <f t="shared" si="6"/>
        <v>1.481676671024279E-2</v>
      </c>
      <c r="J143" s="7">
        <f t="shared" si="6"/>
        <v>1.1197536297724797E-2</v>
      </c>
      <c r="K143" s="7">
        <f t="shared" si="5"/>
        <v>-4.887410345529597E-2</v>
      </c>
      <c r="L143" s="7"/>
    </row>
    <row r="144" spans="1:12" x14ac:dyDescent="0.25">
      <c r="A144" s="2" t="s">
        <v>353</v>
      </c>
      <c r="B144" s="7">
        <v>3.8119330076762159E-2</v>
      </c>
      <c r="C144" s="7">
        <v>-1.4713575725869732E-2</v>
      </c>
      <c r="D144" s="7">
        <v>1.655629139072845E-2</v>
      </c>
      <c r="E144" s="7">
        <v>-1.5156983038614347E-2</v>
      </c>
      <c r="F144" s="7">
        <v>5.1001162801573852E-3</v>
      </c>
      <c r="G144" s="7"/>
      <c r="H144" s="7">
        <f t="shared" si="6"/>
        <v>3.3019213796604774E-2</v>
      </c>
      <c r="I144" s="7">
        <f t="shared" si="6"/>
        <v>-1.9813692006027117E-2</v>
      </c>
      <c r="J144" s="7">
        <f t="shared" si="6"/>
        <v>1.1456175110571065E-2</v>
      </c>
      <c r="K144" s="7">
        <f t="shared" si="5"/>
        <v>-2.0257099318771732E-2</v>
      </c>
      <c r="L144" s="7"/>
    </row>
    <row r="145" spans="1:12" x14ac:dyDescent="0.25">
      <c r="A145" s="2" t="s">
        <v>354</v>
      </c>
      <c r="B145" s="7">
        <v>-1.0444540353905851E-2</v>
      </c>
      <c r="C145" s="7">
        <v>-8.1079328014529439E-3</v>
      </c>
      <c r="D145" s="7">
        <v>0</v>
      </c>
      <c r="E145" s="7">
        <v>2.6296296296296484E-2</v>
      </c>
      <c r="F145" s="7">
        <v>-6.9223220118076467E-3</v>
      </c>
      <c r="G145" s="7"/>
      <c r="H145" s="7">
        <f t="shared" si="6"/>
        <v>-3.5222183420982045E-3</v>
      </c>
      <c r="I145" s="7">
        <f t="shared" si="6"/>
        <v>-1.1856107896452972E-3</v>
      </c>
      <c r="J145" s="7">
        <f t="shared" si="6"/>
        <v>6.9223220118076467E-3</v>
      </c>
      <c r="K145" s="7">
        <f t="shared" si="5"/>
        <v>3.3218618308104131E-2</v>
      </c>
      <c r="L145" s="7"/>
    </row>
    <row r="146" spans="1:12" x14ac:dyDescent="0.25">
      <c r="A146" s="2" t="s">
        <v>355</v>
      </c>
      <c r="B146" s="7">
        <v>-1.8094089264174551E-3</v>
      </c>
      <c r="C146" s="7">
        <v>-1.2932966259043499E-2</v>
      </c>
      <c r="D146" s="7">
        <v>3.424657534246589E-2</v>
      </c>
      <c r="E146" s="7">
        <v>0.1290457472610187</v>
      </c>
      <c r="F146" s="7">
        <v>-6.3981691392923645E-3</v>
      </c>
      <c r="G146" s="7"/>
      <c r="H146" s="7">
        <f t="shared" si="6"/>
        <v>4.5887602128749094E-3</v>
      </c>
      <c r="I146" s="7">
        <f t="shared" si="6"/>
        <v>-6.5347971197511345E-3</v>
      </c>
      <c r="J146" s="7">
        <f t="shared" si="6"/>
        <v>4.0644744481758255E-2</v>
      </c>
      <c r="K146" s="7">
        <f t="shared" si="5"/>
        <v>0.13544391640031106</v>
      </c>
      <c r="L146" s="7"/>
    </row>
    <row r="147" spans="1:12" x14ac:dyDescent="0.25">
      <c r="A147" s="2" t="s">
        <v>356</v>
      </c>
      <c r="B147" s="7">
        <v>8.99804390349912E-3</v>
      </c>
      <c r="C147" s="7">
        <v>6.6383088424852854E-3</v>
      </c>
      <c r="D147" s="7">
        <v>-1.6835016835016869E-2</v>
      </c>
      <c r="E147" s="7">
        <v>-2.1762251493086859E-2</v>
      </c>
      <c r="F147" s="7">
        <v>3.1567253988336041E-3</v>
      </c>
      <c r="G147" s="7"/>
      <c r="H147" s="7">
        <f t="shared" si="6"/>
        <v>5.8413185046655158E-3</v>
      </c>
      <c r="I147" s="7">
        <f t="shared" si="6"/>
        <v>3.4815834436516813E-3</v>
      </c>
      <c r="J147" s="7">
        <f t="shared" si="6"/>
        <v>-1.9991742233850474E-2</v>
      </c>
      <c r="K147" s="7">
        <f t="shared" si="5"/>
        <v>-2.4918976891920464E-2</v>
      </c>
      <c r="L147" s="7"/>
    </row>
    <row r="148" spans="1:12" x14ac:dyDescent="0.25">
      <c r="A148" s="2" t="s">
        <v>357</v>
      </c>
      <c r="B148" s="7">
        <v>5.1557652816009991E-3</v>
      </c>
      <c r="C148" s="7">
        <v>-2.5773195876288568E-4</v>
      </c>
      <c r="D148" s="7">
        <v>1.3651877133105783E-2</v>
      </c>
      <c r="E148" s="7">
        <v>-1.5782269103792546E-2</v>
      </c>
      <c r="F148" s="7">
        <v>2.3909903277790079E-3</v>
      </c>
      <c r="G148" s="7"/>
      <c r="H148" s="7">
        <f t="shared" si="6"/>
        <v>2.7647749538219912E-3</v>
      </c>
      <c r="I148" s="7">
        <f t="shared" si="6"/>
        <v>-2.6487222865418936E-3</v>
      </c>
      <c r="J148" s="7">
        <f t="shared" si="6"/>
        <v>1.1260886805326775E-2</v>
      </c>
      <c r="K148" s="7">
        <f t="shared" si="5"/>
        <v>-1.8173259431571553E-2</v>
      </c>
      <c r="L148" s="7"/>
    </row>
    <row r="149" spans="1:12" x14ac:dyDescent="0.25">
      <c r="A149" s="2" t="s">
        <v>358</v>
      </c>
      <c r="B149" s="7">
        <v>9.4385392316853611E-3</v>
      </c>
      <c r="C149" s="7">
        <v>4.5957667162921378E-3</v>
      </c>
      <c r="D149" s="7">
        <v>3.4246575342467001E-3</v>
      </c>
      <c r="E149" s="7">
        <v>-1.2866907921189608E-3</v>
      </c>
      <c r="F149" s="7">
        <v>4.1339768795463083E-3</v>
      </c>
      <c r="G149" s="7"/>
      <c r="H149" s="7">
        <f t="shared" si="6"/>
        <v>5.3045623521390528E-3</v>
      </c>
      <c r="I149" s="7">
        <f t="shared" si="6"/>
        <v>4.6178983674582952E-4</v>
      </c>
      <c r="J149" s="7">
        <f t="shared" si="6"/>
        <v>-7.0931934529960827E-4</v>
      </c>
      <c r="K149" s="7">
        <f t="shared" si="5"/>
        <v>-5.4206676716652691E-3</v>
      </c>
      <c r="L149" s="7"/>
    </row>
    <row r="150" spans="1:12" x14ac:dyDescent="0.25">
      <c r="A150" s="2" t="s">
        <v>32</v>
      </c>
      <c r="B150" s="7">
        <v>-2.6393348876083689E-3</v>
      </c>
      <c r="C150" s="7">
        <v>-1.35368111870251E-2</v>
      </c>
      <c r="D150" s="7">
        <v>-1.3513513513513487E-2</v>
      </c>
      <c r="E150" s="7">
        <v>1.1469009272816022E-2</v>
      </c>
      <c r="F150" s="7">
        <v>-4.2663343080389105E-3</v>
      </c>
      <c r="G150" s="7"/>
      <c r="H150" s="7">
        <f t="shared" si="6"/>
        <v>1.6269994204305416E-3</v>
      </c>
      <c r="I150" s="7">
        <f t="shared" si="6"/>
        <v>-9.2704768789861891E-3</v>
      </c>
      <c r="J150" s="7">
        <f t="shared" si="6"/>
        <v>-9.2471792054745761E-3</v>
      </c>
      <c r="K150" s="7">
        <f t="shared" si="5"/>
        <v>1.5735343580854932E-2</v>
      </c>
      <c r="L150" s="7"/>
    </row>
    <row r="151" spans="1:12" x14ac:dyDescent="0.25">
      <c r="A151" s="2" t="s">
        <v>359</v>
      </c>
      <c r="B151" s="7">
        <v>1.2741123535439103E-2</v>
      </c>
      <c r="C151" s="7">
        <v>2.809689489923195E-2</v>
      </c>
      <c r="D151" s="7">
        <v>6.8027210884353817E-3</v>
      </c>
      <c r="E151" s="7">
        <v>4.1070370056736305E-2</v>
      </c>
      <c r="F151" s="7">
        <v>1.518640789806236E-2</v>
      </c>
      <c r="G151" s="7"/>
      <c r="H151" s="7">
        <f t="shared" si="6"/>
        <v>-2.4452843626232568E-3</v>
      </c>
      <c r="I151" s="7">
        <f t="shared" si="6"/>
        <v>1.291048700116959E-2</v>
      </c>
      <c r="J151" s="7">
        <f t="shared" si="6"/>
        <v>-8.3836868096269779E-3</v>
      </c>
      <c r="K151" s="7">
        <f t="shared" si="5"/>
        <v>2.5883962158673945E-2</v>
      </c>
      <c r="L151" s="7"/>
    </row>
    <row r="152" spans="1:12" x14ac:dyDescent="0.25">
      <c r="A152" s="2" t="s">
        <v>360</v>
      </c>
      <c r="B152" s="7">
        <v>-4.9206489937051456E-3</v>
      </c>
      <c r="C152" s="7">
        <v>-2.3577182526687279E-3</v>
      </c>
      <c r="D152" s="7">
        <v>5.0000000000000044E-2</v>
      </c>
      <c r="E152" s="7">
        <v>-1.1716461628588082E-2</v>
      </c>
      <c r="F152" s="7">
        <v>-4.0042027712021699E-3</v>
      </c>
      <c r="G152" s="7"/>
      <c r="H152" s="7">
        <f t="shared" si="6"/>
        <v>-9.1644622250297569E-4</v>
      </c>
      <c r="I152" s="7">
        <f t="shared" si="6"/>
        <v>1.646484518533442E-3</v>
      </c>
      <c r="J152" s="7">
        <f t="shared" si="6"/>
        <v>5.4004202771202214E-2</v>
      </c>
      <c r="K152" s="7">
        <f t="shared" si="5"/>
        <v>-7.7122588573859119E-3</v>
      </c>
      <c r="L152" s="7"/>
    </row>
    <row r="153" spans="1:12" x14ac:dyDescent="0.25">
      <c r="A153" s="2" t="s">
        <v>361</v>
      </c>
      <c r="B153" s="7">
        <v>-1.9728837128454635E-2</v>
      </c>
      <c r="C153" s="7">
        <v>2.6265677326153813E-3</v>
      </c>
      <c r="D153" s="7">
        <v>2.1897810218977964E-2</v>
      </c>
      <c r="E153" s="7">
        <v>-4.1670139178264787E-3</v>
      </c>
      <c r="F153" s="7">
        <v>-2.4316175793941408E-3</v>
      </c>
      <c r="G153" s="7"/>
      <c r="H153" s="7">
        <f t="shared" si="6"/>
        <v>-1.7297219549060494E-2</v>
      </c>
      <c r="I153" s="7">
        <f t="shared" si="6"/>
        <v>5.0581853120095221E-3</v>
      </c>
      <c r="J153" s="7">
        <f t="shared" si="6"/>
        <v>2.4329427798372105E-2</v>
      </c>
      <c r="K153" s="7">
        <f t="shared" si="5"/>
        <v>-1.7353963384323379E-3</v>
      </c>
      <c r="L153" s="7"/>
    </row>
    <row r="154" spans="1:12" x14ac:dyDescent="0.25">
      <c r="A154" s="2" t="s">
        <v>362</v>
      </c>
      <c r="B154" s="7">
        <v>-1.4319809069212042E-3</v>
      </c>
      <c r="C154" s="7">
        <v>9.6797719286612072E-3</v>
      </c>
      <c r="D154" s="7">
        <v>-2.1428571428571241E-2</v>
      </c>
      <c r="E154" s="7">
        <v>-1.161449752883037E-2</v>
      </c>
      <c r="F154" s="7">
        <v>-5.8581363435491474E-3</v>
      </c>
      <c r="G154" s="7"/>
      <c r="H154" s="7">
        <f t="shared" si="6"/>
        <v>4.4261554366279432E-3</v>
      </c>
      <c r="I154" s="7">
        <f t="shared" si="6"/>
        <v>1.5537908272210355E-2</v>
      </c>
      <c r="J154" s="7">
        <f t="shared" si="6"/>
        <v>-1.5570435085022094E-2</v>
      </c>
      <c r="K154" s="7">
        <f t="shared" si="5"/>
        <v>-5.7563611852812224E-3</v>
      </c>
      <c r="L154" s="7"/>
    </row>
    <row r="155" spans="1:12" x14ac:dyDescent="0.25">
      <c r="A155" s="2" t="s">
        <v>33</v>
      </c>
      <c r="B155" s="7">
        <v>-3.02833657797974E-3</v>
      </c>
      <c r="C155" s="7">
        <v>3.0591208352730437E-3</v>
      </c>
      <c r="D155" s="7">
        <v>1.8181818181818077E-2</v>
      </c>
      <c r="E155" s="7">
        <v>1.154543955137699E-3</v>
      </c>
      <c r="F155" s="7">
        <v>-1.0077831870769494E-4</v>
      </c>
      <c r="G155" s="7"/>
      <c r="H155" s="7">
        <f t="shared" si="6"/>
        <v>-2.927558259272045E-3</v>
      </c>
      <c r="I155" s="7">
        <f t="shared" si="6"/>
        <v>3.1598991539807386E-3</v>
      </c>
      <c r="J155" s="7">
        <f t="shared" si="6"/>
        <v>1.8282596500525772E-2</v>
      </c>
      <c r="K155" s="7">
        <f t="shared" si="5"/>
        <v>1.255322273845394E-3</v>
      </c>
      <c r="L155" s="7"/>
    </row>
    <row r="156" spans="1:12" x14ac:dyDescent="0.25">
      <c r="A156" s="2" t="s">
        <v>363</v>
      </c>
      <c r="B156" s="7">
        <v>-5.1218042523887286E-3</v>
      </c>
      <c r="C156" s="7">
        <v>-2.7172155010674715E-2</v>
      </c>
      <c r="D156" s="7">
        <v>7.3260073260073E-3</v>
      </c>
      <c r="E156" s="7">
        <v>-8.3415112855740325E-3</v>
      </c>
      <c r="F156" s="7">
        <v>-2.8970988816641174E-3</v>
      </c>
      <c r="G156" s="7"/>
      <c r="H156" s="7">
        <f t="shared" si="6"/>
        <v>-2.2247053707246112E-3</v>
      </c>
      <c r="I156" s="7">
        <f t="shared" si="6"/>
        <v>-2.4275056129010597E-2</v>
      </c>
      <c r="J156" s="7">
        <f t="shared" si="6"/>
        <v>1.0223106207671417E-2</v>
      </c>
      <c r="K156" s="7">
        <f t="shared" si="5"/>
        <v>-5.4444124039099151E-3</v>
      </c>
      <c r="L156" s="7"/>
    </row>
    <row r="157" spans="1:12" x14ac:dyDescent="0.25">
      <c r="A157" s="2" t="s">
        <v>364</v>
      </c>
      <c r="B157" s="7">
        <v>-2.361629954055533E-3</v>
      </c>
      <c r="C157" s="7">
        <v>-2.2142088947934457E-2</v>
      </c>
      <c r="D157" s="7">
        <v>-1.4440433212996373E-2</v>
      </c>
      <c r="E157" s="7">
        <v>-3.6102790477691937E-2</v>
      </c>
      <c r="F157" s="7">
        <v>3.0309684562790373E-4</v>
      </c>
      <c r="G157" s="7"/>
      <c r="H157" s="7">
        <f t="shared" si="6"/>
        <v>-2.6647267996834367E-3</v>
      </c>
      <c r="I157" s="7">
        <f t="shared" si="6"/>
        <v>-2.2445185793562361E-2</v>
      </c>
      <c r="J157" s="7">
        <f t="shared" si="6"/>
        <v>-1.4743530058624277E-2</v>
      </c>
      <c r="K157" s="7">
        <f t="shared" si="5"/>
        <v>-3.6405887323319841E-2</v>
      </c>
      <c r="L157" s="7"/>
    </row>
    <row r="158" spans="1:12" x14ac:dyDescent="0.25">
      <c r="A158" s="2" t="s">
        <v>365</v>
      </c>
      <c r="B158" s="7">
        <v>1.6055145936041182E-2</v>
      </c>
      <c r="C158" s="7">
        <v>1.4895666131621077E-2</v>
      </c>
      <c r="D158" s="7">
        <v>7.2727272727273196E-3</v>
      </c>
      <c r="E158" s="7">
        <v>3.6268583564776913E-2</v>
      </c>
      <c r="F158" s="7">
        <v>3.2300302834731287E-3</v>
      </c>
      <c r="G158" s="7"/>
      <c r="H158" s="7">
        <f t="shared" si="6"/>
        <v>1.2825115652568053E-2</v>
      </c>
      <c r="I158" s="7">
        <f t="shared" si="6"/>
        <v>1.1665635848147948E-2</v>
      </c>
      <c r="J158" s="7">
        <f t="shared" si="6"/>
        <v>4.0426969892541909E-3</v>
      </c>
      <c r="K158" s="7">
        <f t="shared" si="5"/>
        <v>3.3038553281303784E-2</v>
      </c>
      <c r="L158" s="7"/>
    </row>
    <row r="159" spans="1:12" x14ac:dyDescent="0.25">
      <c r="A159" s="2" t="s">
        <v>366</v>
      </c>
      <c r="B159" s="7">
        <v>1.0848952590959193E-2</v>
      </c>
      <c r="C159" s="7">
        <v>1.6313213703099461E-2</v>
      </c>
      <c r="D159" s="7">
        <v>1.1029411764705843E-2</v>
      </c>
      <c r="E159" s="7">
        <v>3.1861092380310208E-2</v>
      </c>
      <c r="F159" s="7">
        <v>1.1345503612643082E-2</v>
      </c>
      <c r="G159" s="7"/>
      <c r="H159" s="7">
        <f t="shared" si="6"/>
        <v>-4.9655102168388865E-4</v>
      </c>
      <c r="I159" s="7">
        <f t="shared" si="6"/>
        <v>4.9677100904563787E-3</v>
      </c>
      <c r="J159" s="7">
        <f t="shared" si="6"/>
        <v>-3.1609184793723877E-4</v>
      </c>
      <c r="K159" s="7">
        <f t="shared" si="5"/>
        <v>2.0515588767667126E-2</v>
      </c>
      <c r="L159" s="7"/>
    </row>
    <row r="160" spans="1:12" x14ac:dyDescent="0.25">
      <c r="A160" s="2" t="s">
        <v>34</v>
      </c>
      <c r="B160" s="7">
        <v>-8.3096435600262808E-3</v>
      </c>
      <c r="C160" s="7">
        <v>1.3156154964961031E-2</v>
      </c>
      <c r="D160" s="7">
        <v>-2.1582733812949506E-2</v>
      </c>
      <c r="E160" s="7">
        <v>-1.429046194749084E-2</v>
      </c>
      <c r="F160" s="7">
        <v>-2.5041278983324311E-3</v>
      </c>
      <c r="G160" s="7"/>
      <c r="H160" s="7">
        <f t="shared" si="6"/>
        <v>-5.8055156616938497E-3</v>
      </c>
      <c r="I160" s="7">
        <f t="shared" si="6"/>
        <v>1.5660282863293462E-2</v>
      </c>
      <c r="J160" s="7">
        <f t="shared" si="6"/>
        <v>-1.9078605914617075E-2</v>
      </c>
      <c r="K160" s="7">
        <f t="shared" si="5"/>
        <v>-1.1786334049158409E-2</v>
      </c>
      <c r="L160" s="7"/>
    </row>
    <row r="161" spans="1:12" x14ac:dyDescent="0.25">
      <c r="A161" s="2" t="s">
        <v>367</v>
      </c>
      <c r="B161" s="7">
        <v>4.2350474106491509E-2</v>
      </c>
      <c r="C161" s="7">
        <v>1.0285866951643019E-2</v>
      </c>
      <c r="D161" s="7">
        <v>-1.7667844522968323E-2</v>
      </c>
      <c r="E161" s="7">
        <v>-4.9603174603174427E-3</v>
      </c>
      <c r="F161" s="7">
        <v>7.7996845425867267E-3</v>
      </c>
      <c r="G161" s="7"/>
      <c r="H161" s="7">
        <f t="shared" si="6"/>
        <v>3.4550789563904782E-2</v>
      </c>
      <c r="I161" s="7">
        <f t="shared" si="6"/>
        <v>2.4861824090562923E-3</v>
      </c>
      <c r="J161" s="7">
        <f t="shared" si="6"/>
        <v>-2.546752906555505E-2</v>
      </c>
      <c r="K161" s="7">
        <f t="shared" si="5"/>
        <v>-1.2760002002904169E-2</v>
      </c>
      <c r="L161" s="7"/>
    </row>
    <row r="162" spans="1:12" x14ac:dyDescent="0.25">
      <c r="A162" s="2" t="s">
        <v>368</v>
      </c>
      <c r="B162" s="7">
        <v>3.1796801505174166E-2</v>
      </c>
      <c r="C162" s="7">
        <v>6.0475742507728469E-3</v>
      </c>
      <c r="D162" s="7">
        <v>2.5362318840579823E-2</v>
      </c>
      <c r="E162" s="7">
        <v>8.2740360747957098E-4</v>
      </c>
      <c r="F162" s="7">
        <v>-7.9747078829839335E-4</v>
      </c>
      <c r="G162" s="7"/>
      <c r="H162" s="7">
        <f t="shared" si="6"/>
        <v>3.2594272293472559E-2</v>
      </c>
      <c r="I162" s="7">
        <f t="shared" si="6"/>
        <v>6.8450450390712403E-3</v>
      </c>
      <c r="J162" s="7">
        <f t="shared" si="6"/>
        <v>2.6159789628878216E-2</v>
      </c>
      <c r="K162" s="7">
        <f t="shared" si="5"/>
        <v>1.6248743957779643E-3</v>
      </c>
      <c r="L162" s="7"/>
    </row>
    <row r="163" spans="1:12" x14ac:dyDescent="0.25">
      <c r="A163" s="2" t="s">
        <v>369</v>
      </c>
      <c r="B163" s="7">
        <v>5.0914483440434921E-2</v>
      </c>
      <c r="C163" s="7">
        <v>4.8615800135043408E-3</v>
      </c>
      <c r="D163" s="7">
        <v>-2.1276595744680882E-2</v>
      </c>
      <c r="E163" s="7">
        <v>3.2638414217361467E-2</v>
      </c>
      <c r="F163" s="7">
        <v>7.2818886237755454E-3</v>
      </c>
      <c r="G163" s="7"/>
      <c r="H163" s="7">
        <f t="shared" si="6"/>
        <v>4.3632594816659376E-2</v>
      </c>
      <c r="I163" s="7">
        <f t="shared" si="6"/>
        <v>-2.4203086102712046E-3</v>
      </c>
      <c r="J163" s="7">
        <f t="shared" si="6"/>
        <v>-2.8558484368456427E-2</v>
      </c>
      <c r="K163" s="7">
        <f t="shared" si="5"/>
        <v>2.5356525593585921E-2</v>
      </c>
      <c r="L163" s="7"/>
    </row>
    <row r="164" spans="1:12" x14ac:dyDescent="0.25">
      <c r="A164" s="2" t="s">
        <v>370</v>
      </c>
      <c r="B164" s="7">
        <v>-2.1210476989097504E-3</v>
      </c>
      <c r="C164" s="7">
        <v>1.5009252278801899E-2</v>
      </c>
      <c r="D164" s="7">
        <v>2.9197080291970767E-2</v>
      </c>
      <c r="E164" s="7">
        <v>-3.9148936170212423E-3</v>
      </c>
      <c r="F164" s="7">
        <v>-4.8578659513360822E-3</v>
      </c>
      <c r="G164" s="7"/>
      <c r="H164" s="7">
        <f t="shared" si="6"/>
        <v>2.7368182524263318E-3</v>
      </c>
      <c r="I164" s="7">
        <f t="shared" si="6"/>
        <v>1.9867118230137981E-2</v>
      </c>
      <c r="J164" s="7">
        <f t="shared" si="6"/>
        <v>3.4054946243306849E-2</v>
      </c>
      <c r="K164" s="7">
        <f t="shared" si="5"/>
        <v>9.4297233431483996E-4</v>
      </c>
      <c r="L164" s="7"/>
    </row>
    <row r="165" spans="1:12" x14ac:dyDescent="0.25">
      <c r="A165" s="2" t="s">
        <v>35</v>
      </c>
      <c r="B165" s="7">
        <v>4.757892650046891E-3</v>
      </c>
      <c r="C165" s="7">
        <v>2.4001684328724737E-2</v>
      </c>
      <c r="D165" s="7">
        <v>2.621722846441954E-2</v>
      </c>
      <c r="E165" s="7">
        <v>3.6730161441873577E-3</v>
      </c>
      <c r="F165" s="7">
        <v>1.473707159815385E-2</v>
      </c>
      <c r="G165" s="7"/>
      <c r="H165" s="7">
        <f t="shared" si="6"/>
        <v>-9.9791789481069593E-3</v>
      </c>
      <c r="I165" s="7">
        <f t="shared" si="6"/>
        <v>9.264612730570887E-3</v>
      </c>
      <c r="J165" s="7">
        <f t="shared" si="6"/>
        <v>1.1480156866265689E-2</v>
      </c>
      <c r="K165" s="7">
        <f t="shared" si="5"/>
        <v>-1.1064055453966493E-2</v>
      </c>
      <c r="L165" s="7"/>
    </row>
    <row r="166" spans="1:12" x14ac:dyDescent="0.25">
      <c r="A166" s="2" t="s">
        <v>371</v>
      </c>
      <c r="B166" s="7">
        <v>-2.4983086885087435E-2</v>
      </c>
      <c r="C166" s="7">
        <v>-3.2260255365389789E-2</v>
      </c>
      <c r="D166" s="7">
        <v>-1.4760147601476037E-2</v>
      </c>
      <c r="E166" s="7">
        <v>-2.9511730083727095E-2</v>
      </c>
      <c r="F166" s="7">
        <v>-1.5992074947274171E-2</v>
      </c>
      <c r="G166" s="7"/>
      <c r="H166" s="7">
        <f t="shared" si="6"/>
        <v>-8.9910119378132647E-3</v>
      </c>
      <c r="I166" s="7">
        <f t="shared" si="6"/>
        <v>-1.6268180418115619E-2</v>
      </c>
      <c r="J166" s="7">
        <f t="shared" si="6"/>
        <v>1.2319273457981339E-3</v>
      </c>
      <c r="K166" s="7">
        <f t="shared" si="5"/>
        <v>-1.3519655136452924E-2</v>
      </c>
      <c r="L166" s="7"/>
    </row>
    <row r="167" spans="1:12" x14ac:dyDescent="0.25">
      <c r="A167" s="2" t="s">
        <v>372</v>
      </c>
      <c r="B167" s="7">
        <v>-7.101045964878594E-3</v>
      </c>
      <c r="C167" s="7">
        <v>1.7764567636690654E-2</v>
      </c>
      <c r="D167" s="7">
        <v>0</v>
      </c>
      <c r="E167" s="7">
        <v>2.768785142272967E-2</v>
      </c>
      <c r="F167" s="7">
        <v>-3.6948561190650597E-3</v>
      </c>
      <c r="G167" s="7"/>
      <c r="H167" s="7">
        <f t="shared" si="6"/>
        <v>-3.4061898458135342E-3</v>
      </c>
      <c r="I167" s="7">
        <f t="shared" si="6"/>
        <v>2.1459423755755713E-2</v>
      </c>
      <c r="J167" s="7">
        <f t="shared" si="6"/>
        <v>3.6948561190650597E-3</v>
      </c>
      <c r="K167" s="7">
        <f t="shared" si="5"/>
        <v>3.138270754179473E-2</v>
      </c>
      <c r="L167" s="7"/>
    </row>
    <row r="168" spans="1:12" x14ac:dyDescent="0.25">
      <c r="A168" s="2" t="s">
        <v>373</v>
      </c>
      <c r="B168" s="7">
        <v>-1.049233252623083E-2</v>
      </c>
      <c r="C168" s="7">
        <v>-3.4052213393870767E-2</v>
      </c>
      <c r="D168" s="7">
        <v>-1.0948905109489093E-2</v>
      </c>
      <c r="E168" s="7">
        <v>-1.6588471849866004E-2</v>
      </c>
      <c r="F168" s="7">
        <v>-1.249438851269713E-3</v>
      </c>
      <c r="G168" s="7"/>
      <c r="H168" s="7">
        <f t="shared" si="6"/>
        <v>-9.2428936749611168E-3</v>
      </c>
      <c r="I168" s="7">
        <f t="shared" si="6"/>
        <v>-3.2802774542601054E-2</v>
      </c>
      <c r="J168" s="7">
        <f t="shared" si="6"/>
        <v>-9.6994662582193802E-3</v>
      </c>
      <c r="K168" s="7">
        <f t="shared" si="5"/>
        <v>-1.5339032998596291E-2</v>
      </c>
      <c r="L168" s="7"/>
    </row>
    <row r="169" spans="1:12" x14ac:dyDescent="0.25">
      <c r="A169" s="2" t="s">
        <v>374</v>
      </c>
      <c r="B169" s="7">
        <v>-1.2980318650421818E-2</v>
      </c>
      <c r="C169" s="7">
        <v>-1.7329867359860973E-3</v>
      </c>
      <c r="D169" s="7">
        <v>7.3529411764705621E-3</v>
      </c>
      <c r="E169" s="7">
        <v>-2.2840769545640627E-2</v>
      </c>
      <c r="F169" s="7">
        <v>-2.9594179446209568E-3</v>
      </c>
      <c r="G169" s="7"/>
      <c r="H169" s="7">
        <f t="shared" si="6"/>
        <v>-1.0020900705800861E-2</v>
      </c>
      <c r="I169" s="7">
        <f t="shared" si="6"/>
        <v>1.2264312086348594E-3</v>
      </c>
      <c r="J169" s="7">
        <f t="shared" si="6"/>
        <v>1.0312359121091519E-2</v>
      </c>
      <c r="K169" s="7">
        <f t="shared" si="5"/>
        <v>-1.988135160101967E-2</v>
      </c>
      <c r="L169" s="7"/>
    </row>
    <row r="170" spans="1:12" x14ac:dyDescent="0.25">
      <c r="A170" s="2" t="s">
        <v>36</v>
      </c>
      <c r="B170" s="7">
        <v>7.9726117338085878E-4</v>
      </c>
      <c r="C170" s="7">
        <v>5.1587833311002029E-3</v>
      </c>
      <c r="D170" s="7">
        <v>2.6415094339622858E-2</v>
      </c>
      <c r="E170" s="7">
        <v>1.7662251103890636E-2</v>
      </c>
      <c r="F170" s="7">
        <v>1.7687645570885202E-4</v>
      </c>
      <c r="G170" s="7"/>
      <c r="H170" s="7">
        <f t="shared" si="6"/>
        <v>6.2038471767200676E-4</v>
      </c>
      <c r="I170" s="7">
        <f t="shared" si="6"/>
        <v>4.9819068753913509E-3</v>
      </c>
      <c r="J170" s="7">
        <f t="shared" si="6"/>
        <v>2.6238217883914006E-2</v>
      </c>
      <c r="K170" s="7">
        <f t="shared" si="5"/>
        <v>1.7485374648181784E-2</v>
      </c>
      <c r="L170" s="7"/>
    </row>
    <row r="171" spans="1:12" x14ac:dyDescent="0.25">
      <c r="A171" s="2" t="s">
        <v>375</v>
      </c>
      <c r="B171" s="7">
        <v>5.6308948430383587E-4</v>
      </c>
      <c r="C171" s="7">
        <v>1.3168612544121716E-2</v>
      </c>
      <c r="D171" s="7">
        <v>-1.4869888475836479E-2</v>
      </c>
      <c r="E171" s="7">
        <v>-9.2447379281882514E-3</v>
      </c>
      <c r="F171" s="7">
        <v>3.9743217016194876E-3</v>
      </c>
      <c r="G171" s="7"/>
      <c r="H171" s="7">
        <f t="shared" si="6"/>
        <v>-3.4112322173156517E-3</v>
      </c>
      <c r="I171" s="7">
        <f t="shared" si="6"/>
        <v>9.1942908425022285E-3</v>
      </c>
      <c r="J171" s="7">
        <f t="shared" si="6"/>
        <v>-1.8844210177455967E-2</v>
      </c>
      <c r="K171" s="7">
        <f t="shared" si="5"/>
        <v>-1.3219059629807739E-2</v>
      </c>
      <c r="L171" s="7"/>
    </row>
    <row r="172" spans="1:12" x14ac:dyDescent="0.25">
      <c r="A172" s="2" t="s">
        <v>376</v>
      </c>
      <c r="B172" s="7">
        <v>-1.8266978922716337E-3</v>
      </c>
      <c r="C172" s="7">
        <v>-1.0079290417954523E-2</v>
      </c>
      <c r="D172" s="7">
        <v>-3.7037037037037646E-3</v>
      </c>
      <c r="E172" s="7">
        <v>-1.1665850872899286E-2</v>
      </c>
      <c r="F172" s="7">
        <v>6.9823287324410899E-4</v>
      </c>
      <c r="G172" s="7"/>
      <c r="H172" s="7">
        <f t="shared" si="6"/>
        <v>-2.5249307655157427E-3</v>
      </c>
      <c r="I172" s="7">
        <f t="shared" si="6"/>
        <v>-1.0777523291198632E-2</v>
      </c>
      <c r="J172" s="7">
        <f t="shared" si="6"/>
        <v>-4.4019365769478735E-3</v>
      </c>
      <c r="K172" s="7">
        <f t="shared" si="5"/>
        <v>-1.2364083746143395E-2</v>
      </c>
      <c r="L172" s="7"/>
    </row>
    <row r="173" spans="1:12" x14ac:dyDescent="0.25">
      <c r="A173" s="2" t="s">
        <v>377</v>
      </c>
      <c r="B173" s="7">
        <v>-1.1695906432748204E-3</v>
      </c>
      <c r="C173" s="7">
        <v>-2.4800589851866617E-3</v>
      </c>
      <c r="D173" s="7">
        <v>3.0534351145038219E-2</v>
      </c>
      <c r="E173" s="7">
        <v>1.5491674260624588E-2</v>
      </c>
      <c r="F173" s="7">
        <v>7.8118809056646477E-3</v>
      </c>
      <c r="G173" s="7"/>
      <c r="H173" s="7">
        <f t="shared" si="6"/>
        <v>-8.9814715489394681E-3</v>
      </c>
      <c r="I173" s="7">
        <f t="shared" si="6"/>
        <v>-1.0291939890851309E-2</v>
      </c>
      <c r="J173" s="7">
        <f t="shared" si="6"/>
        <v>2.2722470239373571E-2</v>
      </c>
      <c r="K173" s="7">
        <f t="shared" si="5"/>
        <v>7.6797933549599406E-3</v>
      </c>
      <c r="L173" s="7"/>
    </row>
    <row r="174" spans="1:12" x14ac:dyDescent="0.25">
      <c r="A174" s="2" t="s">
        <v>378</v>
      </c>
      <c r="B174" s="7">
        <v>9.0162386706948983E-3</v>
      </c>
      <c r="C174" s="7">
        <v>-1.0610783208435559E-2</v>
      </c>
      <c r="D174" s="7">
        <v>7.692307692307665E-3</v>
      </c>
      <c r="E174" s="7">
        <v>3.6584351874948684E-3</v>
      </c>
      <c r="F174" s="7">
        <v>6.3752854605425568E-4</v>
      </c>
      <c r="G174" s="7"/>
      <c r="H174" s="7">
        <f t="shared" si="6"/>
        <v>8.3787101246406426E-3</v>
      </c>
      <c r="I174" s="7">
        <f t="shared" si="6"/>
        <v>-1.1248311754489815E-2</v>
      </c>
      <c r="J174" s="7">
        <f t="shared" si="6"/>
        <v>7.0547791462534093E-3</v>
      </c>
      <c r="K174" s="7">
        <f t="shared" si="5"/>
        <v>3.0209066414406127E-3</v>
      </c>
      <c r="L174" s="7"/>
    </row>
    <row r="175" spans="1:12" x14ac:dyDescent="0.25">
      <c r="A175" s="2" t="s">
        <v>37</v>
      </c>
      <c r="B175" s="7">
        <v>6.1745986510877149E-3</v>
      </c>
      <c r="C175" s="7">
        <v>-2.6456776241815527E-3</v>
      </c>
      <c r="D175" s="7">
        <v>0</v>
      </c>
      <c r="E175" s="7">
        <v>3.3269566663896022E-4</v>
      </c>
      <c r="F175" s="7">
        <v>1.3991255862113583E-3</v>
      </c>
      <c r="G175" s="7"/>
      <c r="H175" s="7">
        <f t="shared" si="6"/>
        <v>4.7754730648763566E-3</v>
      </c>
      <c r="I175" s="7">
        <f t="shared" si="6"/>
        <v>-4.044803210392911E-3</v>
      </c>
      <c r="J175" s="7">
        <f t="shared" si="6"/>
        <v>-1.3991255862113583E-3</v>
      </c>
      <c r="K175" s="7">
        <f t="shared" si="5"/>
        <v>-1.0664299195723981E-3</v>
      </c>
      <c r="L175" s="7"/>
    </row>
    <row r="176" spans="1:12" x14ac:dyDescent="0.25">
      <c r="A176" s="2" t="s">
        <v>379</v>
      </c>
      <c r="B176" s="7">
        <v>5.5401662049860967E-3</v>
      </c>
      <c r="C176" s="7">
        <v>-3.6576817689415675E-2</v>
      </c>
      <c r="D176" s="7">
        <v>-1.8867924528301772E-2</v>
      </c>
      <c r="E176" s="7">
        <v>2.4978687127024779E-2</v>
      </c>
      <c r="F176" s="7">
        <v>-9.0514120202667137E-5</v>
      </c>
      <c r="G176" s="7"/>
      <c r="H176" s="7">
        <f t="shared" si="6"/>
        <v>5.6306803251887638E-3</v>
      </c>
      <c r="I176" s="7">
        <f t="shared" si="6"/>
        <v>-3.6486303569213008E-2</v>
      </c>
      <c r="J176" s="7">
        <f t="shared" si="6"/>
        <v>-1.8777410408099104E-2</v>
      </c>
      <c r="K176" s="7">
        <f t="shared" si="5"/>
        <v>2.5069201247227446E-2</v>
      </c>
      <c r="L176" s="7"/>
    </row>
    <row r="177" spans="1:12" x14ac:dyDescent="0.25">
      <c r="A177" s="2" t="s">
        <v>380</v>
      </c>
      <c r="B177" s="7">
        <v>-6.6819396716311097E-4</v>
      </c>
      <c r="C177" s="7">
        <v>9.3908792693124798E-3</v>
      </c>
      <c r="D177" s="7">
        <v>1.5325670498084198E-2</v>
      </c>
      <c r="E177" s="7">
        <v>1.3566058930268632E-2</v>
      </c>
      <c r="F177" s="7">
        <v>5.3738205852771337E-3</v>
      </c>
      <c r="G177" s="7"/>
      <c r="H177" s="7">
        <f t="shared" si="6"/>
        <v>-6.0420145524402447E-3</v>
      </c>
      <c r="I177" s="7">
        <f t="shared" si="6"/>
        <v>4.0170586840353462E-3</v>
      </c>
      <c r="J177" s="7">
        <f t="shared" si="6"/>
        <v>9.9518499128070648E-3</v>
      </c>
      <c r="K177" s="7">
        <f t="shared" si="5"/>
        <v>8.1922383449914982E-3</v>
      </c>
      <c r="L177" s="7"/>
    </row>
    <row r="178" spans="1:12" x14ac:dyDescent="0.25">
      <c r="A178" s="2" t="s">
        <v>381</v>
      </c>
      <c r="B178" s="7">
        <v>4.9884881043746887E-3</v>
      </c>
      <c r="C178" s="7">
        <v>6.2131900847841592E-3</v>
      </c>
      <c r="D178" s="7">
        <v>3.8461538461538325E-3</v>
      </c>
      <c r="E178" s="7">
        <v>-1.0601008805676604E-2</v>
      </c>
      <c r="F178" s="7">
        <v>3.193588478737075E-3</v>
      </c>
      <c r="G178" s="7"/>
      <c r="H178" s="7">
        <f t="shared" si="6"/>
        <v>1.7948996256376137E-3</v>
      </c>
      <c r="I178" s="7">
        <f t="shared" si="6"/>
        <v>3.0196016060470843E-3</v>
      </c>
      <c r="J178" s="7">
        <f t="shared" si="6"/>
        <v>6.5256536741675752E-4</v>
      </c>
      <c r="K178" s="7">
        <f t="shared" si="5"/>
        <v>-1.3794597284413679E-2</v>
      </c>
      <c r="L178" s="7"/>
    </row>
    <row r="179" spans="1:12" x14ac:dyDescent="0.25">
      <c r="A179" s="2" t="s">
        <v>382</v>
      </c>
      <c r="B179" s="7">
        <v>2.3558824943505918E-3</v>
      </c>
      <c r="C179" s="7">
        <v>-8.3434952827161624E-3</v>
      </c>
      <c r="D179" s="7">
        <v>-1.8867924528301772E-2</v>
      </c>
      <c r="E179" s="7">
        <v>8.0853816300129333E-2</v>
      </c>
      <c r="F179" s="7">
        <v>-3.9562515154996092E-3</v>
      </c>
      <c r="G179" s="7"/>
      <c r="H179" s="7">
        <f t="shared" si="6"/>
        <v>6.312134009850201E-3</v>
      </c>
      <c r="I179" s="7">
        <f t="shared" si="6"/>
        <v>-4.3872437672165532E-3</v>
      </c>
      <c r="J179" s="7">
        <f t="shared" si="6"/>
        <v>-1.4911673012802162E-2</v>
      </c>
      <c r="K179" s="7">
        <f t="shared" si="5"/>
        <v>8.4810067815628942E-2</v>
      </c>
      <c r="L179" s="7"/>
    </row>
    <row r="180" spans="1:12" x14ac:dyDescent="0.25">
      <c r="A180" s="2" t="s">
        <v>38</v>
      </c>
      <c r="B180" s="7">
        <v>-1.2017860535816105E-2</v>
      </c>
      <c r="C180" s="7">
        <v>1.3266566950640435E-2</v>
      </c>
      <c r="D180" s="7">
        <v>-3.7593984962407401E-3</v>
      </c>
      <c r="E180" s="7">
        <v>1.4055472263868163E-2</v>
      </c>
      <c r="F180" s="7">
        <v>1.4074044490595128E-3</v>
      </c>
      <c r="G180" s="7"/>
      <c r="H180" s="7">
        <f t="shared" si="6"/>
        <v>-1.3425264984875618E-2</v>
      </c>
      <c r="I180" s="7">
        <f t="shared" si="6"/>
        <v>1.1859162501580922E-2</v>
      </c>
      <c r="J180" s="7">
        <f t="shared" si="6"/>
        <v>-5.1668029453002529E-3</v>
      </c>
      <c r="K180" s="7">
        <f t="shared" si="5"/>
        <v>1.264806781480865E-2</v>
      </c>
      <c r="L180" s="7"/>
    </row>
    <row r="181" spans="1:12" x14ac:dyDescent="0.25">
      <c r="A181" s="2" t="s">
        <v>383</v>
      </c>
      <c r="B181" s="7">
        <v>-5.9026302120225305E-3</v>
      </c>
      <c r="C181" s="7">
        <v>-9.4053984410228386E-3</v>
      </c>
      <c r="D181" s="7">
        <v>7.575757575757569E-3</v>
      </c>
      <c r="E181" s="7">
        <v>7.5018754688671585E-4</v>
      </c>
      <c r="F181" s="7">
        <v>-3.2975291618766445E-3</v>
      </c>
      <c r="G181" s="7"/>
      <c r="H181" s="7">
        <f t="shared" si="6"/>
        <v>-2.605101050145886E-3</v>
      </c>
      <c r="I181" s="7">
        <f t="shared" si="6"/>
        <v>-6.1078692791461942E-3</v>
      </c>
      <c r="J181" s="7">
        <f t="shared" si="6"/>
        <v>1.0873286737634213E-2</v>
      </c>
      <c r="K181" s="7">
        <f t="shared" si="5"/>
        <v>4.0477167087633603E-3</v>
      </c>
      <c r="L181" s="7"/>
    </row>
    <row r="182" spans="1:12" x14ac:dyDescent="0.25">
      <c r="A182" s="2" t="s">
        <v>384</v>
      </c>
      <c r="B182" s="7">
        <v>6.0332541567695852E-3</v>
      </c>
      <c r="C182" s="7">
        <v>8.5764407770774209E-3</v>
      </c>
      <c r="D182" s="7">
        <v>2.7237354085603238E-2</v>
      </c>
      <c r="E182" s="7">
        <v>2.706346913223534E-2</v>
      </c>
      <c r="F182" s="7">
        <v>2.7461737178402501E-3</v>
      </c>
      <c r="G182" s="7"/>
      <c r="H182" s="7">
        <f t="shared" si="6"/>
        <v>3.2870804389293351E-3</v>
      </c>
      <c r="I182" s="7">
        <f t="shared" si="6"/>
        <v>5.8302670592371708E-3</v>
      </c>
      <c r="J182" s="7">
        <f t="shared" si="6"/>
        <v>2.4491180367762988E-2</v>
      </c>
      <c r="K182" s="7">
        <f t="shared" si="5"/>
        <v>2.431729541439509E-2</v>
      </c>
      <c r="L182" s="7"/>
    </row>
    <row r="183" spans="1:12" x14ac:dyDescent="0.25">
      <c r="A183" s="2" t="s">
        <v>385</v>
      </c>
      <c r="B183" s="7">
        <v>5.3971438123894266E-3</v>
      </c>
      <c r="C183" s="7">
        <v>1.4568226763348679E-2</v>
      </c>
      <c r="D183" s="7">
        <v>-2.6515151515151603E-2</v>
      </c>
      <c r="E183" s="7">
        <v>-3.8522085378275728E-2</v>
      </c>
      <c r="F183" s="7">
        <v>6.0621442064276998E-3</v>
      </c>
      <c r="G183" s="7"/>
      <c r="H183" s="7">
        <f t="shared" si="6"/>
        <v>-6.6500039403827316E-4</v>
      </c>
      <c r="I183" s="7">
        <f t="shared" si="6"/>
        <v>8.5060825569209797E-3</v>
      </c>
      <c r="J183" s="7">
        <f t="shared" si="6"/>
        <v>-3.2577295721579302E-2</v>
      </c>
      <c r="K183" s="7">
        <f t="shared" si="5"/>
        <v>-4.4584229584703428E-2</v>
      </c>
      <c r="L183" s="7"/>
    </row>
    <row r="184" spans="1:12" x14ac:dyDescent="0.25">
      <c r="A184" s="2" t="s">
        <v>386</v>
      </c>
      <c r="B184" s="7">
        <v>2.8665615594092309E-4</v>
      </c>
      <c r="C184" s="7">
        <v>1.254839140301689E-2</v>
      </c>
      <c r="D184" s="7">
        <v>-7.5187969924812581E-3</v>
      </c>
      <c r="E184" s="7">
        <v>1.6185188670367889E-2</v>
      </c>
      <c r="F184" s="7">
        <v>-7.1589314893449885E-4</v>
      </c>
      <c r="G184" s="7"/>
      <c r="H184" s="7">
        <f t="shared" si="6"/>
        <v>1.0025493048754219E-3</v>
      </c>
      <c r="I184" s="7">
        <f t="shared" si="6"/>
        <v>1.3264284551951389E-2</v>
      </c>
      <c r="J184" s="7">
        <f t="shared" si="6"/>
        <v>-6.8029038435467593E-3</v>
      </c>
      <c r="K184" s="7">
        <f t="shared" si="5"/>
        <v>1.6901081819302388E-2</v>
      </c>
      <c r="L184" s="7"/>
    </row>
    <row r="185" spans="1:12" x14ac:dyDescent="0.25">
      <c r="A185" s="2" t="s">
        <v>39</v>
      </c>
      <c r="B185" s="7">
        <v>-1.6862376702677317E-2</v>
      </c>
      <c r="C185" s="7">
        <v>-7.2228480551321805E-3</v>
      </c>
      <c r="D185" s="7">
        <v>1.1406844106463865E-2</v>
      </c>
      <c r="E185" s="7">
        <v>-2.2355105795768271E-2</v>
      </c>
      <c r="F185" s="7">
        <v>-7.8622787390415505E-3</v>
      </c>
      <c r="G185" s="7"/>
      <c r="H185" s="7">
        <f t="shared" si="6"/>
        <v>-9.000097963635767E-3</v>
      </c>
      <c r="I185" s="7">
        <f t="shared" si="6"/>
        <v>6.3943068390936997E-4</v>
      </c>
      <c r="J185" s="7">
        <f t="shared" si="6"/>
        <v>1.9269122845505415E-2</v>
      </c>
      <c r="K185" s="7">
        <f t="shared" si="5"/>
        <v>-1.449282705672672E-2</v>
      </c>
      <c r="L185" s="7"/>
    </row>
    <row r="186" spans="1:12" x14ac:dyDescent="0.25">
      <c r="A186" s="2" t="s">
        <v>387</v>
      </c>
      <c r="B186" s="7">
        <v>5.193578847969782E-3</v>
      </c>
      <c r="C186" s="7">
        <v>-6.6482359136387226E-3</v>
      </c>
      <c r="D186" s="7">
        <v>1.1538461538461497E-2</v>
      </c>
      <c r="E186" s="7">
        <v>-1.815554150483234E-2</v>
      </c>
      <c r="F186" s="7">
        <v>8.33892687501403E-3</v>
      </c>
      <c r="G186" s="7"/>
      <c r="H186" s="7">
        <f t="shared" si="6"/>
        <v>-3.145348027044248E-3</v>
      </c>
      <c r="I186" s="7">
        <f t="shared" si="6"/>
        <v>-1.4987162788652753E-2</v>
      </c>
      <c r="J186" s="7">
        <f t="shared" si="6"/>
        <v>3.1995346634474675E-3</v>
      </c>
      <c r="K186" s="7">
        <f t="shared" si="5"/>
        <v>-2.649446837984637E-2</v>
      </c>
      <c r="L186" s="7"/>
    </row>
    <row r="187" spans="1:12" x14ac:dyDescent="0.25">
      <c r="A187" s="2" t="s">
        <v>388</v>
      </c>
      <c r="B187" s="7">
        <v>2.225010859597476E-2</v>
      </c>
      <c r="C187" s="7">
        <v>9.8833761612948656E-4</v>
      </c>
      <c r="D187" s="7">
        <v>2.7667984189723382E-2</v>
      </c>
      <c r="E187" s="7">
        <v>-2.8604018601386394E-2</v>
      </c>
      <c r="F187" s="7">
        <v>4.7450714019499074E-3</v>
      </c>
      <c r="G187" s="7"/>
      <c r="H187" s="7">
        <f t="shared" si="6"/>
        <v>1.7505037194024853E-2</v>
      </c>
      <c r="I187" s="7">
        <f t="shared" si="6"/>
        <v>-3.7567337858204208E-3</v>
      </c>
      <c r="J187" s="7">
        <f t="shared" si="6"/>
        <v>2.2922912787773475E-2</v>
      </c>
      <c r="K187" s="7">
        <f t="shared" si="5"/>
        <v>-3.3349090003336301E-2</v>
      </c>
      <c r="L187" s="7"/>
    </row>
    <row r="188" spans="1:12" x14ac:dyDescent="0.25">
      <c r="A188" s="2" t="s">
        <v>389</v>
      </c>
      <c r="B188" s="7">
        <v>1.2906379858225403E-2</v>
      </c>
      <c r="C188" s="7">
        <v>1.0318199973372355E-2</v>
      </c>
      <c r="D188" s="7">
        <v>-7.8431372549019329E-3</v>
      </c>
      <c r="E188" s="7">
        <v>4.937836169649934E-3</v>
      </c>
      <c r="F188" s="7">
        <v>-1.1184618731818752E-3</v>
      </c>
      <c r="G188" s="7"/>
      <c r="H188" s="7">
        <f t="shared" si="6"/>
        <v>1.4024841731407278E-2</v>
      </c>
      <c r="I188" s="7">
        <f t="shared" si="6"/>
        <v>1.143666184655423E-2</v>
      </c>
      <c r="J188" s="7">
        <f t="shared" si="6"/>
        <v>-6.7246753817200577E-3</v>
      </c>
      <c r="K188" s="7">
        <f t="shared" si="5"/>
        <v>6.0562980428318092E-3</v>
      </c>
      <c r="L188" s="7"/>
    </row>
    <row r="189" spans="1:12" x14ac:dyDescent="0.25">
      <c r="A189" s="2" t="s">
        <v>40</v>
      </c>
      <c r="B189" s="7">
        <v>2.0352172394872081E-2</v>
      </c>
      <c r="C189" s="7">
        <v>1.4666666666667272E-3</v>
      </c>
      <c r="D189" s="7">
        <v>-2.6717557251908497E-2</v>
      </c>
      <c r="E189" s="7">
        <v>-5.8730715287517166E-3</v>
      </c>
      <c r="F189" s="7">
        <v>5.1643671625301035E-3</v>
      </c>
      <c r="G189" s="7"/>
      <c r="H189" s="7">
        <f t="shared" si="6"/>
        <v>1.5187805232341978E-2</v>
      </c>
      <c r="I189" s="7">
        <f t="shared" si="6"/>
        <v>-3.6977004958633763E-3</v>
      </c>
      <c r="J189" s="7">
        <f t="shared" si="6"/>
        <v>-3.18819244144386E-2</v>
      </c>
      <c r="K189" s="7">
        <f t="shared" si="5"/>
        <v>-1.103743869128182E-2</v>
      </c>
      <c r="L189" s="7"/>
    </row>
    <row r="190" spans="1:12" x14ac:dyDescent="0.25">
      <c r="A190" s="2" t="s">
        <v>390</v>
      </c>
      <c r="B190" s="7">
        <v>3.9922151803994943E-4</v>
      </c>
      <c r="C190" s="7">
        <v>8.3355740790536093E-3</v>
      </c>
      <c r="D190" s="7">
        <v>3.8314176245211051E-3</v>
      </c>
      <c r="E190" s="7">
        <v>1.3165979109979187E-3</v>
      </c>
      <c r="F190" s="7">
        <v>5.2190027063907518E-3</v>
      </c>
      <c r="G190" s="7"/>
      <c r="H190" s="7">
        <f t="shared" si="6"/>
        <v>-4.8197811883508024E-3</v>
      </c>
      <c r="I190" s="7">
        <f t="shared" si="6"/>
        <v>3.1165713726628574E-3</v>
      </c>
      <c r="J190" s="7">
        <f t="shared" si="6"/>
        <v>-1.3875850818696467E-3</v>
      </c>
      <c r="K190" s="7">
        <f t="shared" si="5"/>
        <v>-3.9024047953928331E-3</v>
      </c>
      <c r="L190" s="7"/>
    </row>
    <row r="191" spans="1:12" x14ac:dyDescent="0.25">
      <c r="A191" s="2" t="s">
        <v>391</v>
      </c>
      <c r="B191" s="7">
        <v>-2.7867628763373897E-3</v>
      </c>
      <c r="C191" s="7">
        <v>2.0371767610947167E-2</v>
      </c>
      <c r="D191" s="7">
        <v>-1.1363636363636465E-2</v>
      </c>
      <c r="E191" s="7">
        <v>-5.4124836316018499E-3</v>
      </c>
      <c r="F191" s="7">
        <v>8.0201439226810223E-3</v>
      </c>
      <c r="G191" s="7"/>
      <c r="H191" s="7">
        <f t="shared" si="6"/>
        <v>-1.0806906799018412E-2</v>
      </c>
      <c r="I191" s="7">
        <f t="shared" si="6"/>
        <v>1.2351623688266145E-2</v>
      </c>
      <c r="J191" s="7">
        <f t="shared" si="6"/>
        <v>-1.9383780286317487E-2</v>
      </c>
      <c r="K191" s="7">
        <f t="shared" si="5"/>
        <v>-1.3432627554282872E-2</v>
      </c>
      <c r="L191" s="7"/>
    </row>
    <row r="192" spans="1:12" x14ac:dyDescent="0.25">
      <c r="A192" s="2" t="s">
        <v>392</v>
      </c>
      <c r="B192" s="7">
        <v>6.3097801592468805E-3</v>
      </c>
      <c r="C192" s="7">
        <v>-1.4133080876386317E-2</v>
      </c>
      <c r="D192" s="7">
        <v>3.125E-2</v>
      </c>
      <c r="E192" s="7">
        <v>-2.1023844115887647E-2</v>
      </c>
      <c r="F192" s="7">
        <v>-3.282897091061443E-6</v>
      </c>
      <c r="G192" s="7"/>
      <c r="H192" s="7">
        <f t="shared" si="6"/>
        <v>6.313063056337942E-3</v>
      </c>
      <c r="I192" s="7">
        <f t="shared" si="6"/>
        <v>-1.4129797979295255E-2</v>
      </c>
      <c r="J192" s="7">
        <f t="shared" si="6"/>
        <v>3.1253282897091061E-2</v>
      </c>
      <c r="K192" s="7">
        <f t="shared" si="5"/>
        <v>-2.1020561218796585E-2</v>
      </c>
      <c r="L192" s="7"/>
    </row>
    <row r="193" spans="1:12" x14ac:dyDescent="0.25">
      <c r="A193" s="2" t="s">
        <v>393</v>
      </c>
      <c r="B193" s="7">
        <v>-5.9734182886156395E-3</v>
      </c>
      <c r="C193" s="7">
        <v>1.5380390002746491E-2</v>
      </c>
      <c r="D193" s="7">
        <v>-4.8327137546468335E-2</v>
      </c>
      <c r="E193" s="7">
        <v>3.4662658059952278E-2</v>
      </c>
      <c r="F193" s="7">
        <v>1.1121677894565751E-2</v>
      </c>
      <c r="G193" s="7"/>
      <c r="H193" s="7">
        <f t="shared" si="6"/>
        <v>-1.7095096183181391E-2</v>
      </c>
      <c r="I193" s="7">
        <f t="shared" si="6"/>
        <v>4.25871210818074E-3</v>
      </c>
      <c r="J193" s="7">
        <f t="shared" si="6"/>
        <v>-5.9448815441034086E-2</v>
      </c>
      <c r="K193" s="7">
        <f t="shared" si="5"/>
        <v>2.3540980165386527E-2</v>
      </c>
      <c r="L193" s="7"/>
    </row>
    <row r="194" spans="1:12" x14ac:dyDescent="0.25">
      <c r="A194" s="2" t="s">
        <v>41</v>
      </c>
      <c r="B194" s="7">
        <v>2.4951344877488513E-3</v>
      </c>
      <c r="C194" s="7">
        <v>2.4767801857584981E-2</v>
      </c>
      <c r="D194" s="7">
        <v>7.4906367041198685E-3</v>
      </c>
      <c r="E194" s="7">
        <v>7.0790195557912661E-4</v>
      </c>
      <c r="F194" s="7">
        <v>9.6064907906379116E-3</v>
      </c>
      <c r="G194" s="7"/>
      <c r="H194" s="7">
        <f t="shared" si="6"/>
        <v>-7.1113563028890603E-3</v>
      </c>
      <c r="I194" s="7">
        <f t="shared" si="6"/>
        <v>1.516131106694707E-2</v>
      </c>
      <c r="J194" s="7">
        <f t="shared" si="6"/>
        <v>-2.1158540865180431E-3</v>
      </c>
      <c r="K194" s="7">
        <f t="shared" si="6"/>
        <v>-8.898588835058785E-3</v>
      </c>
      <c r="L194" s="7"/>
    </row>
    <row r="195" spans="1:12" x14ac:dyDescent="0.25">
      <c r="A195" s="2" t="s">
        <v>394</v>
      </c>
      <c r="B195" s="7">
        <v>2.2502296152668633E-2</v>
      </c>
      <c r="C195" s="7">
        <v>1.0667045939411146E-2</v>
      </c>
      <c r="D195" s="7">
        <v>-3.2608695652173836E-2</v>
      </c>
      <c r="E195" s="7">
        <v>-4.2294475284164745E-3</v>
      </c>
      <c r="F195" s="7">
        <v>-2.1786128105107938E-3</v>
      </c>
      <c r="G195" s="7"/>
      <c r="H195" s="7">
        <f t="shared" ref="H195:K258" si="7">B195-$F195</f>
        <v>2.4680908963179427E-2</v>
      </c>
      <c r="I195" s="7">
        <f t="shared" si="7"/>
        <v>1.284565874992194E-2</v>
      </c>
      <c r="J195" s="7">
        <f t="shared" si="7"/>
        <v>-3.0430082841663042E-2</v>
      </c>
      <c r="K195" s="7">
        <f t="shared" si="7"/>
        <v>-2.0508347179056807E-3</v>
      </c>
      <c r="L195" s="7"/>
    </row>
    <row r="196" spans="1:12" x14ac:dyDescent="0.25">
      <c r="A196" s="2" t="s">
        <v>395</v>
      </c>
      <c r="B196" s="7">
        <v>4.7680082030248094E-3</v>
      </c>
      <c r="C196" s="7">
        <v>2.1379703534778471E-3</v>
      </c>
      <c r="D196" s="7">
        <v>-3.6101083032491488E-3</v>
      </c>
      <c r="E196" s="7">
        <v>-1.3387811875163025E-2</v>
      </c>
      <c r="F196" s="7">
        <v>-3.0922389816012696E-4</v>
      </c>
      <c r="G196" s="7"/>
      <c r="H196" s="7">
        <f t="shared" si="7"/>
        <v>5.0772321011849364E-3</v>
      </c>
      <c r="I196" s="7">
        <f t="shared" si="7"/>
        <v>2.4471942516379741E-3</v>
      </c>
      <c r="J196" s="7">
        <f t="shared" si="7"/>
        <v>-3.3008844050890218E-3</v>
      </c>
      <c r="K196" s="7">
        <f t="shared" si="7"/>
        <v>-1.3078587977002898E-2</v>
      </c>
      <c r="L196" s="7"/>
    </row>
    <row r="197" spans="1:12" x14ac:dyDescent="0.25">
      <c r="A197" s="2" t="s">
        <v>396</v>
      </c>
      <c r="B197" s="7">
        <v>-1.4002628652310056E-2</v>
      </c>
      <c r="C197" s="7">
        <v>-1.9700992035769138E-2</v>
      </c>
      <c r="D197" s="7">
        <v>2.9739776951672958E-2</v>
      </c>
      <c r="E197" s="7">
        <v>-8.0200068989305651E-3</v>
      </c>
      <c r="F197" s="7">
        <v>-8.3522428730786746E-3</v>
      </c>
      <c r="G197" s="7"/>
      <c r="H197" s="7">
        <f t="shared" si="7"/>
        <v>-5.6503857792313816E-3</v>
      </c>
      <c r="I197" s="7">
        <f t="shared" si="7"/>
        <v>-1.1348749162690464E-2</v>
      </c>
      <c r="J197" s="7">
        <f t="shared" si="7"/>
        <v>3.8092019824751633E-2</v>
      </c>
      <c r="K197" s="7">
        <f t="shared" si="7"/>
        <v>3.3223597414810957E-4</v>
      </c>
      <c r="L197" s="7"/>
    </row>
    <row r="198" spans="1:12" x14ac:dyDescent="0.25">
      <c r="A198" s="2" t="s">
        <v>42</v>
      </c>
      <c r="B198" s="7">
        <v>1.0058718406944056E-2</v>
      </c>
      <c r="C198" s="7">
        <v>1.9297870825321972E-2</v>
      </c>
      <c r="D198" s="7">
        <v>-2.1818181818181848E-2</v>
      </c>
      <c r="E198" s="7">
        <v>2.7376627979090795E-2</v>
      </c>
      <c r="F198" s="7">
        <v>9.3927190532994143E-3</v>
      </c>
      <c r="G198" s="7"/>
      <c r="H198" s="7">
        <f t="shared" si="7"/>
        <v>6.659993536446418E-4</v>
      </c>
      <c r="I198" s="7">
        <f t="shared" si="7"/>
        <v>9.9051517720225579E-3</v>
      </c>
      <c r="J198" s="7">
        <f t="shared" si="7"/>
        <v>-3.1210900871481262E-2</v>
      </c>
      <c r="K198" s="7">
        <f t="shared" si="7"/>
        <v>1.7983908925791381E-2</v>
      </c>
      <c r="L198" s="7"/>
    </row>
    <row r="199" spans="1:12" x14ac:dyDescent="0.25">
      <c r="A199" s="2" t="s">
        <v>397</v>
      </c>
      <c r="B199" s="7">
        <v>-1.3846928499496425E-2</v>
      </c>
      <c r="C199" s="7">
        <v>-1.6940847042351992E-2</v>
      </c>
      <c r="D199" s="7">
        <v>4.1666666666666519E-2</v>
      </c>
      <c r="E199" s="7">
        <v>-3.2155719430629448E-2</v>
      </c>
      <c r="F199" s="7">
        <v>-1.1296453750541779E-2</v>
      </c>
      <c r="G199" s="7"/>
      <c r="H199" s="7">
        <f t="shared" si="7"/>
        <v>-2.5504747489546453E-3</v>
      </c>
      <c r="I199" s="7">
        <f t="shared" si="7"/>
        <v>-5.6443932918102124E-3</v>
      </c>
      <c r="J199" s="7">
        <f t="shared" si="7"/>
        <v>5.2963120417208298E-2</v>
      </c>
      <c r="K199" s="7">
        <f t="shared" si="7"/>
        <v>-2.0859265680087669E-2</v>
      </c>
      <c r="L199" s="7"/>
    </row>
    <row r="200" spans="1:12" x14ac:dyDescent="0.25">
      <c r="A200" s="2" t="s">
        <v>398</v>
      </c>
      <c r="B200" s="7">
        <v>2.1192854980320863E-3</v>
      </c>
      <c r="C200" s="7">
        <v>-1.6320066106596864E-2</v>
      </c>
      <c r="D200" s="7">
        <v>1.538461538461533E-2</v>
      </c>
      <c r="E200" s="7">
        <v>-1.4451111298909747E-2</v>
      </c>
      <c r="F200" s="7">
        <v>3.8224979409655635E-3</v>
      </c>
      <c r="G200" s="7"/>
      <c r="H200" s="7">
        <f t="shared" si="7"/>
        <v>-1.7032124429334772E-3</v>
      </c>
      <c r="I200" s="7">
        <f t="shared" si="7"/>
        <v>-2.0142564047562428E-2</v>
      </c>
      <c r="J200" s="7">
        <f t="shared" si="7"/>
        <v>1.1562117443649766E-2</v>
      </c>
      <c r="K200" s="7">
        <f t="shared" si="7"/>
        <v>-1.827360923987531E-2</v>
      </c>
      <c r="L200" s="7"/>
    </row>
    <row r="201" spans="1:12" x14ac:dyDescent="0.25">
      <c r="A201" s="2" t="s">
        <v>399</v>
      </c>
      <c r="B201" s="7">
        <v>-1.9202217163218793E-2</v>
      </c>
      <c r="C201" s="7">
        <v>1.4602109969957366E-2</v>
      </c>
      <c r="D201" s="7">
        <v>3.8610038610038533E-3</v>
      </c>
      <c r="E201" s="7">
        <v>-1.2682519816437199E-2</v>
      </c>
      <c r="F201" s="7">
        <v>-2.7439180898224391E-3</v>
      </c>
      <c r="G201" s="7"/>
      <c r="H201" s="7">
        <f t="shared" si="7"/>
        <v>-1.6458299073396354E-2</v>
      </c>
      <c r="I201" s="7">
        <f t="shared" si="7"/>
        <v>1.7346028059779806E-2</v>
      </c>
      <c r="J201" s="7">
        <f t="shared" si="7"/>
        <v>6.6049219508262924E-3</v>
      </c>
      <c r="K201" s="7">
        <f t="shared" si="7"/>
        <v>-9.9386017266147597E-3</v>
      </c>
      <c r="L201" s="7"/>
    </row>
    <row r="202" spans="1:12" x14ac:dyDescent="0.25">
      <c r="A202" s="2" t="s">
        <v>400</v>
      </c>
      <c r="B202" s="7">
        <v>6.0744871539533118E-3</v>
      </c>
      <c r="C202" s="7">
        <v>5.7620687232098344E-3</v>
      </c>
      <c r="D202" s="7">
        <v>1.171875E-2</v>
      </c>
      <c r="E202" s="7">
        <v>3.2646911099949438E-3</v>
      </c>
      <c r="F202" s="7">
        <v>5.4829600325014827E-3</v>
      </c>
      <c r="G202" s="7"/>
      <c r="H202" s="7">
        <f t="shared" si="7"/>
        <v>5.9152712145182917E-4</v>
      </c>
      <c r="I202" s="7">
        <f t="shared" si="7"/>
        <v>2.7910869070835176E-4</v>
      </c>
      <c r="J202" s="7">
        <f t="shared" si="7"/>
        <v>6.2357899674985173E-3</v>
      </c>
      <c r="K202" s="7">
        <f t="shared" si="7"/>
        <v>-2.2182689225065388E-3</v>
      </c>
      <c r="L202" s="7"/>
    </row>
    <row r="203" spans="1:12" x14ac:dyDescent="0.25">
      <c r="A203" s="2" t="s">
        <v>43</v>
      </c>
      <c r="B203" s="7">
        <v>-1.2100344318740852E-2</v>
      </c>
      <c r="C203" s="7">
        <v>-8.7762067284250511E-3</v>
      </c>
      <c r="D203" s="7">
        <v>-1.5384615384615441E-2</v>
      </c>
      <c r="E203" s="7">
        <v>1.7546848381601254E-2</v>
      </c>
      <c r="F203" s="7">
        <v>9.1994480331192285E-4</v>
      </c>
      <c r="G203" s="7"/>
      <c r="H203" s="7">
        <f t="shared" si="7"/>
        <v>-1.3020289122052775E-2</v>
      </c>
      <c r="I203" s="7">
        <f t="shared" si="7"/>
        <v>-9.696151531736974E-3</v>
      </c>
      <c r="J203" s="7">
        <f t="shared" si="7"/>
        <v>-1.6304560187927364E-2</v>
      </c>
      <c r="K203" s="7">
        <f t="shared" si="7"/>
        <v>1.6626903578289332E-2</v>
      </c>
      <c r="L203" s="7"/>
    </row>
    <row r="204" spans="1:12" x14ac:dyDescent="0.25">
      <c r="A204" s="2" t="s">
        <v>401</v>
      </c>
      <c r="B204" s="7">
        <v>1.6398360163983661E-2</v>
      </c>
      <c r="C204" s="7">
        <v>-5.196784922394726E-3</v>
      </c>
      <c r="D204" s="7">
        <v>-3.8314176245209941E-3</v>
      </c>
      <c r="E204" s="7">
        <v>-4.8317368822581308E-3</v>
      </c>
      <c r="F204" s="7">
        <v>1.0280672806559643E-2</v>
      </c>
      <c r="G204" s="7"/>
      <c r="H204" s="7">
        <f t="shared" si="7"/>
        <v>6.1176873574240176E-3</v>
      </c>
      <c r="I204" s="7">
        <f t="shared" si="7"/>
        <v>-1.5477457728954369E-2</v>
      </c>
      <c r="J204" s="7">
        <f t="shared" si="7"/>
        <v>-1.4112090431080637E-2</v>
      </c>
      <c r="K204" s="7">
        <f t="shared" si="7"/>
        <v>-1.5112409688817774E-2</v>
      </c>
      <c r="L204" s="7"/>
    </row>
    <row r="205" spans="1:12" x14ac:dyDescent="0.25">
      <c r="A205" s="2" t="s">
        <v>402</v>
      </c>
      <c r="B205" s="7">
        <v>-1.0781404549950468E-2</v>
      </c>
      <c r="C205" s="7">
        <v>-3.7277371255006742E-3</v>
      </c>
      <c r="D205" s="7">
        <v>-7.6045627376425395E-3</v>
      </c>
      <c r="E205" s="7">
        <v>4.3419036267666744E-3</v>
      </c>
      <c r="F205" s="7">
        <v>-5.2773409302925289E-3</v>
      </c>
      <c r="G205" s="7"/>
      <c r="H205" s="7">
        <f t="shared" si="7"/>
        <v>-5.5040636196579396E-3</v>
      </c>
      <c r="I205" s="7">
        <f t="shared" si="7"/>
        <v>1.5496038047918548E-3</v>
      </c>
      <c r="J205" s="7">
        <f t="shared" si="7"/>
        <v>-2.3272218073500106E-3</v>
      </c>
      <c r="K205" s="7">
        <f t="shared" si="7"/>
        <v>9.6192445570592033E-3</v>
      </c>
      <c r="L205" s="7"/>
    </row>
    <row r="206" spans="1:12" x14ac:dyDescent="0.25">
      <c r="A206" s="2" t="s">
        <v>403</v>
      </c>
      <c r="B206" s="7">
        <v>-2.2205773501111636E-3</v>
      </c>
      <c r="C206" s="7">
        <v>-8.8943623426380736E-3</v>
      </c>
      <c r="D206" s="7">
        <v>3.5433070866141669E-2</v>
      </c>
      <c r="E206" s="7">
        <v>3.8917388996992708E-2</v>
      </c>
      <c r="F206" s="7">
        <v>7.3697275043249633E-5</v>
      </c>
      <c r="G206" s="7"/>
      <c r="H206" s="7">
        <f t="shared" si="7"/>
        <v>-2.2942746251544133E-3</v>
      </c>
      <c r="I206" s="7">
        <f t="shared" si="7"/>
        <v>-8.9680596176813232E-3</v>
      </c>
      <c r="J206" s="7">
        <f t="shared" si="7"/>
        <v>3.535937359109842E-2</v>
      </c>
      <c r="K206" s="7">
        <f t="shared" si="7"/>
        <v>3.8843691721949458E-2</v>
      </c>
      <c r="L206" s="7"/>
    </row>
    <row r="207" spans="1:12" x14ac:dyDescent="0.25">
      <c r="A207" s="2" t="s">
        <v>404</v>
      </c>
      <c r="B207" s="7">
        <v>7.7577204236909392E-3</v>
      </c>
      <c r="C207" s="7">
        <v>1.1838006230529663E-2</v>
      </c>
      <c r="D207" s="7">
        <v>-7.8125E-3</v>
      </c>
      <c r="E207" s="7">
        <v>1.9496632399857994E-3</v>
      </c>
      <c r="F207" s="7">
        <v>5.8002607843070653E-3</v>
      </c>
      <c r="G207" s="7"/>
      <c r="H207" s="7">
        <f t="shared" si="7"/>
        <v>1.9574596393838739E-3</v>
      </c>
      <c r="I207" s="7">
        <f t="shared" si="7"/>
        <v>6.0377454462225977E-3</v>
      </c>
      <c r="J207" s="7">
        <f t="shared" si="7"/>
        <v>-1.3612760784307065E-2</v>
      </c>
      <c r="K207" s="7">
        <f t="shared" si="7"/>
        <v>-3.8505975443212659E-3</v>
      </c>
      <c r="L207" s="7"/>
    </row>
    <row r="208" spans="1:12" x14ac:dyDescent="0.25">
      <c r="A208" s="2" t="s">
        <v>44</v>
      </c>
      <c r="B208" s="7">
        <v>4.2449061126648147E-3</v>
      </c>
      <c r="C208" s="7">
        <v>-1.3184861319852526E-2</v>
      </c>
      <c r="D208" s="7">
        <v>2.4000000000000021E-2</v>
      </c>
      <c r="E208" s="7">
        <v>7.9499776686020596E-3</v>
      </c>
      <c r="F208" s="7">
        <v>4.1020418864994301E-3</v>
      </c>
      <c r="G208" s="7"/>
      <c r="H208" s="7">
        <f t="shared" si="7"/>
        <v>1.4286422616538452E-4</v>
      </c>
      <c r="I208" s="7">
        <f t="shared" si="7"/>
        <v>-1.7286903206351956E-2</v>
      </c>
      <c r="J208" s="7">
        <f t="shared" si="7"/>
        <v>1.9897958113500591E-2</v>
      </c>
      <c r="K208" s="7">
        <f t="shared" si="7"/>
        <v>3.8479357821026294E-3</v>
      </c>
      <c r="L208" s="7"/>
    </row>
    <row r="209" spans="1:12" x14ac:dyDescent="0.25">
      <c r="A209" s="2" t="s">
        <v>405</v>
      </c>
      <c r="B209" s="7">
        <v>4.5148991672518957E-3</v>
      </c>
      <c r="C209" s="7">
        <v>-8.5342725548631648E-3</v>
      </c>
      <c r="D209" s="7">
        <v>3.3057851239669533E-2</v>
      </c>
      <c r="E209" s="7">
        <v>-2.8464809511411948E-2</v>
      </c>
      <c r="F209" s="7">
        <v>-8.118846379590039E-5</v>
      </c>
      <c r="G209" s="7"/>
      <c r="H209" s="7">
        <f t="shared" si="7"/>
        <v>4.5960876310477961E-3</v>
      </c>
      <c r="I209" s="7">
        <f t="shared" si="7"/>
        <v>-8.4530840910672644E-3</v>
      </c>
      <c r="J209" s="7">
        <f t="shared" si="7"/>
        <v>3.3139039703465434E-2</v>
      </c>
      <c r="K209" s="7">
        <f t="shared" si="7"/>
        <v>-2.8383621047616048E-2</v>
      </c>
      <c r="L209" s="7"/>
    </row>
    <row r="210" spans="1:12" x14ac:dyDescent="0.25">
      <c r="A210" s="2" t="s">
        <v>406</v>
      </c>
      <c r="B210" s="7">
        <v>-2.3522346228916913E-3</v>
      </c>
      <c r="C210" s="7">
        <v>6.5448595582218161E-3</v>
      </c>
      <c r="D210" s="7">
        <v>-3.2000000000000028E-2</v>
      </c>
      <c r="E210" s="7">
        <v>3.7456445993031551E-3</v>
      </c>
      <c r="F210" s="7">
        <v>4.0111742279509421E-3</v>
      </c>
      <c r="G210" s="7"/>
      <c r="H210" s="7">
        <f t="shared" si="7"/>
        <v>-6.3634088508426334E-3</v>
      </c>
      <c r="I210" s="7">
        <f t="shared" si="7"/>
        <v>2.5336853302708739E-3</v>
      </c>
      <c r="J210" s="7">
        <f t="shared" si="7"/>
        <v>-3.6011174227950971E-2</v>
      </c>
      <c r="K210" s="7">
        <f t="shared" si="7"/>
        <v>-2.6552962864778706E-4</v>
      </c>
      <c r="L210" s="7"/>
    </row>
    <row r="211" spans="1:12" x14ac:dyDescent="0.25">
      <c r="A211" s="2" t="s">
        <v>407</v>
      </c>
      <c r="B211" s="7">
        <v>1.0521042084168375E-3</v>
      </c>
      <c r="C211" s="7">
        <v>-5.5593220338983063E-3</v>
      </c>
      <c r="D211" s="7">
        <v>-1.9607843137254832E-2</v>
      </c>
      <c r="E211" s="7">
        <v>-2.3228111971411614E-2</v>
      </c>
      <c r="F211" s="7">
        <v>-5.571185873944895E-3</v>
      </c>
      <c r="G211" s="7"/>
      <c r="H211" s="7">
        <f t="shared" si="7"/>
        <v>6.6232900823617324E-3</v>
      </c>
      <c r="I211" s="7">
        <f t="shared" si="7"/>
        <v>1.1863840046588692E-5</v>
      </c>
      <c r="J211" s="7">
        <f t="shared" si="7"/>
        <v>-1.4036657263309937E-2</v>
      </c>
      <c r="K211" s="7">
        <f t="shared" si="7"/>
        <v>-1.7656926097466719E-2</v>
      </c>
      <c r="L211" s="7"/>
    </row>
    <row r="212" spans="1:12" x14ac:dyDescent="0.25">
      <c r="A212" s="2" t="s">
        <v>408</v>
      </c>
      <c r="B212" s="7">
        <v>2.5272241627285696E-2</v>
      </c>
      <c r="C212" s="7">
        <v>1.2632157078127149E-2</v>
      </c>
      <c r="D212" s="7">
        <v>1.1904761904761862E-2</v>
      </c>
      <c r="E212" s="7">
        <v>-1.0023584905660354E-2</v>
      </c>
      <c r="F212" s="7">
        <v>2.0459018201495205E-2</v>
      </c>
      <c r="G212" s="7"/>
      <c r="H212" s="7">
        <f t="shared" si="7"/>
        <v>4.8132234257904916E-3</v>
      </c>
      <c r="I212" s="7">
        <f t="shared" si="7"/>
        <v>-7.8268611233680563E-3</v>
      </c>
      <c r="J212" s="7">
        <f t="shared" si="7"/>
        <v>-8.5542562967333424E-3</v>
      </c>
      <c r="K212" s="7">
        <f t="shared" si="7"/>
        <v>-3.0482603107155559E-2</v>
      </c>
      <c r="L212" s="7"/>
    </row>
    <row r="213" spans="1:12" x14ac:dyDescent="0.25">
      <c r="A213" s="2" t="s">
        <v>409</v>
      </c>
      <c r="B213" s="7">
        <v>-3.0236612702366106E-2</v>
      </c>
      <c r="C213" s="7">
        <v>-9.5872713673760268E-3</v>
      </c>
      <c r="D213" s="7">
        <v>2.4390243902439046E-2</v>
      </c>
      <c r="E213" s="7">
        <v>-6.1945421061442296E-3</v>
      </c>
      <c r="F213" s="7">
        <v>-6.708307585916562E-3</v>
      </c>
      <c r="G213" s="7"/>
      <c r="H213" s="7">
        <f t="shared" si="7"/>
        <v>-2.3528305116449544E-2</v>
      </c>
      <c r="I213" s="7">
        <f t="shared" si="7"/>
        <v>-2.8789637814594649E-3</v>
      </c>
      <c r="J213" s="7">
        <f t="shared" si="7"/>
        <v>3.1098551488355608E-2</v>
      </c>
      <c r="K213" s="7">
        <f t="shared" si="7"/>
        <v>5.1376547977233233E-4</v>
      </c>
      <c r="L213" s="7"/>
    </row>
    <row r="214" spans="1:12" x14ac:dyDescent="0.25">
      <c r="A214" s="2" t="s">
        <v>410</v>
      </c>
      <c r="B214" s="7">
        <v>-3.6231884057970065E-3</v>
      </c>
      <c r="C214" s="7">
        <v>2.5221540558963973E-3</v>
      </c>
      <c r="D214" s="7">
        <v>-2.3809523809523836E-2</v>
      </c>
      <c r="E214" s="7">
        <v>-1.7113707421425151E-2</v>
      </c>
      <c r="F214" s="7">
        <v>-4.4485431876539749E-4</v>
      </c>
      <c r="G214" s="7"/>
      <c r="H214" s="7">
        <f t="shared" si="7"/>
        <v>-3.178334087031609E-3</v>
      </c>
      <c r="I214" s="7">
        <f t="shared" si="7"/>
        <v>2.9670083746617948E-3</v>
      </c>
      <c r="J214" s="7">
        <f t="shared" si="7"/>
        <v>-2.3364669490758438E-2</v>
      </c>
      <c r="K214" s="7">
        <f t="shared" si="7"/>
        <v>-1.6668853102659753E-2</v>
      </c>
      <c r="L214" s="7"/>
    </row>
    <row r="215" spans="1:12" x14ac:dyDescent="0.25">
      <c r="A215" s="2" t="s">
        <v>411</v>
      </c>
      <c r="B215" s="7">
        <v>-2.3032536488386768E-2</v>
      </c>
      <c r="C215" s="7">
        <v>-3.0787526427061507E-2</v>
      </c>
      <c r="D215" s="7">
        <v>-1.9455252918287869E-2</v>
      </c>
      <c r="E215" s="7">
        <v>-1.2512187195320101E-2</v>
      </c>
      <c r="F215" s="7">
        <v>-1.6135114115741978E-2</v>
      </c>
      <c r="G215" s="7"/>
      <c r="H215" s="7">
        <f t="shared" si="7"/>
        <v>-6.8974223726447903E-3</v>
      </c>
      <c r="I215" s="7">
        <f t="shared" si="7"/>
        <v>-1.4652412311319529E-2</v>
      </c>
      <c r="J215" s="7">
        <f t="shared" si="7"/>
        <v>-3.3201388025458911E-3</v>
      </c>
      <c r="K215" s="7">
        <f t="shared" si="7"/>
        <v>3.6229269204218761E-3</v>
      </c>
      <c r="L215" s="7"/>
    </row>
    <row r="216" spans="1:12" x14ac:dyDescent="0.25">
      <c r="A216" s="2" t="s">
        <v>412</v>
      </c>
      <c r="B216" s="7">
        <v>-9.2241172231564139E-3</v>
      </c>
      <c r="C216" s="7">
        <v>6.6072018500396013E-5</v>
      </c>
      <c r="D216" s="7">
        <v>-3.8759689922481799E-3</v>
      </c>
      <c r="E216" s="7">
        <v>1.7863049950380461E-2</v>
      </c>
      <c r="F216" s="7">
        <v>-3.8802065866255786E-3</v>
      </c>
      <c r="G216" s="7"/>
      <c r="H216" s="7">
        <f t="shared" si="7"/>
        <v>-5.3439106365308353E-3</v>
      </c>
      <c r="I216" s="7">
        <f t="shared" si="7"/>
        <v>3.9462786051259746E-3</v>
      </c>
      <c r="J216" s="7">
        <f t="shared" si="7"/>
        <v>4.2375943773986791E-6</v>
      </c>
      <c r="K216" s="7">
        <f t="shared" si="7"/>
        <v>2.1743256537006039E-2</v>
      </c>
      <c r="L216" s="7"/>
    </row>
    <row r="217" spans="1:12" x14ac:dyDescent="0.25">
      <c r="A217" s="2" t="s">
        <v>45</v>
      </c>
      <c r="B217" s="7">
        <v>-1.1727281359794839E-2</v>
      </c>
      <c r="C217" s="7">
        <v>6.7181056272449524E-3</v>
      </c>
      <c r="D217" s="7">
        <v>-1.1494252873563093E-2</v>
      </c>
      <c r="E217" s="7">
        <v>-4.035911374680845E-3</v>
      </c>
      <c r="F217" s="7">
        <v>8.76077054501323E-4</v>
      </c>
      <c r="G217" s="7"/>
      <c r="H217" s="7">
        <f t="shared" si="7"/>
        <v>-1.2603358414296162E-2</v>
      </c>
      <c r="I217" s="7">
        <f t="shared" si="7"/>
        <v>5.8420285727436294E-3</v>
      </c>
      <c r="J217" s="7">
        <f t="shared" si="7"/>
        <v>-1.2370329928064416E-2</v>
      </c>
      <c r="K217" s="7">
        <f t="shared" si="7"/>
        <v>-4.911988429182168E-3</v>
      </c>
      <c r="L217" s="7"/>
    </row>
    <row r="218" spans="1:12" x14ac:dyDescent="0.25">
      <c r="A218" s="2" t="s">
        <v>413</v>
      </c>
      <c r="B218" s="7">
        <v>-9.0128551776480492E-4</v>
      </c>
      <c r="C218" s="7">
        <v>2.9373502225265247E-2</v>
      </c>
      <c r="D218" s="7">
        <v>1.5564202334630295E-2</v>
      </c>
      <c r="E218" s="7">
        <v>-3.5292186474065179E-3</v>
      </c>
      <c r="F218" s="7">
        <v>7.0053220166539365E-3</v>
      </c>
      <c r="G218" s="7"/>
      <c r="H218" s="7">
        <f t="shared" si="7"/>
        <v>-7.9066075344187414E-3</v>
      </c>
      <c r="I218" s="7">
        <f t="shared" si="7"/>
        <v>2.236818020861131E-2</v>
      </c>
      <c r="J218" s="7">
        <f t="shared" si="7"/>
        <v>8.5588803179763584E-3</v>
      </c>
      <c r="K218" s="7">
        <f t="shared" si="7"/>
        <v>-1.0534540664060454E-2</v>
      </c>
      <c r="L218" s="7"/>
    </row>
    <row r="219" spans="1:12" x14ac:dyDescent="0.25">
      <c r="A219" s="2" t="s">
        <v>414</v>
      </c>
      <c r="B219" s="7">
        <v>-4.1570220605602337E-3</v>
      </c>
      <c r="C219" s="7">
        <v>5.853994490358394E-3</v>
      </c>
      <c r="D219" s="7">
        <v>1.9841269841269771E-2</v>
      </c>
      <c r="E219" s="7">
        <v>-7.5709300561371484E-2</v>
      </c>
      <c r="F219" s="7">
        <v>4.1323155561741043E-3</v>
      </c>
      <c r="G219" s="7"/>
      <c r="H219" s="7">
        <f t="shared" si="7"/>
        <v>-8.289337616734338E-3</v>
      </c>
      <c r="I219" s="7">
        <f t="shared" si="7"/>
        <v>1.7216789341842897E-3</v>
      </c>
      <c r="J219" s="7">
        <f t="shared" si="7"/>
        <v>1.5708954285095666E-2</v>
      </c>
      <c r="K219" s="7">
        <f t="shared" si="7"/>
        <v>-7.9841616117545589E-2</v>
      </c>
      <c r="L219" s="7"/>
    </row>
    <row r="220" spans="1:12" x14ac:dyDescent="0.25">
      <c r="A220" s="2" t="s">
        <v>415</v>
      </c>
      <c r="B220" s="7">
        <v>-2.7793480309026286E-3</v>
      </c>
      <c r="C220" s="7">
        <v>-1.8985203702452602E-2</v>
      </c>
      <c r="D220" s="7">
        <v>8.0000000000000071E-3</v>
      </c>
      <c r="E220" s="7">
        <v>1.8229568978834987E-2</v>
      </c>
      <c r="F220" s="7">
        <v>1.024369112638146E-3</v>
      </c>
      <c r="G220" s="7"/>
      <c r="H220" s="7">
        <f t="shared" si="7"/>
        <v>-3.8037171435407746E-3</v>
      </c>
      <c r="I220" s="7">
        <f t="shared" si="7"/>
        <v>-2.0009572815090748E-2</v>
      </c>
      <c r="J220" s="7">
        <f t="shared" si="7"/>
        <v>6.9756308873618611E-3</v>
      </c>
      <c r="K220" s="7">
        <f t="shared" si="7"/>
        <v>1.7205199866196841E-2</v>
      </c>
      <c r="L220" s="7"/>
    </row>
    <row r="221" spans="1:12" x14ac:dyDescent="0.25">
      <c r="A221" s="2" t="s">
        <v>416</v>
      </c>
      <c r="B221" s="7">
        <v>1.0135617416131337E-2</v>
      </c>
      <c r="C221" s="7">
        <v>2.7098435065373572E-3</v>
      </c>
      <c r="D221" s="7">
        <v>2.4590163934426146E-2</v>
      </c>
      <c r="E221" s="7">
        <v>-6.8277713847333388E-3</v>
      </c>
      <c r="F221" s="7">
        <v>7.2482243048224149E-3</v>
      </c>
      <c r="G221" s="7"/>
      <c r="H221" s="7">
        <f t="shared" si="7"/>
        <v>2.8873931113089224E-3</v>
      </c>
      <c r="I221" s="7">
        <f t="shared" si="7"/>
        <v>-4.5383807982850577E-3</v>
      </c>
      <c r="J221" s="7">
        <f t="shared" si="7"/>
        <v>1.7341939629603731E-2</v>
      </c>
      <c r="K221" s="7">
        <f t="shared" si="7"/>
        <v>-1.4075995689555754E-2</v>
      </c>
      <c r="L221" s="7"/>
    </row>
    <row r="222" spans="1:12" x14ac:dyDescent="0.25">
      <c r="A222" s="2" t="s">
        <v>46</v>
      </c>
      <c r="B222" s="7">
        <v>6.3135528911822725E-2</v>
      </c>
      <c r="C222" s="7">
        <v>5.4206541922582563E-2</v>
      </c>
      <c r="D222" s="7">
        <v>-8.1300813008130524E-3</v>
      </c>
      <c r="E222" s="7">
        <v>5.7606490872210925E-2</v>
      </c>
      <c r="F222" s="7">
        <v>3.2558821606703869E-2</v>
      </c>
      <c r="G222" s="7"/>
      <c r="H222" s="7">
        <f t="shared" si="7"/>
        <v>3.0576707305118855E-2</v>
      </c>
      <c r="I222" s="7">
        <f t="shared" si="7"/>
        <v>2.1647720315878693E-2</v>
      </c>
      <c r="J222" s="7">
        <f t="shared" si="7"/>
        <v>-4.0688902907516922E-2</v>
      </c>
      <c r="K222" s="7">
        <f t="shared" si="7"/>
        <v>2.5047669265507055E-2</v>
      </c>
      <c r="L222" s="7"/>
    </row>
    <row r="223" spans="1:12" x14ac:dyDescent="0.25">
      <c r="A223" s="2" t="s">
        <v>417</v>
      </c>
      <c r="B223" s="7">
        <v>5.2891217006560964E-3</v>
      </c>
      <c r="C223" s="7">
        <v>1.0464025402323829E-2</v>
      </c>
      <c r="D223" s="7">
        <v>1.2345679012345512E-2</v>
      </c>
      <c r="E223" s="7">
        <v>-3.637833468067897E-3</v>
      </c>
      <c r="F223" s="7">
        <v>-7.1151883671083382E-4</v>
      </c>
      <c r="G223" s="7"/>
      <c r="H223" s="7">
        <f t="shared" si="7"/>
        <v>6.0006405373669303E-3</v>
      </c>
      <c r="I223" s="7">
        <f t="shared" si="7"/>
        <v>1.1175544239034663E-2</v>
      </c>
      <c r="J223" s="7">
        <f t="shared" si="7"/>
        <v>1.3057197849056346E-2</v>
      </c>
      <c r="K223" s="7">
        <f t="shared" si="7"/>
        <v>-2.9263146313570632E-3</v>
      </c>
      <c r="L223" s="7"/>
    </row>
    <row r="224" spans="1:12" x14ac:dyDescent="0.25">
      <c r="A224" s="2" t="s">
        <v>418</v>
      </c>
      <c r="B224" s="7">
        <v>6.2947799385875136E-3</v>
      </c>
      <c r="C224" s="7">
        <v>1.7924043194005757E-2</v>
      </c>
      <c r="D224" s="7">
        <v>-1.619433198380571E-2</v>
      </c>
      <c r="E224" s="7">
        <v>2.0795510810364792E-2</v>
      </c>
      <c r="F224" s="7">
        <v>5.7997471267632328E-3</v>
      </c>
      <c r="G224" s="7"/>
      <c r="H224" s="7">
        <f t="shared" si="7"/>
        <v>4.9503281182428083E-4</v>
      </c>
      <c r="I224" s="7">
        <f t="shared" si="7"/>
        <v>1.2124296067242524E-2</v>
      </c>
      <c r="J224" s="7">
        <f t="shared" si="7"/>
        <v>-2.1994079110568943E-2</v>
      </c>
      <c r="K224" s="7">
        <f t="shared" si="7"/>
        <v>1.499576368360156E-2</v>
      </c>
      <c r="L224" s="7"/>
    </row>
    <row r="225" spans="1:12" x14ac:dyDescent="0.25">
      <c r="A225" s="2" t="s">
        <v>419</v>
      </c>
      <c r="B225" s="7">
        <v>-1.1383759170250474E-2</v>
      </c>
      <c r="C225" s="7">
        <v>4.5011806375441221E-3</v>
      </c>
      <c r="D225" s="7">
        <v>-1.19999999999999E-2</v>
      </c>
      <c r="E225" s="7">
        <v>-3.4729966544527646E-2</v>
      </c>
      <c r="F225" s="7">
        <v>4.3464225393308187E-3</v>
      </c>
      <c r="G225" s="7"/>
      <c r="H225" s="7">
        <f t="shared" si="7"/>
        <v>-1.5730181709581292E-2</v>
      </c>
      <c r="I225" s="7">
        <f t="shared" si="7"/>
        <v>1.5475809821330344E-4</v>
      </c>
      <c r="J225" s="7">
        <f t="shared" si="7"/>
        <v>-1.6346422539330718E-2</v>
      </c>
      <c r="K225" s="7">
        <f t="shared" si="7"/>
        <v>-3.9076389083858465E-2</v>
      </c>
      <c r="L225" s="7"/>
    </row>
    <row r="226" spans="1:12" x14ac:dyDescent="0.25">
      <c r="A226" s="2" t="s">
        <v>420</v>
      </c>
      <c r="B226" s="7">
        <v>-1.9189011765894382E-3</v>
      </c>
      <c r="C226" s="7">
        <v>-1.9746835443037902E-2</v>
      </c>
      <c r="D226" s="7">
        <v>-3.9840637450198058E-3</v>
      </c>
      <c r="E226" s="7">
        <v>8.5964489435206293E-3</v>
      </c>
      <c r="F226" s="7">
        <v>-7.6932878850626274E-3</v>
      </c>
      <c r="G226" s="7"/>
      <c r="H226" s="7">
        <f t="shared" si="7"/>
        <v>5.7743867084731892E-3</v>
      </c>
      <c r="I226" s="7">
        <f t="shared" si="7"/>
        <v>-1.2053547557975275E-2</v>
      </c>
      <c r="J226" s="7">
        <f t="shared" si="7"/>
        <v>3.7092241400428216E-3</v>
      </c>
      <c r="K226" s="7">
        <f t="shared" si="7"/>
        <v>1.6289736828583257E-2</v>
      </c>
      <c r="L226" s="7"/>
    </row>
    <row r="227" spans="1:12" x14ac:dyDescent="0.25">
      <c r="A227" s="2" t="s">
        <v>47</v>
      </c>
      <c r="B227" s="7">
        <v>-3.1448694121099519E-2</v>
      </c>
      <c r="C227" s="7">
        <v>-9.0316106372302363E-3</v>
      </c>
      <c r="D227" s="7">
        <v>2.0325203252032464E-2</v>
      </c>
      <c r="E227" s="7">
        <v>6.4688283334681795E-3</v>
      </c>
      <c r="F227" s="7">
        <v>-6.3815906321273985E-3</v>
      </c>
      <c r="G227" s="7"/>
      <c r="H227" s="7">
        <f t="shared" si="7"/>
        <v>-2.506710348897212E-2</v>
      </c>
      <c r="I227" s="7">
        <f t="shared" si="7"/>
        <v>-2.6500200051028378E-3</v>
      </c>
      <c r="J227" s="7">
        <f t="shared" si="7"/>
        <v>2.6706793884159863E-2</v>
      </c>
      <c r="K227" s="7">
        <f t="shared" si="7"/>
        <v>1.2850418965595578E-2</v>
      </c>
      <c r="L227" s="7"/>
    </row>
    <row r="228" spans="1:12" x14ac:dyDescent="0.25">
      <c r="A228" s="2" t="s">
        <v>421</v>
      </c>
      <c r="B228" s="7">
        <v>-3.7336974433824444E-2</v>
      </c>
      <c r="C228" s="7">
        <v>3.0354505169867041E-2</v>
      </c>
      <c r="D228" s="7">
        <v>2.0746887966804906E-2</v>
      </c>
      <c r="E228" s="7">
        <v>4.3364549059309976E-2</v>
      </c>
      <c r="F228" s="7">
        <v>1.4726612825518126E-2</v>
      </c>
      <c r="G228" s="7"/>
      <c r="H228" s="7">
        <f t="shared" si="7"/>
        <v>-5.206358725934257E-2</v>
      </c>
      <c r="I228" s="7">
        <f t="shared" si="7"/>
        <v>1.5627892344348915E-2</v>
      </c>
      <c r="J228" s="7">
        <f t="shared" si="7"/>
        <v>6.0202751412867794E-3</v>
      </c>
      <c r="K228" s="7">
        <f t="shared" si="7"/>
        <v>2.863793623379185E-2</v>
      </c>
      <c r="L228" s="7"/>
    </row>
    <row r="229" spans="1:12" x14ac:dyDescent="0.25">
      <c r="A229" s="2" t="s">
        <v>422</v>
      </c>
      <c r="B229" s="7">
        <v>3.8283391624915897E-3</v>
      </c>
      <c r="C229" s="7">
        <v>-7.3313782991202281E-3</v>
      </c>
      <c r="D229" s="7">
        <v>-4.1322314049585529E-3</v>
      </c>
      <c r="E229" s="7">
        <v>9.2813351498637342E-3</v>
      </c>
      <c r="F229" s="7">
        <v>6.2990881764606321E-3</v>
      </c>
      <c r="G229" s="7"/>
      <c r="H229" s="7">
        <f t="shared" si="7"/>
        <v>-2.4707490139690425E-3</v>
      </c>
      <c r="I229" s="7">
        <f t="shared" si="7"/>
        <v>-1.363046647558086E-2</v>
      </c>
      <c r="J229" s="7">
        <f t="shared" si="7"/>
        <v>-1.0431319581419185E-2</v>
      </c>
      <c r="K229" s="7">
        <f t="shared" si="7"/>
        <v>2.9822469734031021E-3</v>
      </c>
      <c r="L229" s="7"/>
    </row>
    <row r="230" spans="1:12" x14ac:dyDescent="0.25">
      <c r="A230" s="2" t="s">
        <v>423</v>
      </c>
      <c r="B230" s="7">
        <v>6.134385848114654E-3</v>
      </c>
      <c r="C230" s="7">
        <v>3.8269060936120258E-3</v>
      </c>
      <c r="D230" s="7">
        <v>-4.115226337448652E-3</v>
      </c>
      <c r="E230" s="7">
        <v>4.6193327630452696E-3</v>
      </c>
      <c r="F230" s="7">
        <v>1.4799948928487794E-3</v>
      </c>
      <c r="G230" s="7"/>
      <c r="H230" s="7">
        <f t="shared" si="7"/>
        <v>4.6543909552658747E-3</v>
      </c>
      <c r="I230" s="7">
        <f t="shared" si="7"/>
        <v>2.3469112007632464E-3</v>
      </c>
      <c r="J230" s="7">
        <f t="shared" si="7"/>
        <v>-5.5952212302974313E-3</v>
      </c>
      <c r="K230" s="7">
        <f t="shared" si="7"/>
        <v>3.1393378701964902E-3</v>
      </c>
      <c r="L230" s="7"/>
    </row>
    <row r="231" spans="1:12" x14ac:dyDescent="0.25">
      <c r="A231" s="2" t="s">
        <v>424</v>
      </c>
      <c r="B231" s="7">
        <v>5.0661950963055702E-3</v>
      </c>
      <c r="C231" s="7">
        <v>3.3227497600234468E-3</v>
      </c>
      <c r="D231" s="7">
        <v>1.2500000000000178E-2</v>
      </c>
      <c r="E231" s="7">
        <v>4.2955326460480947E-3</v>
      </c>
      <c r="F231" s="7">
        <v>5.8023965634184105E-3</v>
      </c>
      <c r="G231" s="7"/>
      <c r="H231" s="7">
        <f t="shared" si="7"/>
        <v>-7.3620146711284029E-4</v>
      </c>
      <c r="I231" s="7">
        <f t="shared" si="7"/>
        <v>-2.4796468033949637E-3</v>
      </c>
      <c r="J231" s="7">
        <f t="shared" si="7"/>
        <v>6.6976034365817672E-3</v>
      </c>
      <c r="K231" s="7">
        <f t="shared" si="7"/>
        <v>-1.5068639173703158E-3</v>
      </c>
      <c r="L231" s="7"/>
    </row>
    <row r="232" spans="1:12" x14ac:dyDescent="0.25">
      <c r="A232" s="2" t="s">
        <v>48</v>
      </c>
      <c r="B232" s="7">
        <v>4.1272735998463261E-3</v>
      </c>
      <c r="C232" s="7">
        <v>4.3755562147731464E-3</v>
      </c>
      <c r="D232" s="7">
        <v>-8.2644628099173278E-3</v>
      </c>
      <c r="E232" s="7">
        <v>-1.589448765640844E-2</v>
      </c>
      <c r="F232" s="7">
        <v>6.4069962951629478E-4</v>
      </c>
      <c r="G232" s="7"/>
      <c r="H232" s="7">
        <f t="shared" si="7"/>
        <v>3.4865739703300314E-3</v>
      </c>
      <c r="I232" s="7">
        <f t="shared" si="7"/>
        <v>3.7348565852568516E-3</v>
      </c>
      <c r="J232" s="7">
        <f t="shared" si="7"/>
        <v>-8.9051624394336226E-3</v>
      </c>
      <c r="K232" s="7">
        <f t="shared" si="7"/>
        <v>-1.6535187285924735E-2</v>
      </c>
      <c r="L232" s="7"/>
    </row>
    <row r="233" spans="1:12" x14ac:dyDescent="0.25">
      <c r="A233" s="2" t="s">
        <v>425</v>
      </c>
      <c r="B233" s="7">
        <v>4.3379765749265164E-3</v>
      </c>
      <c r="C233" s="7">
        <v>-1.121947642443355E-2</v>
      </c>
      <c r="D233" s="7">
        <v>1.2552301255229992E-2</v>
      </c>
      <c r="E233" s="7">
        <v>8.2686897962662709E-3</v>
      </c>
      <c r="F233" s="7">
        <v>7.3731441792452834E-3</v>
      </c>
      <c r="G233" s="7"/>
      <c r="H233" s="7">
        <f t="shared" si="7"/>
        <v>-3.035167604318767E-3</v>
      </c>
      <c r="I233" s="7">
        <f t="shared" si="7"/>
        <v>-1.8592620603678833E-2</v>
      </c>
      <c r="J233" s="7">
        <f t="shared" si="7"/>
        <v>5.1791570759847083E-3</v>
      </c>
      <c r="K233" s="7">
        <f t="shared" si="7"/>
        <v>8.9554561702098745E-4</v>
      </c>
      <c r="L233" s="7"/>
    </row>
    <row r="234" spans="1:12" x14ac:dyDescent="0.25">
      <c r="A234" s="2" t="s">
        <v>426</v>
      </c>
      <c r="B234" s="7">
        <v>1.8457611310195743E-2</v>
      </c>
      <c r="C234" s="7">
        <v>2.0733532934131826E-2</v>
      </c>
      <c r="D234" s="7">
        <v>1.2711864406779849E-2</v>
      </c>
      <c r="E234" s="7">
        <v>2.7352765193606743E-3</v>
      </c>
      <c r="F234" s="7">
        <v>2.025908412793509E-2</v>
      </c>
      <c r="G234" s="7"/>
      <c r="H234" s="7">
        <f t="shared" si="7"/>
        <v>-1.8014728177393469E-3</v>
      </c>
      <c r="I234" s="7">
        <f t="shared" si="7"/>
        <v>4.7444880619673668E-4</v>
      </c>
      <c r="J234" s="7">
        <f t="shared" si="7"/>
        <v>-7.5472197211552405E-3</v>
      </c>
      <c r="K234" s="7">
        <f t="shared" si="7"/>
        <v>-1.7523807608574415E-2</v>
      </c>
      <c r="L234" s="7"/>
    </row>
    <row r="235" spans="1:12" x14ac:dyDescent="0.25">
      <c r="A235" s="2" t="s">
        <v>427</v>
      </c>
      <c r="B235" s="7">
        <v>2.4337506914064555E-2</v>
      </c>
      <c r="C235" s="7">
        <v>-1.9423278051696746E-3</v>
      </c>
      <c r="D235" s="7">
        <v>1.7241379310344751E-2</v>
      </c>
      <c r="E235" s="7">
        <v>2.6678367705133654E-2</v>
      </c>
      <c r="F235" s="7">
        <v>1.6661119264111734E-2</v>
      </c>
      <c r="G235" s="7"/>
      <c r="H235" s="7">
        <f t="shared" si="7"/>
        <v>7.6763876499528205E-3</v>
      </c>
      <c r="I235" s="7">
        <f t="shared" si="7"/>
        <v>-1.8603447069281409E-2</v>
      </c>
      <c r="J235" s="7">
        <f t="shared" si="7"/>
        <v>5.8026004623301652E-4</v>
      </c>
      <c r="K235" s="7">
        <f t="shared" si="7"/>
        <v>1.001724844102192E-2</v>
      </c>
      <c r="L235" s="7"/>
    </row>
    <row r="236" spans="1:12" x14ac:dyDescent="0.25">
      <c r="A236" s="2" t="s">
        <v>428</v>
      </c>
      <c r="B236" s="7">
        <v>3.4057820299500996E-2</v>
      </c>
      <c r="C236" s="7">
        <v>8.1172764720135682E-2</v>
      </c>
      <c r="D236" s="7">
        <v>0</v>
      </c>
      <c r="E236" s="7">
        <v>5.1975627769571764E-2</v>
      </c>
      <c r="F236" s="7">
        <v>2.511728897677501E-2</v>
      </c>
      <c r="G236" s="7"/>
      <c r="H236" s="7">
        <f t="shared" si="7"/>
        <v>8.9405313227259864E-3</v>
      </c>
      <c r="I236" s="7">
        <f t="shared" si="7"/>
        <v>5.6055475743360672E-2</v>
      </c>
      <c r="J236" s="7">
        <f t="shared" si="7"/>
        <v>-2.511728897677501E-2</v>
      </c>
      <c r="K236" s="7">
        <f t="shared" si="7"/>
        <v>2.6858338792796754E-2</v>
      </c>
      <c r="L236" s="7"/>
    </row>
    <row r="237" spans="1:12" x14ac:dyDescent="0.25">
      <c r="A237" s="2" t="s">
        <v>49</v>
      </c>
      <c r="B237" s="7">
        <v>-1.9425890990669492E-2</v>
      </c>
      <c r="C237" s="7">
        <v>-3.1599530700039069E-2</v>
      </c>
      <c r="D237" s="7">
        <v>-2.1097046413502185E-2</v>
      </c>
      <c r="E237" s="7">
        <v>1.1769101438445562E-2</v>
      </c>
      <c r="F237" s="7">
        <v>-2.3567493895167213E-2</v>
      </c>
      <c r="G237" s="7"/>
      <c r="H237" s="7">
        <f t="shared" si="7"/>
        <v>4.1416029044977209E-3</v>
      </c>
      <c r="I237" s="7">
        <f t="shared" si="7"/>
        <v>-8.032036804871856E-3</v>
      </c>
      <c r="J237" s="7">
        <f t="shared" si="7"/>
        <v>2.4704474816650279E-3</v>
      </c>
      <c r="K237" s="7">
        <f t="shared" si="7"/>
        <v>3.5336595333612775E-2</v>
      </c>
      <c r="L237" s="7"/>
    </row>
    <row r="238" spans="1:12" x14ac:dyDescent="0.25">
      <c r="A238" s="2" t="s">
        <v>429</v>
      </c>
      <c r="B238" s="7">
        <v>1.3958537972392993E-2</v>
      </c>
      <c r="C238" s="7">
        <v>-1.9516003122560521E-3</v>
      </c>
      <c r="D238" s="7">
        <v>2.5974025974025983E-2</v>
      </c>
      <c r="E238" s="7">
        <v>1.9813297771003935E-2</v>
      </c>
      <c r="F238" s="7">
        <v>1.3268381447011368E-3</v>
      </c>
      <c r="G238" s="7"/>
      <c r="H238" s="7">
        <f t="shared" si="7"/>
        <v>1.2631699827691856E-2</v>
      </c>
      <c r="I238" s="7">
        <f t="shared" si="7"/>
        <v>-3.2784384569571889E-3</v>
      </c>
      <c r="J238" s="7">
        <f t="shared" si="7"/>
        <v>2.4647187829324846E-2</v>
      </c>
      <c r="K238" s="7">
        <f t="shared" si="7"/>
        <v>1.8486459626302798E-2</v>
      </c>
      <c r="L238" s="7"/>
    </row>
    <row r="239" spans="1:12" x14ac:dyDescent="0.25">
      <c r="A239" s="2" t="s">
        <v>430</v>
      </c>
      <c r="B239" s="7">
        <v>-3.8904899135446591E-2</v>
      </c>
      <c r="C239" s="7">
        <v>-3.5464196973119533E-2</v>
      </c>
      <c r="D239" s="7">
        <v>1.7621145374449254E-2</v>
      </c>
      <c r="E239" s="7">
        <v>-4.9180327868852403E-2</v>
      </c>
      <c r="F239" s="7">
        <v>-2.2408428964001637E-2</v>
      </c>
      <c r="G239" s="7"/>
      <c r="H239" s="7">
        <f t="shared" si="7"/>
        <v>-1.6496470171444955E-2</v>
      </c>
      <c r="I239" s="7">
        <f t="shared" si="7"/>
        <v>-1.3055768009117896E-2</v>
      </c>
      <c r="J239" s="7">
        <f t="shared" si="7"/>
        <v>4.0029574338450891E-2</v>
      </c>
      <c r="K239" s="7">
        <f t="shared" si="7"/>
        <v>-2.6771898904850766E-2</v>
      </c>
      <c r="L239" s="7"/>
    </row>
    <row r="240" spans="1:12" x14ac:dyDescent="0.25">
      <c r="A240" s="2" t="s">
        <v>431</v>
      </c>
      <c r="B240" s="7">
        <v>-1.884546716921176E-3</v>
      </c>
      <c r="C240" s="7">
        <v>-5.5409958816923233E-3</v>
      </c>
      <c r="D240" s="7">
        <v>-2.9914529914529808E-2</v>
      </c>
      <c r="E240" s="7">
        <v>-1.4900071377587421E-2</v>
      </c>
      <c r="F240" s="7">
        <v>-1.7277195396940837E-3</v>
      </c>
      <c r="G240" s="7"/>
      <c r="H240" s="7">
        <f t="shared" si="7"/>
        <v>-1.5682717722709238E-4</v>
      </c>
      <c r="I240" s="7">
        <f t="shared" si="7"/>
        <v>-3.8132763419982396E-3</v>
      </c>
      <c r="J240" s="7">
        <f t="shared" si="7"/>
        <v>-2.8186810374835725E-2</v>
      </c>
      <c r="K240" s="7">
        <f t="shared" si="7"/>
        <v>-1.3172351837893337E-2</v>
      </c>
      <c r="L240" s="7"/>
    </row>
    <row r="241" spans="1:12" x14ac:dyDescent="0.25">
      <c r="A241" s="2" t="s">
        <v>50</v>
      </c>
      <c r="B241" s="7">
        <v>2.2048760707587878E-2</v>
      </c>
      <c r="C241" s="7">
        <v>4.4947187055210946E-4</v>
      </c>
      <c r="D241" s="7">
        <v>-2.0920502092050319E-2</v>
      </c>
      <c r="E241" s="7">
        <v>5.7957334340192679E-2</v>
      </c>
      <c r="F241" s="7">
        <v>7.9446466394201831E-3</v>
      </c>
      <c r="G241" s="7"/>
      <c r="H241" s="7">
        <f t="shared" si="7"/>
        <v>1.4104114068167695E-2</v>
      </c>
      <c r="I241" s="7">
        <f t="shared" si="7"/>
        <v>-7.4951747688680737E-3</v>
      </c>
      <c r="J241" s="7">
        <f t="shared" si="7"/>
        <v>-2.8865148731470502E-2</v>
      </c>
      <c r="K241" s="7">
        <f t="shared" si="7"/>
        <v>5.0012687700772496E-2</v>
      </c>
      <c r="L241" s="7"/>
    </row>
    <row r="242" spans="1:12" x14ac:dyDescent="0.25">
      <c r="A242" s="2" t="s">
        <v>432</v>
      </c>
      <c r="B242" s="7">
        <v>4.0613956432301146E-2</v>
      </c>
      <c r="C242" s="7">
        <v>2.2441789215686292E-2</v>
      </c>
      <c r="D242" s="7">
        <v>8.1447963800905132E-2</v>
      </c>
      <c r="E242" s="7">
        <v>3.406539775500228E-2</v>
      </c>
      <c r="F242" s="7">
        <v>1.8092083408471682E-2</v>
      </c>
      <c r="G242" s="7"/>
      <c r="H242" s="7">
        <f t="shared" si="7"/>
        <v>2.2521873023829464E-2</v>
      </c>
      <c r="I242" s="7">
        <f t="shared" si="7"/>
        <v>4.34970580721461E-3</v>
      </c>
      <c r="J242" s="7">
        <f t="shared" si="7"/>
        <v>6.335588039243345E-2</v>
      </c>
      <c r="K242" s="7">
        <f t="shared" si="7"/>
        <v>1.5973314346530598E-2</v>
      </c>
      <c r="L242" s="7"/>
    </row>
    <row r="243" spans="1:12" x14ac:dyDescent="0.25">
      <c r="A243" s="2" t="s">
        <v>433</v>
      </c>
      <c r="B243" s="7">
        <v>-4.2426385170968306E-2</v>
      </c>
      <c r="C243" s="7">
        <v>-3.8727727875128792E-2</v>
      </c>
      <c r="D243" s="7">
        <v>-8.9686098654708779E-3</v>
      </c>
      <c r="E243" s="7">
        <v>-5.7259316770186253E-3</v>
      </c>
      <c r="F243" s="7">
        <v>-3.4607561069471604E-2</v>
      </c>
      <c r="G243" s="7"/>
      <c r="H243" s="7">
        <f t="shared" si="7"/>
        <v>-7.8188241014967019E-3</v>
      </c>
      <c r="I243" s="7">
        <f t="shared" si="7"/>
        <v>-4.1201668056571883E-3</v>
      </c>
      <c r="J243" s="7">
        <f t="shared" si="7"/>
        <v>2.5638951204000726E-2</v>
      </c>
      <c r="K243" s="7">
        <f t="shared" si="7"/>
        <v>2.8881629392452979E-2</v>
      </c>
      <c r="L243" s="7"/>
    </row>
    <row r="244" spans="1:12" x14ac:dyDescent="0.25">
      <c r="A244" s="2" t="s">
        <v>434</v>
      </c>
      <c r="B244" s="7">
        <v>0.15331741131240184</v>
      </c>
      <c r="C244" s="7">
        <v>8.777831170911421E-2</v>
      </c>
      <c r="D244" s="7">
        <v>3.240740740740744E-2</v>
      </c>
      <c r="E244" s="7">
        <v>5.4441260744985787E-2</v>
      </c>
      <c r="F244" s="7">
        <v>9.5153900340573472E-2</v>
      </c>
      <c r="G244" s="7"/>
      <c r="H244" s="7">
        <f t="shared" si="7"/>
        <v>5.8163510971828369E-2</v>
      </c>
      <c r="I244" s="7">
        <f t="shared" si="7"/>
        <v>-7.3755886314592622E-3</v>
      </c>
      <c r="J244" s="7">
        <f t="shared" si="7"/>
        <v>-6.2746492933166031E-2</v>
      </c>
      <c r="K244" s="7">
        <f t="shared" si="7"/>
        <v>-4.0712639595587685E-2</v>
      </c>
      <c r="L244" s="7"/>
    </row>
    <row r="245" spans="1:12" x14ac:dyDescent="0.25">
      <c r="A245" s="2" t="s">
        <v>435</v>
      </c>
      <c r="B245" s="7">
        <v>-4.9814579066806863E-2</v>
      </c>
      <c r="C245" s="7">
        <v>-1.0774837585168728E-2</v>
      </c>
      <c r="D245" s="7">
        <v>-2.7027027027027084E-2</v>
      </c>
      <c r="E245" s="7">
        <v>-6.2368067549414707E-2</v>
      </c>
      <c r="F245" s="7">
        <v>-1.5700528421156545E-2</v>
      </c>
      <c r="G245" s="7"/>
      <c r="H245" s="7">
        <f t="shared" si="7"/>
        <v>-3.4114050645650318E-2</v>
      </c>
      <c r="I245" s="7">
        <f t="shared" si="7"/>
        <v>4.9256908359878171E-3</v>
      </c>
      <c r="J245" s="7">
        <f t="shared" si="7"/>
        <v>-1.1326498605870539E-2</v>
      </c>
      <c r="K245" s="7">
        <f t="shared" si="7"/>
        <v>-4.6667539128258162E-2</v>
      </c>
      <c r="L245" s="7"/>
    </row>
    <row r="246" spans="1:12" x14ac:dyDescent="0.25">
      <c r="A246" s="2" t="s">
        <v>51</v>
      </c>
      <c r="B246" s="7">
        <v>-3.6734911494988309E-2</v>
      </c>
      <c r="C246" s="7">
        <v>1.2920311371479087E-2</v>
      </c>
      <c r="D246" s="7">
        <v>6.2200956937799257E-2</v>
      </c>
      <c r="E246" s="7">
        <v>-9.0575916230366427E-2</v>
      </c>
      <c r="F246" s="7">
        <v>-2.3314571311449095E-3</v>
      </c>
      <c r="G246" s="7"/>
      <c r="H246" s="7">
        <f t="shared" si="7"/>
        <v>-3.44034543638434E-2</v>
      </c>
      <c r="I246" s="7">
        <f t="shared" si="7"/>
        <v>1.5251768502623997E-2</v>
      </c>
      <c r="J246" s="7">
        <f t="shared" si="7"/>
        <v>6.4532414068944166E-2</v>
      </c>
      <c r="K246" s="7">
        <f t="shared" si="7"/>
        <v>-8.8244459099221517E-2</v>
      </c>
      <c r="L246" s="7"/>
    </row>
    <row r="247" spans="1:12" x14ac:dyDescent="0.25">
      <c r="A247" s="2" t="s">
        <v>436</v>
      </c>
      <c r="B247" s="7">
        <v>-7.2907913597943796E-2</v>
      </c>
      <c r="C247" s="7">
        <v>-9.1830041542161678E-2</v>
      </c>
      <c r="D247" s="7">
        <v>-5.8558558558558738E-2</v>
      </c>
      <c r="E247" s="7">
        <v>-9.891492373014632E-2</v>
      </c>
      <c r="F247" s="7">
        <v>-5.9749616419470408E-2</v>
      </c>
      <c r="G247" s="7"/>
      <c r="H247" s="7">
        <f t="shared" si="7"/>
        <v>-1.3158297178473388E-2</v>
      </c>
      <c r="I247" s="7">
        <f t="shared" si="7"/>
        <v>-3.208042512269127E-2</v>
      </c>
      <c r="J247" s="7">
        <f t="shared" si="7"/>
        <v>1.1910578609116707E-3</v>
      </c>
      <c r="K247" s="7">
        <f t="shared" si="7"/>
        <v>-3.9165307310675912E-2</v>
      </c>
      <c r="L247" s="7"/>
    </row>
    <row r="248" spans="1:12" x14ac:dyDescent="0.25">
      <c r="A248" s="2" t="s">
        <v>437</v>
      </c>
      <c r="B248" s="7">
        <v>-9.2454692266283778E-2</v>
      </c>
      <c r="C248" s="7">
        <v>-5.4311117237576645E-2</v>
      </c>
      <c r="D248" s="7">
        <v>-3.8961038961038863E-2</v>
      </c>
      <c r="E248" s="7">
        <v>-3.5258168142285884E-3</v>
      </c>
      <c r="F248" s="7">
        <v>-4.839560075260485E-2</v>
      </c>
      <c r="G248" s="7"/>
      <c r="H248" s="7">
        <f t="shared" si="7"/>
        <v>-4.4059091513678927E-2</v>
      </c>
      <c r="I248" s="7">
        <f t="shared" si="7"/>
        <v>-5.9155164849717945E-3</v>
      </c>
      <c r="J248" s="7">
        <f t="shared" si="7"/>
        <v>9.4345617915659874E-3</v>
      </c>
      <c r="K248" s="7">
        <f t="shared" si="7"/>
        <v>4.4869783938376262E-2</v>
      </c>
      <c r="L248" s="7"/>
    </row>
    <row r="249" spans="1:12" x14ac:dyDescent="0.25">
      <c r="A249" s="2" t="s">
        <v>438</v>
      </c>
      <c r="B249" s="7">
        <v>3.1500315003150092E-3</v>
      </c>
      <c r="C249" s="7">
        <v>6.206896551723684E-4</v>
      </c>
      <c r="D249" s="7">
        <v>-1.2820512820512775E-2</v>
      </c>
      <c r="E249" s="7">
        <v>-2.1917388305617402E-2</v>
      </c>
      <c r="F249" s="7">
        <v>6.7281251608803938E-3</v>
      </c>
      <c r="G249" s="7"/>
      <c r="H249" s="7">
        <f t="shared" si="7"/>
        <v>-3.5780936605653846E-3</v>
      </c>
      <c r="I249" s="7">
        <f t="shared" si="7"/>
        <v>-6.1074355057080254E-3</v>
      </c>
      <c r="J249" s="7">
        <f t="shared" si="7"/>
        <v>-1.9548637981393169E-2</v>
      </c>
      <c r="K249" s="7">
        <f t="shared" si="7"/>
        <v>-2.8645513466497796E-2</v>
      </c>
      <c r="L249" s="7"/>
    </row>
    <row r="250" spans="1:12" x14ac:dyDescent="0.25">
      <c r="A250" s="2" t="s">
        <v>439</v>
      </c>
      <c r="B250" s="7">
        <v>4.747479314554548E-3</v>
      </c>
      <c r="C250" s="7">
        <v>5.5478502080443803E-3</v>
      </c>
      <c r="D250" s="7">
        <v>8.6206896551723755E-3</v>
      </c>
      <c r="E250" s="7">
        <v>3.5376451588096103E-3</v>
      </c>
      <c r="F250" s="7">
        <v>3.7812842467277452E-3</v>
      </c>
      <c r="G250" s="7"/>
      <c r="H250" s="7">
        <f t="shared" si="7"/>
        <v>9.6619506782680276E-4</v>
      </c>
      <c r="I250" s="7">
        <f t="shared" si="7"/>
        <v>1.7665659613166351E-3</v>
      </c>
      <c r="J250" s="7">
        <f t="shared" si="7"/>
        <v>4.8394054084446303E-3</v>
      </c>
      <c r="K250" s="7">
        <f t="shared" si="7"/>
        <v>-2.4363908791813493E-4</v>
      </c>
      <c r="L250" s="7"/>
    </row>
    <row r="251" spans="1:12" x14ac:dyDescent="0.25">
      <c r="A251" s="2" t="s">
        <v>52</v>
      </c>
      <c r="B251" s="7">
        <v>1.9451486517630734E-2</v>
      </c>
      <c r="C251" s="7">
        <v>1.3922092532695718E-2</v>
      </c>
      <c r="D251" s="7">
        <v>-2.5210084033613467E-2</v>
      </c>
      <c r="E251" s="7">
        <v>-1.5357444521231223E-3</v>
      </c>
      <c r="F251" s="7">
        <v>5.5384935154294546E-3</v>
      </c>
      <c r="G251" s="7"/>
      <c r="H251" s="7">
        <f t="shared" si="7"/>
        <v>1.3912993002201279E-2</v>
      </c>
      <c r="I251" s="7">
        <f t="shared" si="7"/>
        <v>8.3835990172662633E-3</v>
      </c>
      <c r="J251" s="7">
        <f t="shared" si="7"/>
        <v>-3.0748577549042921E-2</v>
      </c>
      <c r="K251" s="7">
        <f t="shared" si="7"/>
        <v>-7.0742379675525768E-3</v>
      </c>
      <c r="L251" s="7"/>
    </row>
    <row r="252" spans="1:12" x14ac:dyDescent="0.25">
      <c r="A252" s="2" t="s">
        <v>440</v>
      </c>
      <c r="B252" s="7">
        <v>-2.6606245513280724E-2</v>
      </c>
      <c r="C252" s="7">
        <v>-2.4219554030874835E-2</v>
      </c>
      <c r="D252" s="7">
        <v>-4.1841004184101083E-3</v>
      </c>
      <c r="E252" s="7">
        <v>-2.3616734143049989E-2</v>
      </c>
      <c r="F252" s="7">
        <v>-1.9737200328104554E-2</v>
      </c>
      <c r="G252" s="7"/>
      <c r="H252" s="7">
        <f t="shared" si="7"/>
        <v>-6.8690451851761702E-3</v>
      </c>
      <c r="I252" s="7">
        <f t="shared" si="7"/>
        <v>-4.4823537027702809E-3</v>
      </c>
      <c r="J252" s="7">
        <f t="shared" si="7"/>
        <v>1.5553099909694446E-2</v>
      </c>
      <c r="K252" s="7">
        <f t="shared" si="7"/>
        <v>-3.879533814945435E-3</v>
      </c>
      <c r="L252" s="7"/>
    </row>
    <row r="253" spans="1:12" x14ac:dyDescent="0.25">
      <c r="A253" s="2" t="s">
        <v>441</v>
      </c>
      <c r="B253" s="7">
        <v>1.047286575690265E-2</v>
      </c>
      <c r="C253" s="7">
        <v>-2.7814834578441805E-2</v>
      </c>
      <c r="D253" s="7">
        <v>-1.2396694214875992E-2</v>
      </c>
      <c r="E253" s="7">
        <v>2.568440479852363E-2</v>
      </c>
      <c r="F253" s="7">
        <v>-3.3069570393192693E-3</v>
      </c>
      <c r="G253" s="7"/>
      <c r="H253" s="7">
        <f t="shared" si="7"/>
        <v>1.3779822796221919E-2</v>
      </c>
      <c r="I253" s="7">
        <f t="shared" si="7"/>
        <v>-2.4507877539122536E-2</v>
      </c>
      <c r="J253" s="7">
        <f t="shared" si="7"/>
        <v>-9.0897371755567224E-3</v>
      </c>
      <c r="K253" s="7">
        <f t="shared" si="7"/>
        <v>2.8991361837842899E-2</v>
      </c>
      <c r="L253" s="7"/>
    </row>
    <row r="254" spans="1:12" x14ac:dyDescent="0.25">
      <c r="A254" s="2" t="s">
        <v>442</v>
      </c>
      <c r="B254" s="7">
        <v>-9.9201005476254878E-3</v>
      </c>
      <c r="C254" s="7">
        <v>-5.3078556263270738E-3</v>
      </c>
      <c r="D254" s="7">
        <v>8.3333333333333037E-3</v>
      </c>
      <c r="E254" s="7">
        <v>-3.8302436034931553E-3</v>
      </c>
      <c r="F254" s="7">
        <v>-1.115698545004451E-2</v>
      </c>
      <c r="G254" s="7"/>
      <c r="H254" s="7">
        <f t="shared" si="7"/>
        <v>1.236884902419022E-3</v>
      </c>
      <c r="I254" s="7">
        <f t="shared" si="7"/>
        <v>5.8491298237174361E-3</v>
      </c>
      <c r="J254" s="7">
        <f t="shared" si="7"/>
        <v>1.9490318783377814E-2</v>
      </c>
      <c r="K254" s="7">
        <f t="shared" si="7"/>
        <v>7.3267418465513545E-3</v>
      </c>
      <c r="L254" s="7"/>
    </row>
    <row r="255" spans="1:12" x14ac:dyDescent="0.25">
      <c r="A255" s="2" t="s">
        <v>443</v>
      </c>
      <c r="B255" s="7">
        <v>1.3696136870364528E-2</v>
      </c>
      <c r="C255" s="7">
        <v>2.260938954648184E-3</v>
      </c>
      <c r="D255" s="7">
        <v>-1.6393442622950838E-2</v>
      </c>
      <c r="E255" s="7">
        <v>-1.2855414398064258E-2</v>
      </c>
      <c r="F255" s="7">
        <v>1.5743198608773046E-3</v>
      </c>
      <c r="G255" s="7"/>
      <c r="H255" s="7">
        <f t="shared" si="7"/>
        <v>1.2121817009487224E-2</v>
      </c>
      <c r="I255" s="7">
        <f t="shared" si="7"/>
        <v>6.8661909377087937E-4</v>
      </c>
      <c r="J255" s="7">
        <f t="shared" si="7"/>
        <v>-1.7967762483828142E-2</v>
      </c>
      <c r="K255" s="7">
        <f t="shared" si="7"/>
        <v>-1.4429734258941562E-2</v>
      </c>
      <c r="L255" s="7"/>
    </row>
    <row r="256" spans="1:12" x14ac:dyDescent="0.25">
      <c r="A256" s="2" t="s">
        <v>53</v>
      </c>
      <c r="B256" s="7">
        <v>1.1273697772869573E-2</v>
      </c>
      <c r="C256" s="7">
        <v>1.8558656190734268E-2</v>
      </c>
      <c r="D256" s="7">
        <v>8.2644628099173278E-3</v>
      </c>
      <c r="E256" s="7">
        <v>-4.891263450974348E-3</v>
      </c>
      <c r="F256" s="7">
        <v>1.7646041682840563E-2</v>
      </c>
      <c r="G256" s="7"/>
      <c r="H256" s="7">
        <f t="shared" si="7"/>
        <v>-6.37234390997099E-3</v>
      </c>
      <c r="I256" s="7">
        <f t="shared" si="7"/>
        <v>9.1261450789370535E-4</v>
      </c>
      <c r="J256" s="7">
        <f t="shared" si="7"/>
        <v>-9.3815788729232352E-3</v>
      </c>
      <c r="K256" s="7">
        <f t="shared" si="7"/>
        <v>-2.2537305133814911E-2</v>
      </c>
      <c r="L256" s="7"/>
    </row>
    <row r="257" spans="1:12" x14ac:dyDescent="0.25">
      <c r="A257" s="2" t="s">
        <v>444</v>
      </c>
      <c r="B257" s="7">
        <v>1.9468030210630038E-2</v>
      </c>
      <c r="C257" s="7">
        <v>-5.9920554770080958E-3</v>
      </c>
      <c r="D257" s="7">
        <v>-3.2000000000000028E-2</v>
      </c>
      <c r="E257" s="7">
        <v>-1.2924311074797634E-2</v>
      </c>
      <c r="F257" s="7">
        <v>8.2466726353502828E-4</v>
      </c>
      <c r="G257" s="7"/>
      <c r="H257" s="7">
        <f t="shared" si="7"/>
        <v>1.864336294709501E-2</v>
      </c>
      <c r="I257" s="7">
        <f t="shared" si="7"/>
        <v>-6.8167227405431241E-3</v>
      </c>
      <c r="J257" s="7">
        <f t="shared" si="7"/>
        <v>-3.2824667263535057E-2</v>
      </c>
      <c r="K257" s="7">
        <f t="shared" si="7"/>
        <v>-1.3748978338332662E-2</v>
      </c>
      <c r="L257" s="7"/>
    </row>
    <row r="258" spans="1:12" x14ac:dyDescent="0.25">
      <c r="A258" s="2" t="s">
        <v>445</v>
      </c>
      <c r="B258" s="7">
        <v>-5.3193971349914104E-3</v>
      </c>
      <c r="C258" s="7">
        <v>-1.2696091465035919E-2</v>
      </c>
      <c r="D258" s="7">
        <v>-7.9365079365079083E-3</v>
      </c>
      <c r="E258" s="7">
        <v>-4.3956824314728027E-2</v>
      </c>
      <c r="F258" s="7">
        <v>-2.1849103746239829E-3</v>
      </c>
      <c r="G258" s="7"/>
      <c r="H258" s="7">
        <f t="shared" si="7"/>
        <v>-3.1344867603674276E-3</v>
      </c>
      <c r="I258" s="7">
        <f t="shared" si="7"/>
        <v>-1.0511181090411936E-2</v>
      </c>
      <c r="J258" s="7">
        <f t="shared" si="7"/>
        <v>-5.7515975618839255E-3</v>
      </c>
      <c r="K258" s="7">
        <f t="shared" ref="K258:K321" si="8">E258-$F258</f>
        <v>-4.1771913940104044E-2</v>
      </c>
      <c r="L258" s="7"/>
    </row>
    <row r="259" spans="1:12" x14ac:dyDescent="0.25">
      <c r="A259" s="2" t="s">
        <v>446</v>
      </c>
      <c r="B259" s="7">
        <v>1.1994144590829592E-2</v>
      </c>
      <c r="C259" s="7">
        <v>1.5183210742965025E-2</v>
      </c>
      <c r="D259" s="7">
        <v>2.857142857142847E-2</v>
      </c>
      <c r="E259" s="7">
        <v>3.2058132079504364E-3</v>
      </c>
      <c r="F259" s="7">
        <v>1.0798516740105457E-2</v>
      </c>
      <c r="G259" s="7"/>
      <c r="H259" s="7">
        <f t="shared" ref="H259:K322" si="9">B259-$F259</f>
        <v>1.1956278507241347E-3</v>
      </c>
      <c r="I259" s="7">
        <f t="shared" si="9"/>
        <v>4.3846940028595682E-3</v>
      </c>
      <c r="J259" s="7">
        <f t="shared" si="9"/>
        <v>1.7772911831323013E-2</v>
      </c>
      <c r="K259" s="7">
        <f t="shared" si="8"/>
        <v>-7.5927035321550207E-3</v>
      </c>
      <c r="L259" s="7"/>
    </row>
    <row r="260" spans="1:12" x14ac:dyDescent="0.25">
      <c r="A260" s="2" t="s">
        <v>447</v>
      </c>
      <c r="B260" s="7">
        <v>-6.1012812690663942E-3</v>
      </c>
      <c r="C260" s="7">
        <v>-1.4956128689178394E-2</v>
      </c>
      <c r="D260" s="7">
        <v>-1.6064257028112428E-2</v>
      </c>
      <c r="E260" s="7">
        <v>-3.2731532524807094E-2</v>
      </c>
      <c r="F260" s="7">
        <v>-1.0653519220738983E-2</v>
      </c>
      <c r="G260" s="7"/>
      <c r="H260" s="7">
        <f t="shared" si="9"/>
        <v>4.5522379516725886E-3</v>
      </c>
      <c r="I260" s="7">
        <f t="shared" si="9"/>
        <v>-4.3026094684394112E-3</v>
      </c>
      <c r="J260" s="7">
        <f t="shared" si="9"/>
        <v>-5.4107378073734447E-3</v>
      </c>
      <c r="K260" s="7">
        <f t="shared" si="8"/>
        <v>-2.2078013304068111E-2</v>
      </c>
      <c r="L260" s="7"/>
    </row>
    <row r="261" spans="1:12" x14ac:dyDescent="0.25">
      <c r="A261" s="2" t="s">
        <v>54</v>
      </c>
      <c r="B261" s="7">
        <v>2.399322544222704E-3</v>
      </c>
      <c r="C261" s="7">
        <v>1.8620082605457444E-2</v>
      </c>
      <c r="D261" s="7">
        <v>3.7500000000000089E-2</v>
      </c>
      <c r="E261" s="7">
        <v>4.5909909909909841E-2</v>
      </c>
      <c r="F261" s="7">
        <v>6.4160994796895743E-3</v>
      </c>
      <c r="G261" s="7"/>
      <c r="H261" s="7">
        <f t="shared" si="9"/>
        <v>-4.0167769354668703E-3</v>
      </c>
      <c r="I261" s="7">
        <f t="shared" si="9"/>
        <v>1.220398312576787E-2</v>
      </c>
      <c r="J261" s="7">
        <f t="shared" si="9"/>
        <v>3.1083900520310515E-2</v>
      </c>
      <c r="K261" s="7">
        <f t="shared" si="8"/>
        <v>3.9493810430220266E-2</v>
      </c>
      <c r="L261" s="7"/>
    </row>
    <row r="262" spans="1:12" x14ac:dyDescent="0.25">
      <c r="A262" s="2" t="s">
        <v>448</v>
      </c>
      <c r="B262" s="7">
        <v>1.8153949322220697E-2</v>
      </c>
      <c r="C262" s="7">
        <v>2.9485570890840584E-2</v>
      </c>
      <c r="D262" s="7">
        <v>3.4482758620689724E-2</v>
      </c>
      <c r="E262" s="7">
        <v>1.9845644983461863E-2</v>
      </c>
      <c r="F262" s="7">
        <v>2.1265883307494793E-2</v>
      </c>
      <c r="G262" s="7"/>
      <c r="H262" s="7">
        <f t="shared" si="9"/>
        <v>-3.1119339852740957E-3</v>
      </c>
      <c r="I262" s="7">
        <f t="shared" si="9"/>
        <v>8.2196875833457916E-3</v>
      </c>
      <c r="J262" s="7">
        <f t="shared" si="9"/>
        <v>1.3216875313194931E-2</v>
      </c>
      <c r="K262" s="7">
        <f t="shared" si="8"/>
        <v>-1.4202383240329297E-3</v>
      </c>
      <c r="L262" s="7"/>
    </row>
    <row r="263" spans="1:12" x14ac:dyDescent="0.25">
      <c r="A263" s="2" t="s">
        <v>449</v>
      </c>
      <c r="B263" s="7">
        <v>-3.3651175708202086E-2</v>
      </c>
      <c r="C263" s="7">
        <v>-2.7521691973969697E-2</v>
      </c>
      <c r="D263" s="7">
        <v>-4.2918454935623185E-3</v>
      </c>
      <c r="E263" s="7">
        <v>8.8239655939492678E-3</v>
      </c>
      <c r="F263" s="7">
        <v>-1.3891022092047178E-2</v>
      </c>
      <c r="G263" s="7"/>
      <c r="H263" s="7">
        <f t="shared" si="9"/>
        <v>-1.9760153616154907E-2</v>
      </c>
      <c r="I263" s="7">
        <f t="shared" si="9"/>
        <v>-1.3630669881922519E-2</v>
      </c>
      <c r="J263" s="7">
        <f t="shared" si="9"/>
        <v>9.5991765984848598E-3</v>
      </c>
      <c r="K263" s="7">
        <f t="shared" si="8"/>
        <v>2.2714987685996446E-2</v>
      </c>
      <c r="L263" s="7"/>
    </row>
    <row r="264" spans="1:12" x14ac:dyDescent="0.25">
      <c r="A264" s="2" t="s">
        <v>450</v>
      </c>
      <c r="B264" s="7">
        <v>-1.7464071311624529E-2</v>
      </c>
      <c r="C264" s="7">
        <v>1.8292262028025252E-2</v>
      </c>
      <c r="D264" s="7">
        <v>1.3043478260869712E-2</v>
      </c>
      <c r="E264" s="7">
        <v>-1.3532294638285425E-2</v>
      </c>
      <c r="F264" s="7">
        <v>4.8868732804865367E-3</v>
      </c>
      <c r="G264" s="7"/>
      <c r="H264" s="7">
        <f t="shared" si="9"/>
        <v>-2.2350944592111066E-2</v>
      </c>
      <c r="I264" s="7">
        <f t="shared" si="9"/>
        <v>1.3405388747538716E-2</v>
      </c>
      <c r="J264" s="7">
        <f t="shared" si="9"/>
        <v>8.1566049803831753E-3</v>
      </c>
      <c r="K264" s="7">
        <f t="shared" si="8"/>
        <v>-1.8419167918771961E-2</v>
      </c>
      <c r="L264" s="7"/>
    </row>
    <row r="265" spans="1:12" x14ac:dyDescent="0.25">
      <c r="A265" s="2" t="s">
        <v>451</v>
      </c>
      <c r="B265" s="7">
        <v>-2.9184511457459594E-2</v>
      </c>
      <c r="C265" s="7">
        <v>-5.5191445325963873E-4</v>
      </c>
      <c r="D265" s="7">
        <v>0</v>
      </c>
      <c r="E265" s="7">
        <v>4.8872180451127845E-2</v>
      </c>
      <c r="F265" s="7">
        <v>-7.5678236584880709E-3</v>
      </c>
      <c r="G265" s="7"/>
      <c r="H265" s="7">
        <f t="shared" si="9"/>
        <v>-2.1616687798971523E-2</v>
      </c>
      <c r="I265" s="7">
        <f t="shared" si="9"/>
        <v>7.0159092052284322E-3</v>
      </c>
      <c r="J265" s="7">
        <f t="shared" si="9"/>
        <v>7.5678236584880709E-3</v>
      </c>
      <c r="K265" s="7">
        <f t="shared" si="8"/>
        <v>5.6440004109615916E-2</v>
      </c>
      <c r="L265" s="7"/>
    </row>
    <row r="266" spans="1:12" x14ac:dyDescent="0.25">
      <c r="A266" s="2" t="s">
        <v>55</v>
      </c>
      <c r="B266" s="7">
        <v>-4.8481283871780856E-2</v>
      </c>
      <c r="C266" s="7">
        <v>9.0497737556560764E-3</v>
      </c>
      <c r="D266" s="7">
        <v>-8.6206896551723755E-3</v>
      </c>
      <c r="E266" s="7">
        <v>-5.7419728087937494E-2</v>
      </c>
      <c r="F266" s="7">
        <v>-2.6973068524487775E-2</v>
      </c>
      <c r="G266" s="7"/>
      <c r="H266" s="7">
        <f t="shared" si="9"/>
        <v>-2.150821534729308E-2</v>
      </c>
      <c r="I266" s="7">
        <f t="shared" si="9"/>
        <v>3.6022842280143852E-2</v>
      </c>
      <c r="J266" s="7">
        <f t="shared" si="9"/>
        <v>1.83523788693154E-2</v>
      </c>
      <c r="K266" s="7">
        <f t="shared" si="8"/>
        <v>-3.0446659563449718E-2</v>
      </c>
      <c r="L266" s="7"/>
    </row>
    <row r="267" spans="1:12" x14ac:dyDescent="0.25">
      <c r="A267" s="2" t="s">
        <v>452</v>
      </c>
      <c r="B267" s="7">
        <v>1.5876403055780752E-2</v>
      </c>
      <c r="C267" s="7">
        <v>-4.3665095647351659E-3</v>
      </c>
      <c r="D267" s="7">
        <v>-8.5470085470085166E-3</v>
      </c>
      <c r="E267" s="7">
        <v>4.7958145618369752E-3</v>
      </c>
      <c r="F267" s="7">
        <v>5.5205871897281433E-3</v>
      </c>
      <c r="G267" s="7"/>
      <c r="H267" s="7">
        <f t="shared" si="9"/>
        <v>1.0355815866052609E-2</v>
      </c>
      <c r="I267" s="7">
        <f t="shared" si="9"/>
        <v>-9.8870967544633093E-3</v>
      </c>
      <c r="J267" s="7">
        <f t="shared" si="9"/>
        <v>-1.406759573673666E-2</v>
      </c>
      <c r="K267" s="7">
        <f t="shared" si="8"/>
        <v>-7.2477262789116814E-4</v>
      </c>
      <c r="L267" s="7"/>
    </row>
    <row r="268" spans="1:12" x14ac:dyDescent="0.25">
      <c r="A268" s="2" t="s">
        <v>453</v>
      </c>
      <c r="B268" s="7">
        <v>-1.7467620995228472E-3</v>
      </c>
      <c r="C268" s="7">
        <v>-4.5536083896784429E-3</v>
      </c>
      <c r="D268" s="7">
        <v>2.6315789473684292E-2</v>
      </c>
      <c r="E268" s="7">
        <v>-7.7150479486624013E-3</v>
      </c>
      <c r="F268" s="7">
        <v>-1.7819030128555013E-2</v>
      </c>
      <c r="G268" s="7"/>
      <c r="H268" s="7">
        <f t="shared" si="9"/>
        <v>1.6072268029032166E-2</v>
      </c>
      <c r="I268" s="7">
        <f t="shared" si="9"/>
        <v>1.3265421738876571E-2</v>
      </c>
      <c r="J268" s="7">
        <f t="shared" si="9"/>
        <v>4.4134819602239306E-2</v>
      </c>
      <c r="K268" s="7">
        <f t="shared" si="8"/>
        <v>1.0103982179892612E-2</v>
      </c>
      <c r="L268" s="7"/>
    </row>
    <row r="269" spans="1:12" x14ac:dyDescent="0.25">
      <c r="A269" s="2" t="s">
        <v>454</v>
      </c>
      <c r="B269" s="7">
        <v>-8.0882039930185723E-4</v>
      </c>
      <c r="C269" s="7">
        <v>1.2009495880463517E-2</v>
      </c>
      <c r="D269" s="7">
        <v>-2.1459227467811259E-2</v>
      </c>
      <c r="E269" s="7">
        <v>8.6146135171117466E-2</v>
      </c>
      <c r="F269" s="7">
        <v>1.1159281084776262E-2</v>
      </c>
      <c r="G269" s="7"/>
      <c r="H269" s="7">
        <f t="shared" si="9"/>
        <v>-1.196810148407812E-2</v>
      </c>
      <c r="I269" s="7">
        <f t="shared" si="9"/>
        <v>8.5021479568725411E-4</v>
      </c>
      <c r="J269" s="7">
        <f t="shared" si="9"/>
        <v>-3.2618508552587522E-2</v>
      </c>
      <c r="K269" s="7">
        <f t="shared" si="8"/>
        <v>7.4986854086341204E-2</v>
      </c>
      <c r="L269" s="7"/>
    </row>
    <row r="270" spans="1:12" x14ac:dyDescent="0.25">
      <c r="A270" s="2" t="s">
        <v>455</v>
      </c>
      <c r="B270" s="7">
        <v>-8.818565400843914E-3</v>
      </c>
      <c r="C270" s="7">
        <v>-4.9256505576208087E-2</v>
      </c>
      <c r="D270" s="7">
        <v>2.6431718061673992E-2</v>
      </c>
      <c r="E270" s="7">
        <v>-7.3849502487561836E-3</v>
      </c>
      <c r="F270" s="7">
        <v>-1.2234773630190987E-2</v>
      </c>
      <c r="G270" s="7"/>
      <c r="H270" s="7">
        <f t="shared" si="9"/>
        <v>3.416208229347073E-3</v>
      </c>
      <c r="I270" s="7">
        <f t="shared" si="9"/>
        <v>-3.70217319460171E-2</v>
      </c>
      <c r="J270" s="7">
        <f t="shared" si="9"/>
        <v>3.8666491691864979E-2</v>
      </c>
      <c r="K270" s="7">
        <f t="shared" si="8"/>
        <v>4.8498233814348035E-3</v>
      </c>
      <c r="L270" s="7"/>
    </row>
    <row r="271" spans="1:12" x14ac:dyDescent="0.25">
      <c r="A271" s="2" t="s">
        <v>56</v>
      </c>
      <c r="B271" s="7">
        <v>-1.5739856306325017E-2</v>
      </c>
      <c r="C271" s="7">
        <v>-1.0964480336156601E-2</v>
      </c>
      <c r="D271" s="7">
        <v>4.4247787610620648E-3</v>
      </c>
      <c r="E271" s="7">
        <v>-1.2815593584529328E-2</v>
      </c>
      <c r="F271" s="7">
        <v>-1.7596775547904953E-2</v>
      </c>
      <c r="G271" s="7"/>
      <c r="H271" s="7">
        <f t="shared" si="9"/>
        <v>1.8569192415799352E-3</v>
      </c>
      <c r="I271" s="7">
        <f t="shared" si="9"/>
        <v>6.6322952117483513E-3</v>
      </c>
      <c r="J271" s="7">
        <f t="shared" si="9"/>
        <v>2.2021554308967017E-2</v>
      </c>
      <c r="K271" s="7">
        <f t="shared" si="8"/>
        <v>4.7811819633756247E-3</v>
      </c>
      <c r="L271" s="7"/>
    </row>
    <row r="272" spans="1:12" x14ac:dyDescent="0.25">
      <c r="A272" s="2" t="s">
        <v>456</v>
      </c>
      <c r="B272" s="7">
        <v>1.9130655605874569E-2</v>
      </c>
      <c r="C272" s="7">
        <v>3.0514208389715858E-2</v>
      </c>
      <c r="D272" s="7">
        <v>-4.4052863436124801E-3</v>
      </c>
      <c r="E272" s="7">
        <v>-2.956508787607981E-2</v>
      </c>
      <c r="F272" s="7">
        <v>1.5854114170776867E-2</v>
      </c>
      <c r="G272" s="7"/>
      <c r="H272" s="7">
        <f t="shared" si="9"/>
        <v>3.2765414350977018E-3</v>
      </c>
      <c r="I272" s="7">
        <f t="shared" si="9"/>
        <v>1.466009421893899E-2</v>
      </c>
      <c r="J272" s="7">
        <f t="shared" si="9"/>
        <v>-2.0259400514389347E-2</v>
      </c>
      <c r="K272" s="7">
        <f t="shared" si="8"/>
        <v>-4.5419202046856677E-2</v>
      </c>
      <c r="L272" s="7"/>
    </row>
    <row r="273" spans="1:12" x14ac:dyDescent="0.25">
      <c r="A273" s="2" t="s">
        <v>457</v>
      </c>
      <c r="B273" s="7">
        <v>-1.2744442587330651E-2</v>
      </c>
      <c r="C273" s="7">
        <v>2.100027631942547E-2</v>
      </c>
      <c r="D273" s="7">
        <v>-3.8135593220338881E-2</v>
      </c>
      <c r="E273" s="7">
        <v>-1.8205746874314643E-2</v>
      </c>
      <c r="F273" s="7">
        <v>-1.586451446090209E-2</v>
      </c>
      <c r="G273" s="7"/>
      <c r="H273" s="7">
        <f t="shared" si="9"/>
        <v>3.1200718735714394E-3</v>
      </c>
      <c r="I273" s="7">
        <f t="shared" si="9"/>
        <v>3.6864790780327561E-2</v>
      </c>
      <c r="J273" s="7">
        <f t="shared" si="9"/>
        <v>-2.2271078759436791E-2</v>
      </c>
      <c r="K273" s="7">
        <f t="shared" si="8"/>
        <v>-2.3412324134125528E-3</v>
      </c>
      <c r="L273" s="7"/>
    </row>
    <row r="274" spans="1:12" x14ac:dyDescent="0.25">
      <c r="A274" s="2" t="s">
        <v>458</v>
      </c>
      <c r="B274" s="7">
        <v>-2.7035817376102833E-2</v>
      </c>
      <c r="C274" s="7">
        <v>6.0462853568699071E-3</v>
      </c>
      <c r="D274" s="7">
        <v>-4.2194092827004814E-3</v>
      </c>
      <c r="E274" s="7">
        <v>3.7866140537259119E-2</v>
      </c>
      <c r="F274" s="7">
        <v>1.3601444103938931E-4</v>
      </c>
      <c r="G274" s="7"/>
      <c r="H274" s="7">
        <f t="shared" si="9"/>
        <v>-2.7171831817142222E-2</v>
      </c>
      <c r="I274" s="7">
        <f t="shared" si="9"/>
        <v>5.9102709158305178E-3</v>
      </c>
      <c r="J274" s="7">
        <f t="shared" si="9"/>
        <v>-4.3554237237398707E-3</v>
      </c>
      <c r="K274" s="7">
        <f t="shared" si="8"/>
        <v>3.7730126096219729E-2</v>
      </c>
      <c r="L274" s="7"/>
    </row>
    <row r="275" spans="1:12" x14ac:dyDescent="0.25">
      <c r="A275" s="2" t="s">
        <v>459</v>
      </c>
      <c r="B275" s="7">
        <v>-2.4387269845138615E-4</v>
      </c>
      <c r="C275" s="7">
        <v>7.2803640182008689E-3</v>
      </c>
      <c r="D275" s="7">
        <v>-1.6597510373444035E-2</v>
      </c>
      <c r="E275" s="7">
        <v>3.8455476753349149E-2</v>
      </c>
      <c r="F275" s="7">
        <v>-4.6797309154723576E-3</v>
      </c>
      <c r="G275" s="7"/>
      <c r="H275" s="7">
        <f t="shared" si="9"/>
        <v>4.4358582170209715E-3</v>
      </c>
      <c r="I275" s="7">
        <f t="shared" si="9"/>
        <v>1.1960094933673227E-2</v>
      </c>
      <c r="J275" s="7">
        <f t="shared" si="9"/>
        <v>-1.1917779457971678E-2</v>
      </c>
      <c r="K275" s="7">
        <f t="shared" si="8"/>
        <v>4.3135207668821507E-2</v>
      </c>
      <c r="L275" s="7"/>
    </row>
    <row r="276" spans="1:12" x14ac:dyDescent="0.25">
      <c r="A276" s="2" t="s">
        <v>57</v>
      </c>
      <c r="B276" s="7">
        <v>6.3399869109947993E-3</v>
      </c>
      <c r="C276" s="7">
        <v>3.4419780837311453E-3</v>
      </c>
      <c r="D276" s="7">
        <v>-8.2304526748970819E-3</v>
      </c>
      <c r="E276" s="7">
        <v>-0.10229202037351448</v>
      </c>
      <c r="F276" s="7">
        <v>-4.9691258961639395E-3</v>
      </c>
      <c r="G276" s="7"/>
      <c r="H276" s="7">
        <f t="shared" si="9"/>
        <v>1.1309112807158739E-2</v>
      </c>
      <c r="I276" s="7">
        <f t="shared" si="9"/>
        <v>8.4111039798950848E-3</v>
      </c>
      <c r="J276" s="7">
        <f t="shared" si="9"/>
        <v>-3.2613267787331424E-3</v>
      </c>
      <c r="K276" s="7">
        <f t="shared" si="8"/>
        <v>-9.7322894477350541E-2</v>
      </c>
      <c r="L276" s="7"/>
    </row>
    <row r="277" spans="1:12" x14ac:dyDescent="0.25">
      <c r="A277" s="2" t="s">
        <v>460</v>
      </c>
      <c r="B277" s="7">
        <v>-1.1439777741460988E-3</v>
      </c>
      <c r="C277" s="7">
        <v>-2.7462768137723637E-2</v>
      </c>
      <c r="D277" s="7">
        <v>4.1322314049587749E-3</v>
      </c>
      <c r="E277" s="7">
        <v>5.7213372223468673E-2</v>
      </c>
      <c r="F277" s="7">
        <v>-1.70641044083224E-2</v>
      </c>
      <c r="G277" s="7"/>
      <c r="H277" s="7">
        <f t="shared" si="9"/>
        <v>1.5920126634176301E-2</v>
      </c>
      <c r="I277" s="7">
        <f t="shared" si="9"/>
        <v>-1.0398663729401236E-2</v>
      </c>
      <c r="J277" s="7">
        <f t="shared" si="9"/>
        <v>2.1196335813281175E-2</v>
      </c>
      <c r="K277" s="7">
        <f t="shared" si="8"/>
        <v>7.4277476631791073E-2</v>
      </c>
      <c r="L277" s="7"/>
    </row>
    <row r="278" spans="1:12" x14ac:dyDescent="0.25">
      <c r="A278" s="2" t="s">
        <v>461</v>
      </c>
      <c r="B278" s="7">
        <v>3.8964767646938459E-3</v>
      </c>
      <c r="C278" s="7">
        <v>-7.4586384594520494E-3</v>
      </c>
      <c r="D278" s="7">
        <v>-8.1967213114754189E-3</v>
      </c>
      <c r="E278" s="7">
        <v>8.0921584478577335E-2</v>
      </c>
      <c r="F278" s="7">
        <v>-4.3342040803039383E-3</v>
      </c>
      <c r="G278" s="7"/>
      <c r="H278" s="7">
        <f t="shared" si="9"/>
        <v>8.2306808449977842E-3</v>
      </c>
      <c r="I278" s="7">
        <f t="shared" si="9"/>
        <v>-3.1244343791481111E-3</v>
      </c>
      <c r="J278" s="7">
        <f t="shared" si="9"/>
        <v>-3.8625172311714806E-3</v>
      </c>
      <c r="K278" s="7">
        <f t="shared" si="8"/>
        <v>8.5255788558881274E-2</v>
      </c>
      <c r="L278" s="7"/>
    </row>
    <row r="279" spans="1:12" x14ac:dyDescent="0.25">
      <c r="A279" s="2" t="s">
        <v>462</v>
      </c>
      <c r="B279" s="7">
        <v>1.6433178587569319E-3</v>
      </c>
      <c r="C279" s="7">
        <v>8.1345273087702896E-3</v>
      </c>
      <c r="D279" s="7">
        <v>-4.0816326530612734E-3</v>
      </c>
      <c r="E279" s="7">
        <v>-8.7346742527446564E-3</v>
      </c>
      <c r="F279" s="7">
        <v>2.3769980977488281E-3</v>
      </c>
      <c r="G279" s="7"/>
      <c r="H279" s="7">
        <f t="shared" si="9"/>
        <v>-7.3368023899189616E-4</v>
      </c>
      <c r="I279" s="7">
        <f t="shared" si="9"/>
        <v>5.7575292110214615E-3</v>
      </c>
      <c r="J279" s="7">
        <f t="shared" si="9"/>
        <v>-6.4586307508101015E-3</v>
      </c>
      <c r="K279" s="7">
        <f t="shared" si="8"/>
        <v>-1.1111672350493484E-2</v>
      </c>
      <c r="L279" s="7"/>
    </row>
    <row r="280" spans="1:12" x14ac:dyDescent="0.25">
      <c r="A280" s="2" t="s">
        <v>463</v>
      </c>
      <c r="B280" s="7">
        <v>-5.3379321671997992E-4</v>
      </c>
      <c r="C280" s="7">
        <v>2.466936202288661E-3</v>
      </c>
      <c r="D280" s="7">
        <v>4.098360655737876E-3</v>
      </c>
      <c r="E280" s="7">
        <v>1.7365074188814722E-2</v>
      </c>
      <c r="F280" s="7">
        <v>2.4449557863681637E-3</v>
      </c>
      <c r="G280" s="7"/>
      <c r="H280" s="7">
        <f t="shared" si="9"/>
        <v>-2.9787490030881436E-3</v>
      </c>
      <c r="I280" s="7">
        <f t="shared" si="9"/>
        <v>2.1980415920497265E-5</v>
      </c>
      <c r="J280" s="7">
        <f t="shared" si="9"/>
        <v>1.6534048693697123E-3</v>
      </c>
      <c r="K280" s="7">
        <f t="shared" si="8"/>
        <v>1.4920118402446558E-2</v>
      </c>
      <c r="L280" s="7"/>
    </row>
    <row r="281" spans="1:12" x14ac:dyDescent="0.25">
      <c r="A281" s="2" t="s">
        <v>464</v>
      </c>
      <c r="B281" s="7">
        <v>1.2724550898203679E-2</v>
      </c>
      <c r="C281" s="7">
        <v>4.2667400729474725E-3</v>
      </c>
      <c r="D281" s="7">
        <v>-8.1300813008130524E-3</v>
      </c>
      <c r="E281" s="7">
        <v>4.3470863462356402E-2</v>
      </c>
      <c r="F281" s="7">
        <v>-7.195338728738232E-5</v>
      </c>
      <c r="G281" s="7"/>
      <c r="H281" s="7">
        <f t="shared" si="9"/>
        <v>1.2796504285491062E-2</v>
      </c>
      <c r="I281" s="7">
        <f t="shared" si="9"/>
        <v>4.3386934602348548E-3</v>
      </c>
      <c r="J281" s="7">
        <f t="shared" si="9"/>
        <v>-8.05812791352567E-3</v>
      </c>
      <c r="K281" s="7">
        <f t="shared" si="8"/>
        <v>4.3542816849643784E-2</v>
      </c>
      <c r="L281" s="7"/>
    </row>
    <row r="282" spans="1:12" x14ac:dyDescent="0.25">
      <c r="A282" s="2" t="s">
        <v>465</v>
      </c>
      <c r="B282" s="7">
        <v>1.9674355495250984E-2</v>
      </c>
      <c r="C282" s="7">
        <v>-1.0312113295751768E-3</v>
      </c>
      <c r="D282" s="7">
        <v>-1.9920318725099584E-2</v>
      </c>
      <c r="E282" s="7">
        <v>1.0226882090065281E-2</v>
      </c>
      <c r="F282" s="7">
        <v>1.0426357037460532E-2</v>
      </c>
      <c r="G282" s="7"/>
      <c r="H282" s="7">
        <f t="shared" si="9"/>
        <v>9.2479984577904517E-3</v>
      </c>
      <c r="I282" s="7">
        <f t="shared" si="9"/>
        <v>-1.1457568367035709E-2</v>
      </c>
      <c r="J282" s="7">
        <f t="shared" si="9"/>
        <v>-3.0346675762560116E-2</v>
      </c>
      <c r="K282" s="7">
        <f t="shared" si="8"/>
        <v>-1.9947494739525062E-4</v>
      </c>
      <c r="L282" s="7"/>
    </row>
    <row r="283" spans="1:12" x14ac:dyDescent="0.25">
      <c r="A283" s="2" t="s">
        <v>466</v>
      </c>
      <c r="B283" s="7">
        <v>1.8263460126937581E-2</v>
      </c>
      <c r="C283" s="7">
        <v>-7.9792675441586747E-3</v>
      </c>
      <c r="D283" s="7">
        <v>8.0321285140561027E-3</v>
      </c>
      <c r="E283" s="7">
        <v>4.9138941484086152E-2</v>
      </c>
      <c r="F283" s="7">
        <v>-2.7239021174919609E-3</v>
      </c>
      <c r="G283" s="7"/>
      <c r="H283" s="7">
        <f t="shared" si="9"/>
        <v>2.0987362244429542E-2</v>
      </c>
      <c r="I283" s="7">
        <f t="shared" si="9"/>
        <v>-5.2553654266667138E-3</v>
      </c>
      <c r="J283" s="7">
        <f t="shared" si="9"/>
        <v>1.0756030631548064E-2</v>
      </c>
      <c r="K283" s="7">
        <f t="shared" si="8"/>
        <v>5.1862843601578112E-2</v>
      </c>
      <c r="L283" s="7"/>
    </row>
    <row r="284" spans="1:12" x14ac:dyDescent="0.25">
      <c r="A284" s="2" t="s">
        <v>467</v>
      </c>
      <c r="B284" s="7">
        <v>2.1838877614047458E-2</v>
      </c>
      <c r="C284" s="7">
        <v>2.5297415561329473E-3</v>
      </c>
      <c r="D284" s="7">
        <v>-1.1904761904761862E-2</v>
      </c>
      <c r="E284" s="7">
        <v>1.3154288846259243E-2</v>
      </c>
      <c r="F284" s="7">
        <v>3.3957312690802155E-4</v>
      </c>
      <c r="G284" s="7"/>
      <c r="H284" s="7">
        <f t="shared" si="9"/>
        <v>2.1499304487139437E-2</v>
      </c>
      <c r="I284" s="7">
        <f t="shared" si="9"/>
        <v>2.1901684292249257E-3</v>
      </c>
      <c r="J284" s="7">
        <f t="shared" si="9"/>
        <v>-1.2244335031669884E-2</v>
      </c>
      <c r="K284" s="7">
        <f t="shared" si="8"/>
        <v>1.2814715719351222E-2</v>
      </c>
      <c r="L284" s="7"/>
    </row>
    <row r="285" spans="1:12" x14ac:dyDescent="0.25">
      <c r="A285" s="2" t="s">
        <v>58</v>
      </c>
      <c r="B285" s="7">
        <v>1.1926321834003772E-3</v>
      </c>
      <c r="C285" s="7">
        <v>-1.2291723572794844E-3</v>
      </c>
      <c r="D285" s="7">
        <v>8.0000000000000071E-3</v>
      </c>
      <c r="E285" s="7">
        <v>7.5449454759799472E-2</v>
      </c>
      <c r="F285" s="7">
        <v>6.712589964470439E-3</v>
      </c>
      <c r="G285" s="7"/>
      <c r="H285" s="7">
        <f t="shared" si="9"/>
        <v>-5.5199577810700617E-3</v>
      </c>
      <c r="I285" s="7">
        <f t="shared" si="9"/>
        <v>-7.9417623217499234E-3</v>
      </c>
      <c r="J285" s="7">
        <f t="shared" si="9"/>
        <v>1.2874100355295681E-3</v>
      </c>
      <c r="K285" s="7">
        <f t="shared" si="8"/>
        <v>6.8736864795329033E-2</v>
      </c>
      <c r="L285" s="7"/>
    </row>
    <row r="286" spans="1:12" x14ac:dyDescent="0.25">
      <c r="A286" s="2" t="s">
        <v>468</v>
      </c>
      <c r="B286" s="7">
        <v>-2.3970683336926091E-2</v>
      </c>
      <c r="C286" s="7">
        <v>-1.6058590337969636E-2</v>
      </c>
      <c r="D286" s="7">
        <v>-1.1857707509881354E-2</v>
      </c>
      <c r="E286" s="7">
        <v>3.1202512410090311E-2</v>
      </c>
      <c r="F286" s="7">
        <v>-9.464837258386094E-3</v>
      </c>
      <c r="G286" s="7"/>
      <c r="H286" s="7">
        <f t="shared" si="9"/>
        <v>-1.4505846078539997E-2</v>
      </c>
      <c r="I286" s="7">
        <f t="shared" si="9"/>
        <v>-6.593753079583542E-3</v>
      </c>
      <c r="J286" s="7">
        <f t="shared" si="9"/>
        <v>-2.3928702514952604E-3</v>
      </c>
      <c r="K286" s="7">
        <f t="shared" si="8"/>
        <v>4.0667349668476405E-2</v>
      </c>
      <c r="L286" s="7"/>
    </row>
    <row r="287" spans="1:12" x14ac:dyDescent="0.25">
      <c r="A287" s="2" t="s">
        <v>469</v>
      </c>
      <c r="B287" s="7">
        <v>3.2005536092729603E-3</v>
      </c>
      <c r="C287" s="7">
        <v>-8.7271750805584247E-4</v>
      </c>
      <c r="D287" s="7">
        <v>-2.6923076923077049E-2</v>
      </c>
      <c r="E287" s="7">
        <v>1.1062173512240037E-2</v>
      </c>
      <c r="F287" s="7">
        <v>3.64432448840879E-3</v>
      </c>
      <c r="G287" s="7"/>
      <c r="H287" s="7">
        <f t="shared" si="9"/>
        <v>-4.4377087913582969E-4</v>
      </c>
      <c r="I287" s="7">
        <f t="shared" si="9"/>
        <v>-4.5170419964646324E-3</v>
      </c>
      <c r="J287" s="7">
        <f t="shared" si="9"/>
        <v>-3.0567401411485839E-2</v>
      </c>
      <c r="K287" s="7">
        <f t="shared" si="8"/>
        <v>7.4178490238312467E-3</v>
      </c>
      <c r="L287" s="7"/>
    </row>
    <row r="288" spans="1:12" x14ac:dyDescent="0.25">
      <c r="A288" s="2" t="s">
        <v>470</v>
      </c>
      <c r="B288" s="7">
        <v>-1.4252396994038907E-3</v>
      </c>
      <c r="C288" s="7">
        <v>5.128205128205332E-3</v>
      </c>
      <c r="D288" s="7">
        <v>0</v>
      </c>
      <c r="E288" s="7">
        <v>-3.000496770988581E-2</v>
      </c>
      <c r="F288" s="7">
        <v>3.9086566808217427E-3</v>
      </c>
      <c r="G288" s="7"/>
      <c r="H288" s="7">
        <f t="shared" si="9"/>
        <v>-5.3338963802256334E-3</v>
      </c>
      <c r="I288" s="7">
        <f t="shared" si="9"/>
        <v>1.2195484473835894E-3</v>
      </c>
      <c r="J288" s="7">
        <f t="shared" si="9"/>
        <v>-3.9086566808217427E-3</v>
      </c>
      <c r="K288" s="7">
        <f t="shared" si="8"/>
        <v>-3.3913624390707553E-2</v>
      </c>
      <c r="L288" s="7"/>
    </row>
    <row r="289" spans="1:12" x14ac:dyDescent="0.25">
      <c r="A289" s="2" t="s">
        <v>471</v>
      </c>
      <c r="B289" s="7">
        <v>2.1034528376769224E-2</v>
      </c>
      <c r="C289" s="7">
        <v>1.0914051841746319E-2</v>
      </c>
      <c r="D289" s="7">
        <v>4.0000000000000036E-2</v>
      </c>
      <c r="E289" s="7">
        <v>3.7949881406620589E-2</v>
      </c>
      <c r="F289" s="7">
        <v>7.2248718423506553E-3</v>
      </c>
      <c r="G289" s="7"/>
      <c r="H289" s="7">
        <f t="shared" si="9"/>
        <v>1.3809656534418568E-2</v>
      </c>
      <c r="I289" s="7">
        <f t="shared" si="9"/>
        <v>3.6891799993956642E-3</v>
      </c>
      <c r="J289" s="7">
        <f t="shared" si="9"/>
        <v>3.277512815764938E-2</v>
      </c>
      <c r="K289" s="7">
        <f t="shared" si="8"/>
        <v>3.0725009564269934E-2</v>
      </c>
      <c r="L289" s="7"/>
    </row>
    <row r="290" spans="1:12" x14ac:dyDescent="0.25">
      <c r="A290" s="2" t="s">
        <v>59</v>
      </c>
      <c r="B290" s="7">
        <v>-3.387014314928416E-2</v>
      </c>
      <c r="C290" s="7">
        <v>-1.4188689395467802E-2</v>
      </c>
      <c r="D290" s="7">
        <v>4.0160642570279403E-3</v>
      </c>
      <c r="E290" s="7">
        <v>-2.3662551440329915E-3</v>
      </c>
      <c r="F290" s="7">
        <v>-7.6086038807853251E-3</v>
      </c>
      <c r="G290" s="7"/>
      <c r="H290" s="7">
        <f t="shared" si="9"/>
        <v>-2.6261539268498835E-2</v>
      </c>
      <c r="I290" s="7">
        <f t="shared" si="9"/>
        <v>-6.5800855146824766E-3</v>
      </c>
      <c r="J290" s="7">
        <f t="shared" si="9"/>
        <v>1.1624668137813265E-2</v>
      </c>
      <c r="K290" s="7">
        <f t="shared" si="8"/>
        <v>5.2423487367523336E-3</v>
      </c>
      <c r="L290" s="7"/>
    </row>
    <row r="291" spans="1:12" x14ac:dyDescent="0.25">
      <c r="A291" s="2" t="s">
        <v>472</v>
      </c>
      <c r="B291" s="7">
        <v>-6.686415573423643E-3</v>
      </c>
      <c r="C291" s="7">
        <v>-1.4251624022272313E-2</v>
      </c>
      <c r="D291" s="7">
        <v>-1.9685039370078705E-2</v>
      </c>
      <c r="E291" s="7">
        <v>-3.7909531822231002E-2</v>
      </c>
      <c r="F291" s="7">
        <v>-5.0468031697350479E-3</v>
      </c>
      <c r="G291" s="7"/>
      <c r="H291" s="7">
        <f t="shared" si="9"/>
        <v>-1.6396124036885951E-3</v>
      </c>
      <c r="I291" s="7">
        <f t="shared" si="9"/>
        <v>-9.2048208525372655E-3</v>
      </c>
      <c r="J291" s="7">
        <f t="shared" si="9"/>
        <v>-1.4638236200343657E-2</v>
      </c>
      <c r="K291" s="7">
        <f t="shared" si="8"/>
        <v>-3.2862728652495954E-2</v>
      </c>
      <c r="L291" s="7"/>
    </row>
    <row r="292" spans="1:12" x14ac:dyDescent="0.25">
      <c r="A292" s="2" t="s">
        <v>473</v>
      </c>
      <c r="B292" s="7">
        <v>-7.3930941779383197E-3</v>
      </c>
      <c r="C292" s="7">
        <v>1.8842439386776766E-2</v>
      </c>
      <c r="D292" s="7">
        <v>1.6000000000000014E-2</v>
      </c>
      <c r="E292" s="7">
        <v>6.2243717800441578E-2</v>
      </c>
      <c r="F292" s="7">
        <v>5.2754370946348494E-3</v>
      </c>
      <c r="G292" s="7"/>
      <c r="H292" s="7">
        <f t="shared" si="9"/>
        <v>-1.2668531272573169E-2</v>
      </c>
      <c r="I292" s="7">
        <f t="shared" si="9"/>
        <v>1.3567002292141916E-2</v>
      </c>
      <c r="J292" s="7">
        <f t="shared" si="9"/>
        <v>1.0724562905365165E-2</v>
      </c>
      <c r="K292" s="7">
        <f t="shared" si="8"/>
        <v>5.6968280705806729E-2</v>
      </c>
      <c r="L292" s="7"/>
    </row>
    <row r="293" spans="1:12" x14ac:dyDescent="0.25">
      <c r="A293" s="2" t="s">
        <v>474</v>
      </c>
      <c r="B293" s="7">
        <v>4.5997383635059119E-3</v>
      </c>
      <c r="C293" s="7">
        <v>9.463935645237509E-4</v>
      </c>
      <c r="D293" s="7">
        <v>2.0408163265306145E-2</v>
      </c>
      <c r="E293" s="7">
        <v>7.2011013449115868E-3</v>
      </c>
      <c r="F293" s="7">
        <v>-4.6788733787100911E-3</v>
      </c>
      <c r="G293" s="7"/>
      <c r="H293" s="7">
        <f t="shared" si="9"/>
        <v>9.278611742216003E-3</v>
      </c>
      <c r="I293" s="7">
        <f t="shared" si="9"/>
        <v>5.625266943233842E-3</v>
      </c>
      <c r="J293" s="7">
        <f t="shared" si="9"/>
        <v>2.5087036644016236E-2</v>
      </c>
      <c r="K293" s="7">
        <f t="shared" si="8"/>
        <v>1.1879974723621678E-2</v>
      </c>
      <c r="L293" s="7"/>
    </row>
    <row r="294" spans="1:12" x14ac:dyDescent="0.25">
      <c r="A294" s="2" t="s">
        <v>475</v>
      </c>
      <c r="B294" s="7">
        <v>3.6568829010104498E-2</v>
      </c>
      <c r="C294" s="7">
        <v>-8.1053698074973202E-4</v>
      </c>
      <c r="D294" s="7">
        <v>1.2396694214876103E-2</v>
      </c>
      <c r="E294" s="7">
        <v>6.712622895242415E-2</v>
      </c>
      <c r="F294" s="7">
        <v>9.2178009008230255E-3</v>
      </c>
      <c r="G294" s="7"/>
      <c r="H294" s="7">
        <f t="shared" si="9"/>
        <v>2.7351028109281472E-2</v>
      </c>
      <c r="I294" s="7">
        <f t="shared" si="9"/>
        <v>-1.0028337881572758E-2</v>
      </c>
      <c r="J294" s="7">
        <f t="shared" si="9"/>
        <v>3.1788933140530773E-3</v>
      </c>
      <c r="K294" s="7">
        <f t="shared" si="8"/>
        <v>5.7908428051601124E-2</v>
      </c>
      <c r="L294" s="7"/>
    </row>
    <row r="295" spans="1:12" x14ac:dyDescent="0.25">
      <c r="A295" s="2" t="s">
        <v>60</v>
      </c>
      <c r="B295" s="7">
        <v>3.1773254501963333E-2</v>
      </c>
      <c r="C295" s="7">
        <v>1.3971645777686614E-2</v>
      </c>
      <c r="D295" s="7">
        <v>0</v>
      </c>
      <c r="E295" s="7">
        <v>9.4684006388319197E-3</v>
      </c>
      <c r="F295" s="7">
        <v>-1.45806426234667E-2</v>
      </c>
      <c r="G295" s="7"/>
      <c r="H295" s="7">
        <f t="shared" si="9"/>
        <v>4.6353897125430032E-2</v>
      </c>
      <c r="I295" s="7">
        <f t="shared" si="9"/>
        <v>2.8552288401153314E-2</v>
      </c>
      <c r="J295" s="7">
        <f t="shared" si="9"/>
        <v>1.45806426234667E-2</v>
      </c>
      <c r="K295" s="7">
        <f t="shared" si="8"/>
        <v>2.4049043262298619E-2</v>
      </c>
      <c r="L295" s="7"/>
    </row>
    <row r="296" spans="1:12" x14ac:dyDescent="0.25">
      <c r="A296" s="2" t="s">
        <v>476</v>
      </c>
      <c r="B296" s="7">
        <v>-3.9111670562849143E-3</v>
      </c>
      <c r="C296" s="7">
        <v>-1.2995896032831356E-3</v>
      </c>
      <c r="D296" s="7">
        <v>-2.0242914979757165E-2</v>
      </c>
      <c r="E296" s="7">
        <v>3.5313570331876543E-2</v>
      </c>
      <c r="F296" s="7">
        <v>-2.8551769899211044E-3</v>
      </c>
      <c r="G296" s="7"/>
      <c r="H296" s="7">
        <f t="shared" si="9"/>
        <v>-1.05599006636381E-3</v>
      </c>
      <c r="I296" s="7">
        <f t="shared" si="9"/>
        <v>1.5555873866379688E-3</v>
      </c>
      <c r="J296" s="7">
        <f t="shared" si="9"/>
        <v>-1.7387737989836061E-2</v>
      </c>
      <c r="K296" s="7">
        <f t="shared" si="8"/>
        <v>3.8168747321797647E-2</v>
      </c>
      <c r="L296" s="7"/>
    </row>
    <row r="297" spans="1:12" x14ac:dyDescent="0.25">
      <c r="A297" s="2" t="s">
        <v>477</v>
      </c>
      <c r="B297" s="7">
        <v>-7.6366740038635861E-4</v>
      </c>
      <c r="C297" s="7">
        <v>3.4317089910775866E-3</v>
      </c>
      <c r="D297" s="7">
        <v>1.2295081967213184E-2</v>
      </c>
      <c r="E297" s="7">
        <v>-3.4133709981166716E-3</v>
      </c>
      <c r="F297" s="7">
        <v>5.31351199483443E-3</v>
      </c>
      <c r="G297" s="7"/>
      <c r="H297" s="7">
        <f t="shared" si="9"/>
        <v>-6.0771793952207886E-3</v>
      </c>
      <c r="I297" s="7">
        <f t="shared" si="9"/>
        <v>-1.8818030037568434E-3</v>
      </c>
      <c r="J297" s="7">
        <f t="shared" si="9"/>
        <v>6.9815699723787539E-3</v>
      </c>
      <c r="K297" s="7">
        <f t="shared" si="8"/>
        <v>-8.7268829929511016E-3</v>
      </c>
      <c r="L297" s="7"/>
    </row>
    <row r="298" spans="1:12" x14ac:dyDescent="0.25">
      <c r="A298" s="2" t="s">
        <v>478</v>
      </c>
      <c r="B298" s="7">
        <v>5.3289978774331281E-3</v>
      </c>
      <c r="C298" s="7">
        <v>1.5189520624303121E-2</v>
      </c>
      <c r="D298" s="7">
        <v>-4.0816326530612734E-3</v>
      </c>
      <c r="E298" s="7">
        <v>1.1910433539780829E-2</v>
      </c>
      <c r="F298" s="7">
        <v>6.1379611323075789E-3</v>
      </c>
      <c r="G298" s="7"/>
      <c r="H298" s="7">
        <f t="shared" si="9"/>
        <v>-8.0896325487445075E-4</v>
      </c>
      <c r="I298" s="7">
        <f t="shared" si="9"/>
        <v>9.0515594919955422E-3</v>
      </c>
      <c r="J298" s="7">
        <f t="shared" si="9"/>
        <v>-1.0219593785368852E-2</v>
      </c>
      <c r="K298" s="7">
        <f t="shared" si="8"/>
        <v>5.7724724074732503E-3</v>
      </c>
      <c r="L298" s="7"/>
    </row>
    <row r="299" spans="1:12" x14ac:dyDescent="0.25">
      <c r="A299" s="2" t="s">
        <v>479</v>
      </c>
      <c r="B299" s="7">
        <v>-3.1915358719888043E-2</v>
      </c>
      <c r="C299" s="7">
        <v>4.1509433962264142E-2</v>
      </c>
      <c r="D299" s="7">
        <v>-3.1620553359683612E-2</v>
      </c>
      <c r="E299" s="7">
        <v>2.9865010154104255E-3</v>
      </c>
      <c r="F299" s="7">
        <v>8.7682143059637507E-3</v>
      </c>
      <c r="G299" s="7"/>
      <c r="H299" s="7">
        <f t="shared" si="9"/>
        <v>-4.0683573025851794E-2</v>
      </c>
      <c r="I299" s="7">
        <f t="shared" si="9"/>
        <v>3.2741219656300391E-2</v>
      </c>
      <c r="J299" s="7">
        <f t="shared" si="9"/>
        <v>-4.0388767665647363E-2</v>
      </c>
      <c r="K299" s="7">
        <f t="shared" si="8"/>
        <v>-5.7817132905533253E-3</v>
      </c>
      <c r="L299" s="7"/>
    </row>
    <row r="300" spans="1:12" x14ac:dyDescent="0.25">
      <c r="A300" s="2" t="s">
        <v>480</v>
      </c>
      <c r="B300" s="7">
        <v>7.532376002114205E-3</v>
      </c>
      <c r="C300" s="7">
        <v>1.3309802191337594E-2</v>
      </c>
      <c r="D300" s="7">
        <v>-1.9379844961240456E-2</v>
      </c>
      <c r="E300" s="7">
        <v>3.2691833209967713E-2</v>
      </c>
      <c r="F300" s="7">
        <v>9.9910060734267336E-3</v>
      </c>
      <c r="G300" s="7"/>
      <c r="H300" s="7">
        <f t="shared" si="9"/>
        <v>-2.4586300713125286E-3</v>
      </c>
      <c r="I300" s="7">
        <f t="shared" si="9"/>
        <v>3.3187961179108605E-3</v>
      </c>
      <c r="J300" s="7">
        <f t="shared" si="9"/>
        <v>-2.9370851034667189E-2</v>
      </c>
      <c r="K300" s="7">
        <f t="shared" si="8"/>
        <v>2.270082713654098E-2</v>
      </c>
      <c r="L300" s="7"/>
    </row>
    <row r="301" spans="1:12" x14ac:dyDescent="0.25">
      <c r="A301" s="2" t="s">
        <v>481</v>
      </c>
      <c r="B301" s="7">
        <v>-4.0409163919181701E-2</v>
      </c>
      <c r="C301" s="7">
        <v>1.0176793938493578E-2</v>
      </c>
      <c r="D301" s="7">
        <v>-5.1470588235294157E-2</v>
      </c>
      <c r="E301" s="7">
        <v>-1.2335019119269486E-4</v>
      </c>
      <c r="F301" s="7">
        <v>-2.112636997870454E-3</v>
      </c>
      <c r="G301" s="7"/>
      <c r="H301" s="7">
        <f t="shared" si="9"/>
        <v>-3.8296526921311247E-2</v>
      </c>
      <c r="I301" s="7">
        <f t="shared" si="9"/>
        <v>1.2289430936364032E-2</v>
      </c>
      <c r="J301" s="7">
        <f t="shared" si="9"/>
        <v>-4.9357951237423703E-2</v>
      </c>
      <c r="K301" s="7">
        <f t="shared" si="8"/>
        <v>1.9892868066777591E-3</v>
      </c>
      <c r="L301" s="7"/>
    </row>
    <row r="302" spans="1:12" x14ac:dyDescent="0.25">
      <c r="A302" s="2" t="s">
        <v>482</v>
      </c>
      <c r="B302" s="7">
        <v>1.9697426835050269E-2</v>
      </c>
      <c r="C302" s="7">
        <v>4.1023346013278061E-3</v>
      </c>
      <c r="D302" s="7">
        <v>-3.663003663003539E-3</v>
      </c>
      <c r="E302" s="7">
        <v>9.3376494023904577E-3</v>
      </c>
      <c r="F302" s="7">
        <v>1.8312792769356268E-2</v>
      </c>
      <c r="G302" s="7"/>
      <c r="H302" s="7">
        <f t="shared" si="9"/>
        <v>1.3846340656940015E-3</v>
      </c>
      <c r="I302" s="7">
        <f t="shared" si="9"/>
        <v>-1.4210458168028461E-2</v>
      </c>
      <c r="J302" s="7">
        <f t="shared" si="9"/>
        <v>-2.1975796432359807E-2</v>
      </c>
      <c r="K302" s="7">
        <f t="shared" si="8"/>
        <v>-8.9751433669658098E-3</v>
      </c>
      <c r="L302" s="7"/>
    </row>
    <row r="303" spans="1:12" x14ac:dyDescent="0.25">
      <c r="A303" s="2" t="s">
        <v>483</v>
      </c>
      <c r="B303" s="7">
        <v>-4.8041865053832788E-3</v>
      </c>
      <c r="C303" s="7">
        <v>1.9388686131386779E-2</v>
      </c>
      <c r="D303" s="7">
        <v>-1.4440433212996373E-2</v>
      </c>
      <c r="E303" s="7">
        <v>1.414141414141401E-2</v>
      </c>
      <c r="F303" s="7">
        <v>1.146289893115604E-3</v>
      </c>
      <c r="G303" s="7"/>
      <c r="H303" s="7">
        <f t="shared" si="9"/>
        <v>-5.9504763984988829E-3</v>
      </c>
      <c r="I303" s="7">
        <f t="shared" si="9"/>
        <v>1.8242396238271175E-2</v>
      </c>
      <c r="J303" s="7">
        <f t="shared" si="9"/>
        <v>-1.5586723106111977E-2</v>
      </c>
      <c r="K303" s="7">
        <f t="shared" si="8"/>
        <v>1.2995124248298406E-2</v>
      </c>
      <c r="L303" s="7"/>
    </row>
    <row r="304" spans="1:12" x14ac:dyDescent="0.25">
      <c r="A304" s="2" t="s">
        <v>61</v>
      </c>
      <c r="B304" s="7">
        <v>-1.0315843097300048E-2</v>
      </c>
      <c r="C304" s="7">
        <v>2.5897035881435437E-2</v>
      </c>
      <c r="D304" s="7">
        <v>3.7453183520599342E-2</v>
      </c>
      <c r="E304" s="7">
        <v>1.2627857052671665E-4</v>
      </c>
      <c r="F304" s="7">
        <v>1.5754139322881056E-3</v>
      </c>
      <c r="G304" s="7"/>
      <c r="H304" s="7">
        <f t="shared" si="9"/>
        <v>-1.1891257029588154E-2</v>
      </c>
      <c r="I304" s="7">
        <f t="shared" si="9"/>
        <v>2.4321621949147332E-2</v>
      </c>
      <c r="J304" s="7">
        <f t="shared" si="9"/>
        <v>3.5877769588311237E-2</v>
      </c>
      <c r="K304" s="7">
        <f t="shared" si="8"/>
        <v>-1.4491353617613889E-3</v>
      </c>
      <c r="L304" s="7"/>
    </row>
    <row r="305" spans="1:12" x14ac:dyDescent="0.25">
      <c r="A305" s="2" t="s">
        <v>484</v>
      </c>
      <c r="B305" s="7">
        <v>-2.4111359681829425E-2</v>
      </c>
      <c r="C305" s="7">
        <v>-2.4724229745150206E-2</v>
      </c>
      <c r="D305" s="7">
        <v>5.9523809523809534E-2</v>
      </c>
      <c r="E305" s="7">
        <v>-3.7788578371810488E-2</v>
      </c>
      <c r="F305" s="7">
        <v>-1.5411650403413191E-2</v>
      </c>
      <c r="G305" s="7"/>
      <c r="H305" s="7">
        <f t="shared" si="9"/>
        <v>-8.6997092784162344E-3</v>
      </c>
      <c r="I305" s="7">
        <f t="shared" si="9"/>
        <v>-9.3125793417370151E-3</v>
      </c>
      <c r="J305" s="7">
        <f t="shared" si="9"/>
        <v>7.4935459927222725E-2</v>
      </c>
      <c r="K305" s="7">
        <f t="shared" si="8"/>
        <v>-2.2376927968397298E-2</v>
      </c>
      <c r="L305" s="7"/>
    </row>
    <row r="306" spans="1:12" x14ac:dyDescent="0.25">
      <c r="A306" s="2" t="s">
        <v>485</v>
      </c>
      <c r="B306" s="7">
        <v>2.0341234588401313E-3</v>
      </c>
      <c r="C306" s="7">
        <v>1.325830571186315E-2</v>
      </c>
      <c r="D306" s="7">
        <v>3.9840637450199168E-3</v>
      </c>
      <c r="E306" s="7">
        <v>-9.3885411651420947E-3</v>
      </c>
      <c r="F306" s="7">
        <v>1.5603237756451893E-3</v>
      </c>
      <c r="G306" s="7"/>
      <c r="H306" s="7">
        <f t="shared" si="9"/>
        <v>4.7379968319494203E-4</v>
      </c>
      <c r="I306" s="7">
        <f t="shared" si="9"/>
        <v>1.169798193621796E-2</v>
      </c>
      <c r="J306" s="7">
        <f t="shared" si="9"/>
        <v>2.4237399693747275E-3</v>
      </c>
      <c r="K306" s="7">
        <f t="shared" si="8"/>
        <v>-1.0948864940787284E-2</v>
      </c>
      <c r="L306" s="7"/>
    </row>
    <row r="307" spans="1:12" x14ac:dyDescent="0.25">
      <c r="A307" s="2" t="s">
        <v>486</v>
      </c>
      <c r="B307" s="7">
        <v>-1.1408872655640834E-2</v>
      </c>
      <c r="C307" s="7">
        <v>1.9088766692851422E-2</v>
      </c>
      <c r="D307" s="7">
        <v>7.2649572649572614E-2</v>
      </c>
      <c r="E307" s="7">
        <v>-1.2128418549345987E-2</v>
      </c>
      <c r="F307" s="7">
        <v>-1.1103896321238205E-2</v>
      </c>
      <c r="G307" s="7"/>
      <c r="H307" s="7">
        <f t="shared" si="9"/>
        <v>-3.0497633440262906E-4</v>
      </c>
      <c r="I307" s="7">
        <f t="shared" si="9"/>
        <v>3.0192663014089627E-2</v>
      </c>
      <c r="J307" s="7">
        <f t="shared" si="9"/>
        <v>8.3753468970810818E-2</v>
      </c>
      <c r="K307" s="7">
        <f t="shared" si="8"/>
        <v>-1.0245222281077826E-3</v>
      </c>
      <c r="L307" s="7"/>
    </row>
    <row r="308" spans="1:12" x14ac:dyDescent="0.25">
      <c r="A308" s="2" t="s">
        <v>62</v>
      </c>
      <c r="B308" s="7">
        <v>6.7344240621385332E-3</v>
      </c>
      <c r="C308" s="7">
        <v>3.231145086295184E-3</v>
      </c>
      <c r="D308" s="7">
        <v>8.6206896551723755E-3</v>
      </c>
      <c r="E308" s="7">
        <v>-2.3775558725647183E-4</v>
      </c>
      <c r="F308" s="7">
        <v>5.5381011599553442E-3</v>
      </c>
      <c r="G308" s="7"/>
      <c r="H308" s="7">
        <f t="shared" si="9"/>
        <v>1.1963229021831889E-3</v>
      </c>
      <c r="I308" s="7">
        <f t="shared" si="9"/>
        <v>-2.3069560736601602E-3</v>
      </c>
      <c r="J308" s="7">
        <f t="shared" si="9"/>
        <v>3.0825884952170313E-3</v>
      </c>
      <c r="K308" s="7">
        <f t="shared" si="8"/>
        <v>-5.7758567472118161E-3</v>
      </c>
      <c r="L308" s="7"/>
    </row>
    <row r="309" spans="1:12" x14ac:dyDescent="0.25">
      <c r="A309" s="2" t="s">
        <v>487</v>
      </c>
      <c r="B309" s="7">
        <v>-2.0203686141920807E-3</v>
      </c>
      <c r="C309" s="7">
        <v>1.2625266314210126E-3</v>
      </c>
      <c r="D309" s="7">
        <v>-1.276595744680864E-2</v>
      </c>
      <c r="E309" s="7">
        <v>6.9427819008858194E-3</v>
      </c>
      <c r="F309" s="7">
        <v>1.2595956411720177E-2</v>
      </c>
      <c r="G309" s="7"/>
      <c r="H309" s="7">
        <f t="shared" si="9"/>
        <v>-1.4616325025912258E-2</v>
      </c>
      <c r="I309" s="7">
        <f t="shared" si="9"/>
        <v>-1.1333429780299165E-2</v>
      </c>
      <c r="J309" s="7">
        <f t="shared" si="9"/>
        <v>-2.5361913858528817E-2</v>
      </c>
      <c r="K309" s="7">
        <f t="shared" si="8"/>
        <v>-5.6531745108343578E-3</v>
      </c>
      <c r="L309" s="7"/>
    </row>
    <row r="310" spans="1:12" x14ac:dyDescent="0.25">
      <c r="A310" s="2" t="s">
        <v>488</v>
      </c>
      <c r="B310" s="7">
        <v>-2.6218581867822999E-2</v>
      </c>
      <c r="C310" s="7">
        <v>4.756996749385678E-3</v>
      </c>
      <c r="D310" s="7">
        <v>1.7316017316017396E-2</v>
      </c>
      <c r="E310" s="7">
        <v>1.9189254017750734E-3</v>
      </c>
      <c r="F310" s="7">
        <v>-2.2238733140302891E-3</v>
      </c>
      <c r="G310" s="7"/>
      <c r="H310" s="7">
        <f t="shared" si="9"/>
        <v>-2.399470855379271E-2</v>
      </c>
      <c r="I310" s="7">
        <f t="shared" si="9"/>
        <v>6.9808700634159671E-3</v>
      </c>
      <c r="J310" s="7">
        <f t="shared" si="9"/>
        <v>1.9539890630047685E-2</v>
      </c>
      <c r="K310" s="7">
        <f t="shared" si="8"/>
        <v>4.1427987158053625E-3</v>
      </c>
      <c r="L310" s="7"/>
    </row>
    <row r="311" spans="1:12" x14ac:dyDescent="0.25">
      <c r="A311" s="2" t="s">
        <v>489</v>
      </c>
      <c r="B311" s="7">
        <v>-7.0565721803612647E-3</v>
      </c>
      <c r="C311" s="7">
        <v>-3.1703257509718696E-4</v>
      </c>
      <c r="D311" s="7">
        <v>2.212389380530988E-2</v>
      </c>
      <c r="E311" s="7">
        <v>7.8568838389942997E-3</v>
      </c>
      <c r="F311" s="7">
        <v>-4.2847904329482711E-3</v>
      </c>
      <c r="G311" s="7"/>
      <c r="H311" s="7">
        <f t="shared" si="9"/>
        <v>-2.7717817474129935E-3</v>
      </c>
      <c r="I311" s="7">
        <f t="shared" si="9"/>
        <v>3.9677578578510841E-3</v>
      </c>
      <c r="J311" s="7">
        <f t="shared" si="9"/>
        <v>2.6408684238258151E-2</v>
      </c>
      <c r="K311" s="7">
        <f t="shared" si="8"/>
        <v>1.2141674271942571E-2</v>
      </c>
      <c r="L311" s="7"/>
    </row>
    <row r="312" spans="1:12" x14ac:dyDescent="0.25">
      <c r="A312" s="2" t="s">
        <v>63</v>
      </c>
      <c r="B312" s="7">
        <v>-1.3257277734067596E-2</v>
      </c>
      <c r="C312" s="7">
        <v>-8.0974842767295163E-3</v>
      </c>
      <c r="D312" s="7">
        <v>-8.7719298245614308E-3</v>
      </c>
      <c r="E312" s="7">
        <v>-1.0998206814106459E-2</v>
      </c>
      <c r="F312" s="7">
        <v>-1.0702011777237508E-2</v>
      </c>
      <c r="G312" s="7"/>
      <c r="H312" s="7">
        <f t="shared" si="9"/>
        <v>-2.5552659568300884E-3</v>
      </c>
      <c r="I312" s="7">
        <f t="shared" si="9"/>
        <v>2.6045275005079915E-3</v>
      </c>
      <c r="J312" s="7">
        <f t="shared" si="9"/>
        <v>1.9300819526760771E-3</v>
      </c>
      <c r="K312" s="7">
        <f t="shared" si="8"/>
        <v>-2.9619503686895143E-4</v>
      </c>
      <c r="L312" s="7"/>
    </row>
    <row r="313" spans="1:12" x14ac:dyDescent="0.25">
      <c r="A313" s="2" t="s">
        <v>490</v>
      </c>
      <c r="B313" s="7">
        <v>-1.3237063778580138E-2</v>
      </c>
      <c r="C313" s="7">
        <v>-7.5680736521805958E-3</v>
      </c>
      <c r="D313" s="7">
        <v>-1.7241379310344862E-2</v>
      </c>
      <c r="E313" s="7">
        <v>-1.1813349084465408E-2</v>
      </c>
      <c r="F313" s="7">
        <v>-1.1055735815118317E-2</v>
      </c>
      <c r="G313" s="7"/>
      <c r="H313" s="7">
        <f t="shared" si="9"/>
        <v>-2.181327963461821E-3</v>
      </c>
      <c r="I313" s="7">
        <f t="shared" si="9"/>
        <v>3.4876621629377214E-3</v>
      </c>
      <c r="J313" s="7">
        <f t="shared" si="9"/>
        <v>-6.1856434952265449E-3</v>
      </c>
      <c r="K313" s="7">
        <f t="shared" si="8"/>
        <v>-7.576132693470905E-4</v>
      </c>
      <c r="L313" s="7"/>
    </row>
    <row r="314" spans="1:12" x14ac:dyDescent="0.25">
      <c r="A314" s="2" t="s">
        <v>491</v>
      </c>
      <c r="B314" s="7">
        <v>3.1542056074767011E-3</v>
      </c>
      <c r="C314" s="7">
        <v>6.2809138729684744E-3</v>
      </c>
      <c r="D314" s="7">
        <v>0</v>
      </c>
      <c r="E314" s="7">
        <v>6.5398335315103306E-3</v>
      </c>
      <c r="F314" s="7">
        <v>-4.0562645280495246E-4</v>
      </c>
      <c r="G314" s="7"/>
      <c r="H314" s="7">
        <f t="shared" si="9"/>
        <v>3.5598320602816536E-3</v>
      </c>
      <c r="I314" s="7">
        <f t="shared" si="9"/>
        <v>6.6865403257734268E-3</v>
      </c>
      <c r="J314" s="7">
        <f t="shared" si="9"/>
        <v>4.0562645280495246E-4</v>
      </c>
      <c r="K314" s="7">
        <f t="shared" si="8"/>
        <v>6.9454599843152831E-3</v>
      </c>
      <c r="L314" s="7"/>
    </row>
    <row r="315" spans="1:12" x14ac:dyDescent="0.25">
      <c r="A315" s="2" t="s">
        <v>492</v>
      </c>
      <c r="B315" s="7">
        <v>1.1501496770127684E-2</v>
      </c>
      <c r="C315" s="7">
        <v>1.0712585303920052E-2</v>
      </c>
      <c r="D315" s="7">
        <v>1.3100436681222627E-2</v>
      </c>
      <c r="E315" s="7">
        <v>4.53893932154803E-3</v>
      </c>
      <c r="F315" s="7">
        <v>1.1042722967758989E-2</v>
      </c>
      <c r="G315" s="7"/>
      <c r="H315" s="7">
        <f t="shared" si="9"/>
        <v>4.5877380236869492E-4</v>
      </c>
      <c r="I315" s="7">
        <f t="shared" si="9"/>
        <v>-3.3013766383893639E-4</v>
      </c>
      <c r="J315" s="7">
        <f t="shared" si="9"/>
        <v>2.0577137134636381E-3</v>
      </c>
      <c r="K315" s="7">
        <f t="shared" si="8"/>
        <v>-6.5037836462109588E-3</v>
      </c>
      <c r="L315" s="7"/>
    </row>
    <row r="316" spans="1:12" x14ac:dyDescent="0.25">
      <c r="A316" s="2" t="s">
        <v>64</v>
      </c>
      <c r="B316" s="7">
        <v>3.042155584528361E-3</v>
      </c>
      <c r="C316" s="7">
        <v>-2.3749208359721274E-3</v>
      </c>
      <c r="D316" s="7">
        <v>1.7777777777777892E-2</v>
      </c>
      <c r="E316" s="7">
        <v>3.4729946854529681E-2</v>
      </c>
      <c r="F316" s="7">
        <v>7.2873196927927264E-3</v>
      </c>
      <c r="G316" s="7"/>
      <c r="H316" s="7">
        <f t="shared" si="9"/>
        <v>-4.2451641082643654E-3</v>
      </c>
      <c r="I316" s="7">
        <f t="shared" si="9"/>
        <v>-9.6622405287648538E-3</v>
      </c>
      <c r="J316" s="7">
        <f t="shared" si="9"/>
        <v>1.0490458084985166E-2</v>
      </c>
      <c r="K316" s="7">
        <f t="shared" si="8"/>
        <v>2.7442627161736954E-2</v>
      </c>
      <c r="L316" s="7"/>
    </row>
    <row r="317" spans="1:12" x14ac:dyDescent="0.25">
      <c r="A317" s="2" t="s">
        <v>493</v>
      </c>
      <c r="B317" s="7">
        <v>1.883830455259039E-2</v>
      </c>
      <c r="C317" s="7">
        <v>1.6905490259217393E-2</v>
      </c>
      <c r="D317" s="7">
        <v>-1.3157894736842035E-2</v>
      </c>
      <c r="E317" s="7">
        <v>-2.4122542515981227E-2</v>
      </c>
      <c r="F317" s="7">
        <v>1.0869120584686254E-2</v>
      </c>
      <c r="G317" s="7"/>
      <c r="H317" s="7">
        <f t="shared" si="9"/>
        <v>7.9691839679041365E-3</v>
      </c>
      <c r="I317" s="7">
        <f t="shared" si="9"/>
        <v>6.036369674531139E-3</v>
      </c>
      <c r="J317" s="7">
        <f t="shared" si="9"/>
        <v>-2.4027015321528289E-2</v>
      </c>
      <c r="K317" s="7">
        <f t="shared" si="8"/>
        <v>-3.4991663100667481E-2</v>
      </c>
      <c r="L317" s="7"/>
    </row>
    <row r="318" spans="1:12" x14ac:dyDescent="0.25">
      <c r="A318" s="2" t="s">
        <v>494</v>
      </c>
      <c r="B318" s="7">
        <v>7.0125658694770721E-3</v>
      </c>
      <c r="C318" s="7">
        <v>1.2800652262535683E-2</v>
      </c>
      <c r="D318" s="7">
        <v>-1.7241379310344862E-2</v>
      </c>
      <c r="E318" s="7">
        <v>-8.1349443713363279E-3</v>
      </c>
      <c r="F318" s="7">
        <v>-8.6509904362275236E-4</v>
      </c>
      <c r="G318" s="7"/>
      <c r="H318" s="7">
        <f t="shared" si="9"/>
        <v>7.8776649130998244E-3</v>
      </c>
      <c r="I318" s="7">
        <f t="shared" si="9"/>
        <v>1.3665751306158436E-2</v>
      </c>
      <c r="J318" s="7">
        <f t="shared" si="9"/>
        <v>-1.637628026672211E-2</v>
      </c>
      <c r="K318" s="7">
        <f t="shared" si="8"/>
        <v>-7.2698453277135755E-3</v>
      </c>
      <c r="L318" s="7"/>
    </row>
    <row r="319" spans="1:12" x14ac:dyDescent="0.25">
      <c r="A319" s="2" t="s">
        <v>495</v>
      </c>
      <c r="B319" s="7">
        <v>-2.142007140023805E-2</v>
      </c>
      <c r="C319" s="7">
        <v>-1.9741048593350352E-2</v>
      </c>
      <c r="D319" s="7">
        <v>-4.2918454935623185E-3</v>
      </c>
      <c r="E319" s="7">
        <v>-2.462077012835473E-2</v>
      </c>
      <c r="F319" s="7">
        <v>-2.9492894104891865E-2</v>
      </c>
      <c r="G319" s="7"/>
      <c r="H319" s="7">
        <f t="shared" si="9"/>
        <v>8.0728227046538148E-3</v>
      </c>
      <c r="I319" s="7">
        <f t="shared" si="9"/>
        <v>9.7518455115415126E-3</v>
      </c>
      <c r="J319" s="7">
        <f t="shared" si="9"/>
        <v>2.5201048611329546E-2</v>
      </c>
      <c r="K319" s="7">
        <f t="shared" si="8"/>
        <v>4.8721239765371349E-3</v>
      </c>
      <c r="L319" s="7"/>
    </row>
    <row r="320" spans="1:12" x14ac:dyDescent="0.25">
      <c r="A320" s="2" t="s">
        <v>496</v>
      </c>
      <c r="B320" s="7">
        <v>9.6924062800383126E-3</v>
      </c>
      <c r="C320" s="7">
        <v>-1.0909090909090868E-2</v>
      </c>
      <c r="D320" s="7">
        <v>4.3103448275862988E-3</v>
      </c>
      <c r="E320" s="7">
        <v>1.2643270707787035E-2</v>
      </c>
      <c r="F320" s="7">
        <v>-3.8639596449174807E-3</v>
      </c>
      <c r="G320" s="7"/>
      <c r="H320" s="7">
        <f t="shared" si="9"/>
        <v>1.3556365924955793E-2</v>
      </c>
      <c r="I320" s="7">
        <f t="shared" si="9"/>
        <v>-7.0451312641733876E-3</v>
      </c>
      <c r="J320" s="7">
        <f t="shared" si="9"/>
        <v>8.1743044725037795E-3</v>
      </c>
      <c r="K320" s="7">
        <f t="shared" si="8"/>
        <v>1.6507230352704516E-2</v>
      </c>
      <c r="L320" s="7"/>
    </row>
    <row r="321" spans="1:12" x14ac:dyDescent="0.25">
      <c r="A321" s="2" t="s">
        <v>65</v>
      </c>
      <c r="B321" s="7">
        <v>1.1751357484399039E-2</v>
      </c>
      <c r="C321" s="7">
        <v>-3.4662045060658286E-3</v>
      </c>
      <c r="D321" s="7">
        <v>-3.3333333333333326E-2</v>
      </c>
      <c r="E321" s="7">
        <v>-2.0032422417786022E-2</v>
      </c>
      <c r="F321" s="7">
        <v>3.7993154952247199E-3</v>
      </c>
      <c r="G321" s="7"/>
      <c r="H321" s="7">
        <f t="shared" si="9"/>
        <v>7.9520419891743188E-3</v>
      </c>
      <c r="I321" s="7">
        <f t="shared" si="9"/>
        <v>-7.2655200012905485E-3</v>
      </c>
      <c r="J321" s="7">
        <f t="shared" si="9"/>
        <v>-3.7132648828558046E-2</v>
      </c>
      <c r="K321" s="7">
        <f t="shared" si="8"/>
        <v>-2.3831737913010742E-2</v>
      </c>
      <c r="L321" s="7"/>
    </row>
    <row r="322" spans="1:12" x14ac:dyDescent="0.25">
      <c r="A322" s="2" t="s">
        <v>497</v>
      </c>
      <c r="B322" s="7">
        <v>6.8934755281624405E-4</v>
      </c>
      <c r="C322" s="7">
        <v>1.262028711153107E-3</v>
      </c>
      <c r="D322" s="7">
        <v>1.2658227848101111E-2</v>
      </c>
      <c r="E322" s="7">
        <v>-1.5840455840455792E-2</v>
      </c>
      <c r="F322" s="7">
        <v>-2.6440818012729572E-5</v>
      </c>
      <c r="G322" s="7"/>
      <c r="H322" s="7">
        <f t="shared" si="9"/>
        <v>7.1578837082897362E-4</v>
      </c>
      <c r="I322" s="7">
        <f t="shared" si="9"/>
        <v>1.2884695291658366E-3</v>
      </c>
      <c r="J322" s="7">
        <f t="shared" si="9"/>
        <v>1.2684668666113841E-2</v>
      </c>
      <c r="K322" s="7">
        <f t="shared" si="9"/>
        <v>-1.5814015022443062E-2</v>
      </c>
      <c r="L322" s="7"/>
    </row>
    <row r="323" spans="1:12" x14ac:dyDescent="0.25">
      <c r="A323" s="2" t="s">
        <v>498</v>
      </c>
      <c r="B323" s="7">
        <v>5.9555374260658045E-3</v>
      </c>
      <c r="C323" s="7">
        <v>-1.5772870662456029E-4</v>
      </c>
      <c r="D323" s="7">
        <v>-1.2499999999999956E-2</v>
      </c>
      <c r="E323" s="7">
        <v>2.8571428571428914E-3</v>
      </c>
      <c r="F323" s="7">
        <v>-5.4140321061636465E-3</v>
      </c>
      <c r="G323" s="7"/>
      <c r="H323" s="7">
        <f t="shared" ref="H323:K386" si="10">B323-$F323</f>
        <v>1.1369569532229451E-2</v>
      </c>
      <c r="I323" s="7">
        <f t="shared" si="10"/>
        <v>5.2563033995390862E-3</v>
      </c>
      <c r="J323" s="7">
        <f t="shared" si="10"/>
        <v>-7.0859678938363091E-3</v>
      </c>
      <c r="K323" s="7">
        <f t="shared" si="10"/>
        <v>8.2711749633065379E-3</v>
      </c>
      <c r="L323" s="7"/>
    </row>
    <row r="324" spans="1:12" x14ac:dyDescent="0.25">
      <c r="A324" s="2" t="s">
        <v>499</v>
      </c>
      <c r="B324" s="7">
        <v>-5.1538024510996427E-3</v>
      </c>
      <c r="C324" s="7">
        <v>0</v>
      </c>
      <c r="D324" s="7">
        <v>-1.2345679012345734E-2</v>
      </c>
      <c r="E324" s="7">
        <v>-9.5087163232964178E-3</v>
      </c>
      <c r="F324" s="7">
        <v>8.1658218598121834E-3</v>
      </c>
      <c r="G324" s="7"/>
      <c r="H324" s="7">
        <f t="shared" si="10"/>
        <v>-1.3319624310911826E-2</v>
      </c>
      <c r="I324" s="7">
        <f t="shared" si="10"/>
        <v>-8.1658218598121834E-3</v>
      </c>
      <c r="J324" s="7">
        <f t="shared" si="10"/>
        <v>-2.0511500872157917E-2</v>
      </c>
      <c r="K324" s="7">
        <f t="shared" si="10"/>
        <v>-1.7674538183108601E-2</v>
      </c>
      <c r="L324" s="7"/>
    </row>
    <row r="325" spans="1:12" x14ac:dyDescent="0.25">
      <c r="A325" s="2" t="s">
        <v>500</v>
      </c>
      <c r="B325" s="7">
        <v>4.1155617130514965E-3</v>
      </c>
      <c r="C325" s="7">
        <v>-1.3075965130759593E-2</v>
      </c>
      <c r="D325" s="7">
        <v>4.1322314049587749E-3</v>
      </c>
      <c r="E325" s="7">
        <v>-2.6985350809560549E-2</v>
      </c>
      <c r="F325" s="7">
        <v>-2.9638930421207466E-3</v>
      </c>
      <c r="G325" s="7"/>
      <c r="H325" s="7">
        <f t="shared" si="10"/>
        <v>7.0794547551722431E-3</v>
      </c>
      <c r="I325" s="7">
        <f t="shared" si="10"/>
        <v>-1.0112072088638846E-2</v>
      </c>
      <c r="J325" s="7">
        <f t="shared" si="10"/>
        <v>7.0961244470795215E-3</v>
      </c>
      <c r="K325" s="7">
        <f t="shared" si="10"/>
        <v>-2.4021457767439802E-2</v>
      </c>
      <c r="L325" s="7"/>
    </row>
    <row r="326" spans="1:12" x14ac:dyDescent="0.25">
      <c r="A326" s="2" t="s">
        <v>66</v>
      </c>
      <c r="B326" s="7">
        <v>1.6106326598211318E-2</v>
      </c>
      <c r="C326" s="7">
        <v>-1.2148239274181294E-2</v>
      </c>
      <c r="D326" s="7">
        <v>-4.115226337448652E-3</v>
      </c>
      <c r="E326" s="7">
        <v>7.4437869822485236E-2</v>
      </c>
      <c r="F326" s="7">
        <v>-6.1442267748391677E-3</v>
      </c>
      <c r="G326" s="7"/>
      <c r="H326" s="7">
        <f t="shared" si="10"/>
        <v>2.2250553373050486E-2</v>
      </c>
      <c r="I326" s="7">
        <f t="shared" si="10"/>
        <v>-6.0040124993421262E-3</v>
      </c>
      <c r="J326" s="7">
        <f t="shared" si="10"/>
        <v>2.0290004373905157E-3</v>
      </c>
      <c r="K326" s="7">
        <f t="shared" si="10"/>
        <v>8.0582096597324404E-2</v>
      </c>
      <c r="L326" s="7"/>
    </row>
    <row r="327" spans="1:12" x14ac:dyDescent="0.25">
      <c r="A327" s="2" t="s">
        <v>501</v>
      </c>
      <c r="B327" s="7">
        <v>-8.27403607479682E-4</v>
      </c>
      <c r="C327" s="7">
        <v>-1.6120365394949321E-3</v>
      </c>
      <c r="D327" s="7">
        <v>-1.2195121951219412E-2</v>
      </c>
      <c r="E327" s="7">
        <v>2.114803625377637E-2</v>
      </c>
      <c r="F327" s="7">
        <v>2.4954280663231909E-3</v>
      </c>
      <c r="G327" s="7"/>
      <c r="H327" s="7">
        <f t="shared" si="10"/>
        <v>-3.3228316738028729E-3</v>
      </c>
      <c r="I327" s="7">
        <f t="shared" si="10"/>
        <v>-4.107464605818123E-3</v>
      </c>
      <c r="J327" s="7">
        <f t="shared" si="10"/>
        <v>-1.4690550017542603E-2</v>
      </c>
      <c r="K327" s="7">
        <f t="shared" si="10"/>
        <v>1.8652608187453179E-2</v>
      </c>
      <c r="L327" s="7"/>
    </row>
    <row r="328" spans="1:12" x14ac:dyDescent="0.25">
      <c r="A328" s="2" t="s">
        <v>502</v>
      </c>
      <c r="B328" s="7">
        <v>1.2412594646038499E-4</v>
      </c>
      <c r="C328" s="7">
        <v>2.2046132119880824E-2</v>
      </c>
      <c r="D328" s="7">
        <v>-1.9920318725099584E-2</v>
      </c>
      <c r="E328" s="7">
        <v>-9.2193486590037566E-3</v>
      </c>
      <c r="F328" s="7">
        <v>-1.8697147288503357E-3</v>
      </c>
      <c r="G328" s="7"/>
      <c r="H328" s="7">
        <f t="shared" si="10"/>
        <v>1.9938406753107207E-3</v>
      </c>
      <c r="I328" s="7">
        <f t="shared" si="10"/>
        <v>2.3915846848731159E-2</v>
      </c>
      <c r="J328" s="7">
        <f t="shared" si="10"/>
        <v>-1.8050603996249248E-2</v>
      </c>
      <c r="K328" s="7">
        <f t="shared" si="10"/>
        <v>-7.3496339301534208E-3</v>
      </c>
      <c r="L328" s="7"/>
    </row>
    <row r="329" spans="1:12" x14ac:dyDescent="0.25">
      <c r="A329" s="2" t="s">
        <v>503</v>
      </c>
      <c r="B329" s="7">
        <v>1.491733311233423E-3</v>
      </c>
      <c r="C329" s="7">
        <v>-5.3066958014671428E-3</v>
      </c>
      <c r="D329" s="7">
        <v>-3.9682539682540652E-3</v>
      </c>
      <c r="E329" s="7">
        <v>-8.7823403750297846E-3</v>
      </c>
      <c r="F329" s="7">
        <v>6.0513596963907013E-3</v>
      </c>
      <c r="G329" s="7"/>
      <c r="H329" s="7">
        <f t="shared" si="10"/>
        <v>-4.5596263851572782E-3</v>
      </c>
      <c r="I329" s="7">
        <f t="shared" si="10"/>
        <v>-1.1358055497857844E-2</v>
      </c>
      <c r="J329" s="7">
        <f t="shared" si="10"/>
        <v>-1.0019613664644766E-2</v>
      </c>
      <c r="K329" s="7">
        <f t="shared" si="10"/>
        <v>-1.4833700071420486E-2</v>
      </c>
      <c r="L329" s="7"/>
    </row>
    <row r="330" spans="1:12" x14ac:dyDescent="0.25">
      <c r="A330" s="2" t="s">
        <v>504</v>
      </c>
      <c r="B330" s="7">
        <v>1.27575643123925E-2</v>
      </c>
      <c r="C330" s="7">
        <v>-1.3093037584719802E-2</v>
      </c>
      <c r="D330" s="7">
        <v>5.0000000000000044E-2</v>
      </c>
      <c r="E330" s="7">
        <v>-3.0761949834358093E-3</v>
      </c>
      <c r="F330" s="7">
        <v>4.5145233705135013E-4</v>
      </c>
      <c r="G330" s="7"/>
      <c r="H330" s="7">
        <f t="shared" si="10"/>
        <v>1.230611197534115E-2</v>
      </c>
      <c r="I330" s="7">
        <f t="shared" si="10"/>
        <v>-1.3544489921771152E-2</v>
      </c>
      <c r="J330" s="7">
        <f t="shared" si="10"/>
        <v>4.9548547662948694E-2</v>
      </c>
      <c r="K330" s="7">
        <f t="shared" si="10"/>
        <v>-3.5276473204871595E-3</v>
      </c>
      <c r="L330" s="7"/>
    </row>
    <row r="331" spans="1:12" x14ac:dyDescent="0.25">
      <c r="A331" s="2" t="s">
        <v>67</v>
      </c>
      <c r="B331" s="7">
        <v>9.5322826639552272E-3</v>
      </c>
      <c r="C331" s="7">
        <v>-4.828696252011877E-3</v>
      </c>
      <c r="D331" s="7">
        <v>-1.2345679012345734E-2</v>
      </c>
      <c r="E331" s="7">
        <v>-1.6294227188082044E-2</v>
      </c>
      <c r="F331" s="7">
        <v>2.4484531809998433E-3</v>
      </c>
      <c r="G331" s="7"/>
      <c r="H331" s="7">
        <f t="shared" si="10"/>
        <v>7.0838294829553838E-3</v>
      </c>
      <c r="I331" s="7">
        <f t="shared" si="10"/>
        <v>-7.2771494330117203E-3</v>
      </c>
      <c r="J331" s="7">
        <f t="shared" si="10"/>
        <v>-1.4794132193345577E-2</v>
      </c>
      <c r="K331" s="7">
        <f t="shared" si="10"/>
        <v>-1.8742680369081888E-2</v>
      </c>
      <c r="L331" s="7"/>
    </row>
    <row r="332" spans="1:12" x14ac:dyDescent="0.25">
      <c r="A332" s="2" t="s">
        <v>505</v>
      </c>
      <c r="B332" s="7">
        <v>1.0228974962550819E-2</v>
      </c>
      <c r="C332" s="7">
        <v>7.9573547589617544E-3</v>
      </c>
      <c r="D332" s="7">
        <v>-7.2519083969465603E-2</v>
      </c>
      <c r="E332" s="7">
        <v>9.0428655314152007E-3</v>
      </c>
      <c r="F332" s="7">
        <v>5.6078443139726541E-3</v>
      </c>
      <c r="G332" s="7"/>
      <c r="H332" s="7">
        <f t="shared" si="10"/>
        <v>4.6211306485781645E-3</v>
      </c>
      <c r="I332" s="7">
        <f t="shared" si="10"/>
        <v>2.3495104449891002E-3</v>
      </c>
      <c r="J332" s="7">
        <f t="shared" si="10"/>
        <v>-7.8126928283438257E-2</v>
      </c>
      <c r="K332" s="7">
        <f t="shared" si="10"/>
        <v>3.4350212174425465E-3</v>
      </c>
      <c r="L332" s="7"/>
    </row>
    <row r="333" spans="1:12" x14ac:dyDescent="0.25">
      <c r="A333" s="2" t="s">
        <v>506</v>
      </c>
      <c r="B333" s="7">
        <v>-5.5607836427407076E-4</v>
      </c>
      <c r="C333" s="7">
        <v>-3.5411855273287385E-3</v>
      </c>
      <c r="D333" s="7">
        <v>0</v>
      </c>
      <c r="E333" s="7">
        <v>1.6595033428844275E-2</v>
      </c>
      <c r="F333" s="7">
        <v>-3.8012963267421984E-3</v>
      </c>
      <c r="G333" s="7"/>
      <c r="H333" s="7">
        <f t="shared" si="10"/>
        <v>3.2452179624681277E-3</v>
      </c>
      <c r="I333" s="7">
        <f t="shared" si="10"/>
        <v>2.6011079941345994E-4</v>
      </c>
      <c r="J333" s="7">
        <f t="shared" si="10"/>
        <v>3.8012963267421984E-3</v>
      </c>
      <c r="K333" s="7">
        <f t="shared" si="10"/>
        <v>2.0396329755586473E-2</v>
      </c>
      <c r="L333" s="7"/>
    </row>
    <row r="334" spans="1:12" x14ac:dyDescent="0.25">
      <c r="A334" s="2" t="s">
        <v>507</v>
      </c>
      <c r="B334" s="7">
        <v>9.4127806563040206E-3</v>
      </c>
      <c r="C334" s="7">
        <v>2.018377444435715E-2</v>
      </c>
      <c r="D334" s="7">
        <v>-2.2388059701492602E-2</v>
      </c>
      <c r="E334" s="7">
        <v>-4.7528517110264623E-3</v>
      </c>
      <c r="F334" s="7">
        <v>5.722044904524104E-3</v>
      </c>
      <c r="G334" s="7"/>
      <c r="H334" s="7">
        <f t="shared" si="10"/>
        <v>3.6907357517799166E-3</v>
      </c>
      <c r="I334" s="7">
        <f t="shared" si="10"/>
        <v>1.4461729539833046E-2</v>
      </c>
      <c r="J334" s="7">
        <f t="shared" si="10"/>
        <v>-2.8110104606016706E-2</v>
      </c>
      <c r="K334" s="7">
        <f t="shared" si="10"/>
        <v>-1.0474896615550566E-2</v>
      </c>
      <c r="L334" s="7"/>
    </row>
    <row r="335" spans="1:12" x14ac:dyDescent="0.25">
      <c r="A335" s="2" t="s">
        <v>68</v>
      </c>
      <c r="B335" s="7">
        <v>1.3034730119849458E-2</v>
      </c>
      <c r="C335" s="7">
        <v>1.4743385400063813E-2</v>
      </c>
      <c r="D335" s="7">
        <v>-7.4074074074074181E-3</v>
      </c>
      <c r="E335" s="7">
        <v>2.9480122324158975E-2</v>
      </c>
      <c r="F335" s="7">
        <v>3.0204344198856425E-3</v>
      </c>
      <c r="G335" s="7"/>
      <c r="H335" s="7">
        <f t="shared" si="10"/>
        <v>1.0014295699963816E-2</v>
      </c>
      <c r="I335" s="7">
        <f t="shared" si="10"/>
        <v>1.1722950980178171E-2</v>
      </c>
      <c r="J335" s="7">
        <f t="shared" si="10"/>
        <v>-1.0427841827293061E-2</v>
      </c>
      <c r="K335" s="7">
        <f t="shared" si="10"/>
        <v>2.6459687904273332E-2</v>
      </c>
      <c r="L335" s="7"/>
    </row>
    <row r="336" spans="1:12" x14ac:dyDescent="0.25">
      <c r="A336" s="2" t="s">
        <v>508</v>
      </c>
      <c r="B336" s="7">
        <v>5.8958113340372709E-3</v>
      </c>
      <c r="C336" s="7">
        <v>8.6816720257234525E-3</v>
      </c>
      <c r="D336" s="7">
        <v>-7.3529411764705621E-3</v>
      </c>
      <c r="E336" s="7">
        <v>-2.863593155893529E-2</v>
      </c>
      <c r="F336" s="7">
        <v>3.4679787718681077E-3</v>
      </c>
      <c r="G336" s="7"/>
      <c r="H336" s="7">
        <f t="shared" si="10"/>
        <v>2.4278325621691632E-3</v>
      </c>
      <c r="I336" s="7">
        <f t="shared" si="10"/>
        <v>5.2136932538553449E-3</v>
      </c>
      <c r="J336" s="7">
        <f t="shared" si="10"/>
        <v>-1.082091994833867E-2</v>
      </c>
      <c r="K336" s="7">
        <f t="shared" si="10"/>
        <v>-3.2103910330803398E-2</v>
      </c>
      <c r="L336" s="7"/>
    </row>
    <row r="337" spans="1:12" x14ac:dyDescent="0.25">
      <c r="A337" s="2" t="s">
        <v>509</v>
      </c>
      <c r="B337" s="7">
        <v>-2.1074815595363283E-3</v>
      </c>
      <c r="C337" s="7">
        <v>-4.0829397165959014E-3</v>
      </c>
      <c r="D337" s="7">
        <v>0</v>
      </c>
      <c r="E337" s="7">
        <v>-1.3711473104418115E-2</v>
      </c>
      <c r="F337" s="7">
        <v>5.3404449131417842E-3</v>
      </c>
      <c r="G337" s="7"/>
      <c r="H337" s="7">
        <f t="shared" si="10"/>
        <v>-7.4479264726781125E-3</v>
      </c>
      <c r="I337" s="7">
        <f t="shared" si="10"/>
        <v>-9.4233846297376855E-3</v>
      </c>
      <c r="J337" s="7">
        <f t="shared" si="10"/>
        <v>-5.3404449131417842E-3</v>
      </c>
      <c r="K337" s="7">
        <f t="shared" si="10"/>
        <v>-1.9051918017559899E-2</v>
      </c>
      <c r="L337" s="7"/>
    </row>
    <row r="338" spans="1:12" x14ac:dyDescent="0.25">
      <c r="A338" s="2" t="s">
        <v>510</v>
      </c>
      <c r="B338" s="7">
        <v>3.1712473572937938E-3</v>
      </c>
      <c r="C338" s="7">
        <v>-2.714570858283416E-3</v>
      </c>
      <c r="D338" s="7">
        <v>-1.8050541516245411E-2</v>
      </c>
      <c r="E338" s="7">
        <v>-3.8524398785897418E-3</v>
      </c>
      <c r="F338" s="7">
        <v>2.1970667468895755E-5</v>
      </c>
      <c r="G338" s="7"/>
      <c r="H338" s="7">
        <f t="shared" si="10"/>
        <v>3.1492766898248981E-3</v>
      </c>
      <c r="I338" s="7">
        <f t="shared" si="10"/>
        <v>-2.7365415257523118E-3</v>
      </c>
      <c r="J338" s="7">
        <f t="shared" si="10"/>
        <v>-1.8072512183714307E-2</v>
      </c>
      <c r="K338" s="7">
        <f t="shared" si="10"/>
        <v>-3.8744105460586376E-3</v>
      </c>
      <c r="L338" s="7"/>
    </row>
    <row r="339" spans="1:12" x14ac:dyDescent="0.25">
      <c r="A339" s="2" t="s">
        <v>511</v>
      </c>
      <c r="B339" s="7">
        <v>1.1464855807390428E-3</v>
      </c>
      <c r="C339" s="7">
        <v>-1.5252771444295932E-2</v>
      </c>
      <c r="D339" s="7">
        <v>0</v>
      </c>
      <c r="E339" s="7">
        <v>-2.5039836102890956E-2</v>
      </c>
      <c r="F339" s="7">
        <v>3.9636081050355987E-3</v>
      </c>
      <c r="G339" s="7"/>
      <c r="H339" s="7">
        <f t="shared" si="10"/>
        <v>-2.8171225242965559E-3</v>
      </c>
      <c r="I339" s="7">
        <f t="shared" si="10"/>
        <v>-1.921637954933153E-2</v>
      </c>
      <c r="J339" s="7">
        <f t="shared" si="10"/>
        <v>-3.9636081050355987E-3</v>
      </c>
      <c r="K339" s="7">
        <f t="shared" si="10"/>
        <v>-2.9003444207926554E-2</v>
      </c>
      <c r="L339" s="7"/>
    </row>
    <row r="340" spans="1:12" x14ac:dyDescent="0.25">
      <c r="A340" s="2" t="s">
        <v>69</v>
      </c>
      <c r="B340" s="7">
        <v>1.3406023773348874E-2</v>
      </c>
      <c r="C340" s="7">
        <v>2.917520895757697E-3</v>
      </c>
      <c r="D340" s="7">
        <v>2.2140221402213944E-2</v>
      </c>
      <c r="E340" s="7">
        <v>8.4940312213039881E-3</v>
      </c>
      <c r="F340" s="7">
        <v>3.9178144727474162E-3</v>
      </c>
      <c r="G340" s="7"/>
      <c r="H340" s="7">
        <f t="shared" si="10"/>
        <v>9.4882093006014578E-3</v>
      </c>
      <c r="I340" s="7">
        <f t="shared" si="10"/>
        <v>-1.0002935769897192E-3</v>
      </c>
      <c r="J340" s="7">
        <f t="shared" si="10"/>
        <v>1.8222406929466528E-2</v>
      </c>
      <c r="K340" s="7">
        <f t="shared" si="10"/>
        <v>4.5762167485565719E-3</v>
      </c>
      <c r="L340" s="7"/>
    </row>
    <row r="341" spans="1:12" x14ac:dyDescent="0.25">
      <c r="A341" s="2" t="s">
        <v>512</v>
      </c>
      <c r="B341" s="7">
        <v>-1.4098158428055285E-2</v>
      </c>
      <c r="C341" s="7">
        <v>-1.3841368584758929E-2</v>
      </c>
      <c r="D341" s="7">
        <v>-2.5179856115107868E-2</v>
      </c>
      <c r="E341" s="7">
        <v>-2.189289323004362E-2</v>
      </c>
      <c r="F341" s="7">
        <v>-1.3203522508181798E-2</v>
      </c>
      <c r="G341" s="7"/>
      <c r="H341" s="7">
        <f t="shared" si="10"/>
        <v>-8.9463591987348767E-4</v>
      </c>
      <c r="I341" s="7">
        <f t="shared" si="10"/>
        <v>-6.3784607657713099E-4</v>
      </c>
      <c r="J341" s="7">
        <f t="shared" si="10"/>
        <v>-1.1976333606926071E-2</v>
      </c>
      <c r="K341" s="7">
        <f t="shared" si="10"/>
        <v>-8.6893707218618221E-3</v>
      </c>
      <c r="L341" s="7"/>
    </row>
    <row r="342" spans="1:12" x14ac:dyDescent="0.25">
      <c r="A342" s="2" t="s">
        <v>513</v>
      </c>
      <c r="B342" s="7">
        <v>1.3756141134434907E-2</v>
      </c>
      <c r="C342" s="7">
        <v>6.5748278021289241E-3</v>
      </c>
      <c r="D342" s="7">
        <v>-7.1428571428571175E-3</v>
      </c>
      <c r="E342" s="7">
        <v>-1.5474743008732195E-2</v>
      </c>
      <c r="F342" s="7">
        <v>-6.0497412027306074E-3</v>
      </c>
      <c r="G342" s="7"/>
      <c r="H342" s="7">
        <f t="shared" si="10"/>
        <v>1.9805882337165515E-2</v>
      </c>
      <c r="I342" s="7">
        <f t="shared" si="10"/>
        <v>1.2624569004859532E-2</v>
      </c>
      <c r="J342" s="7">
        <f t="shared" si="10"/>
        <v>-1.09311594012651E-3</v>
      </c>
      <c r="K342" s="7">
        <f t="shared" si="10"/>
        <v>-9.4250018060015872E-3</v>
      </c>
      <c r="L342" s="7"/>
    </row>
    <row r="343" spans="1:12" x14ac:dyDescent="0.25">
      <c r="A343" s="2" t="s">
        <v>514</v>
      </c>
      <c r="B343" s="7">
        <v>3.9908524281422331E-3</v>
      </c>
      <c r="C343" s="7">
        <v>8.4458126134661082E-3</v>
      </c>
      <c r="D343" s="7">
        <v>2.9411764705882248E-2</v>
      </c>
      <c r="E343" s="7">
        <v>2.4376731301938293E-3</v>
      </c>
      <c r="F343" s="7">
        <v>2.3228648443596178E-4</v>
      </c>
      <c r="G343" s="7"/>
      <c r="H343" s="7">
        <f t="shared" si="10"/>
        <v>3.7585659437062713E-3</v>
      </c>
      <c r="I343" s="7">
        <f t="shared" si="10"/>
        <v>8.2135261290301464E-3</v>
      </c>
      <c r="J343" s="7">
        <f t="shared" si="10"/>
        <v>2.9179478221446287E-2</v>
      </c>
      <c r="K343" s="7">
        <f t="shared" si="10"/>
        <v>2.2053866457578675E-3</v>
      </c>
      <c r="L343" s="7"/>
    </row>
    <row r="344" spans="1:12" x14ac:dyDescent="0.25">
      <c r="A344" s="2" t="s">
        <v>515</v>
      </c>
      <c r="B344" s="7">
        <v>0</v>
      </c>
      <c r="C344" s="7">
        <v>-1.9882407550673054E-2</v>
      </c>
      <c r="D344" s="7">
        <v>-3.5460992907801248E-2</v>
      </c>
      <c r="E344" s="7">
        <v>-3.8154108494085071E-2</v>
      </c>
      <c r="F344" s="7">
        <v>-2.8926824797754769E-3</v>
      </c>
      <c r="G344" s="7"/>
      <c r="H344" s="7">
        <f t="shared" si="10"/>
        <v>2.8926824797754769E-3</v>
      </c>
      <c r="I344" s="7">
        <f t="shared" si="10"/>
        <v>-1.6989725070897577E-2</v>
      </c>
      <c r="J344" s="7">
        <f t="shared" si="10"/>
        <v>-3.2568310428025771E-2</v>
      </c>
      <c r="K344" s="7">
        <f t="shared" si="10"/>
        <v>-3.5261426014309594E-2</v>
      </c>
      <c r="L344" s="7"/>
    </row>
    <row r="345" spans="1:12" x14ac:dyDescent="0.25">
      <c r="A345" s="2" t="s">
        <v>70</v>
      </c>
      <c r="B345" s="7">
        <v>-1.2049794001683378E-2</v>
      </c>
      <c r="C345" s="7">
        <v>-1.003293252661408E-2</v>
      </c>
      <c r="D345" s="7">
        <v>-1.7421602787456525E-2</v>
      </c>
      <c r="E345" s="7">
        <v>1.3064133016627011E-2</v>
      </c>
      <c r="F345" s="7">
        <v>9.6905366322297404E-4</v>
      </c>
      <c r="G345" s="7"/>
      <c r="H345" s="7">
        <f t="shared" si="10"/>
        <v>-1.3018847664906352E-2</v>
      </c>
      <c r="I345" s="7">
        <f t="shared" si="10"/>
        <v>-1.1001986189837054E-2</v>
      </c>
      <c r="J345" s="7">
        <f t="shared" si="10"/>
        <v>-1.8390656450679499E-2</v>
      </c>
      <c r="K345" s="7">
        <f t="shared" si="10"/>
        <v>1.2095079353404037E-2</v>
      </c>
      <c r="L345" s="7"/>
    </row>
    <row r="346" spans="1:12" x14ac:dyDescent="0.25">
      <c r="A346" s="2" t="s">
        <v>516</v>
      </c>
      <c r="B346" s="7">
        <v>-1.1946902654867975E-3</v>
      </c>
      <c r="C346" s="7">
        <v>9.5878759761847121E-3</v>
      </c>
      <c r="D346" s="7">
        <v>-3.3670033670033739E-2</v>
      </c>
      <c r="E346" s="7">
        <v>-5.950446791226649E-2</v>
      </c>
      <c r="F346" s="7">
        <v>3.7568431802581514E-3</v>
      </c>
      <c r="G346" s="7"/>
      <c r="H346" s="7">
        <f t="shared" si="10"/>
        <v>-4.9515334457449489E-3</v>
      </c>
      <c r="I346" s="7">
        <f t="shared" si="10"/>
        <v>5.8310327959265607E-3</v>
      </c>
      <c r="J346" s="7">
        <f t="shared" si="10"/>
        <v>-3.742687685029189E-2</v>
      </c>
      <c r="K346" s="7">
        <f t="shared" si="10"/>
        <v>-6.3261311092524641E-2</v>
      </c>
      <c r="L346" s="7"/>
    </row>
    <row r="347" spans="1:12" x14ac:dyDescent="0.25">
      <c r="A347" s="2" t="s">
        <v>517</v>
      </c>
      <c r="B347" s="7">
        <v>2.1376598725538987E-2</v>
      </c>
      <c r="C347" s="7">
        <v>-6.376767055931043E-3</v>
      </c>
      <c r="D347" s="7">
        <v>2.0618556701030855E-2</v>
      </c>
      <c r="E347" s="7">
        <v>3.5323801513877262E-2</v>
      </c>
      <c r="F347" s="7">
        <v>7.4312198939459062E-3</v>
      </c>
      <c r="G347" s="7"/>
      <c r="H347" s="7">
        <f t="shared" si="10"/>
        <v>1.394537883159308E-2</v>
      </c>
      <c r="I347" s="7">
        <f t="shared" si="10"/>
        <v>-1.3807986949876949E-2</v>
      </c>
      <c r="J347" s="7">
        <f t="shared" si="10"/>
        <v>1.3187336807084948E-2</v>
      </c>
      <c r="K347" s="7">
        <f t="shared" si="10"/>
        <v>2.7892581619931356E-2</v>
      </c>
      <c r="L347" s="7"/>
    </row>
    <row r="348" spans="1:12" x14ac:dyDescent="0.25">
      <c r="A348" s="2" t="s">
        <v>518</v>
      </c>
      <c r="B348" s="7">
        <v>-3.2433893418621906E-3</v>
      </c>
      <c r="C348" s="7">
        <v>5.8469545417581426E-2</v>
      </c>
      <c r="D348" s="7">
        <v>4.3010752688172005E-2</v>
      </c>
      <c r="E348" s="7">
        <v>-2.5010250102501019E-2</v>
      </c>
      <c r="F348" s="7">
        <v>2.5295879476236127E-2</v>
      </c>
      <c r="G348" s="7"/>
      <c r="H348" s="7">
        <f t="shared" si="10"/>
        <v>-2.8539268818098318E-2</v>
      </c>
      <c r="I348" s="7">
        <f t="shared" si="10"/>
        <v>3.3173665941345298E-2</v>
      </c>
      <c r="J348" s="7">
        <f t="shared" si="10"/>
        <v>1.7714873211935878E-2</v>
      </c>
      <c r="K348" s="7">
        <f t="shared" si="10"/>
        <v>-5.0306129578737147E-2</v>
      </c>
      <c r="L348" s="7"/>
    </row>
    <row r="349" spans="1:12" x14ac:dyDescent="0.25">
      <c r="A349" s="2" t="s">
        <v>519</v>
      </c>
      <c r="B349" s="7">
        <v>6.4834965542255318E-3</v>
      </c>
      <c r="C349" s="7">
        <v>5.3139306736429415E-3</v>
      </c>
      <c r="D349" s="7">
        <v>-2.1052631578947434E-2</v>
      </c>
      <c r="E349" s="7">
        <v>8.267879288962332E-3</v>
      </c>
      <c r="F349" s="7">
        <v>1.2265675189796932E-2</v>
      </c>
      <c r="G349" s="7"/>
      <c r="H349" s="7">
        <f t="shared" si="10"/>
        <v>-5.7821786355714E-3</v>
      </c>
      <c r="I349" s="7">
        <f t="shared" si="10"/>
        <v>-6.9517445161539904E-3</v>
      </c>
      <c r="J349" s="7">
        <f t="shared" si="10"/>
        <v>-3.3318306768744366E-2</v>
      </c>
      <c r="K349" s="7">
        <f t="shared" si="10"/>
        <v>-3.9977959008345998E-3</v>
      </c>
      <c r="L349" s="7"/>
    </row>
    <row r="350" spans="1:12" x14ac:dyDescent="0.25">
      <c r="A350" s="2" t="s">
        <v>71</v>
      </c>
      <c r="B350" s="7">
        <v>-4.0639393118396816E-3</v>
      </c>
      <c r="C350" s="7">
        <v>-1.0756166599272254E-2</v>
      </c>
      <c r="D350" s="7">
        <v>-3.0612244897959107E-2</v>
      </c>
      <c r="E350" s="7">
        <v>8.3368070029179453E-3</v>
      </c>
      <c r="F350" s="7">
        <v>-2.8121072475911779E-3</v>
      </c>
      <c r="G350" s="7"/>
      <c r="H350" s="7">
        <f t="shared" si="10"/>
        <v>-1.2518320642485037E-3</v>
      </c>
      <c r="I350" s="7">
        <f t="shared" si="10"/>
        <v>-7.9440593516810765E-3</v>
      </c>
      <c r="J350" s="7">
        <f t="shared" si="10"/>
        <v>-2.7800137650367929E-2</v>
      </c>
      <c r="K350" s="7">
        <f t="shared" si="10"/>
        <v>1.1148914250509123E-2</v>
      </c>
      <c r="L350" s="7"/>
    </row>
    <row r="351" spans="1:12" x14ac:dyDescent="0.25">
      <c r="A351" s="2" t="s">
        <v>520</v>
      </c>
      <c r="B351" s="7">
        <v>-1.327749064337902E-2</v>
      </c>
      <c r="C351" s="7">
        <v>-9.6908537562069297E-3</v>
      </c>
      <c r="D351" s="7">
        <v>-1.0101010101010166E-2</v>
      </c>
      <c r="E351" s="7">
        <v>-4.0477426050856691E-3</v>
      </c>
      <c r="F351" s="7">
        <v>4.0925781489629109E-3</v>
      </c>
      <c r="G351" s="7"/>
      <c r="H351" s="7">
        <f t="shared" si="10"/>
        <v>-1.7370068792341931E-2</v>
      </c>
      <c r="I351" s="7">
        <f t="shared" si="10"/>
        <v>-1.3783431905169841E-2</v>
      </c>
      <c r="J351" s="7">
        <f t="shared" si="10"/>
        <v>-1.4193588249973077E-2</v>
      </c>
      <c r="K351" s="7">
        <f t="shared" si="10"/>
        <v>-8.14032075404858E-3</v>
      </c>
      <c r="L351" s="7"/>
    </row>
    <row r="352" spans="1:12" x14ac:dyDescent="0.25">
      <c r="A352" s="2" t="s">
        <v>521</v>
      </c>
      <c r="B352" s="7">
        <v>-1.8197725284339494E-2</v>
      </c>
      <c r="C352" s="7">
        <v>7.0979190191966524E-3</v>
      </c>
      <c r="D352" s="7">
        <v>6.7796610169492677E-3</v>
      </c>
      <c r="E352" s="7">
        <v>-7.3150628477230972E-3</v>
      </c>
      <c r="F352" s="7">
        <v>-1.8614747655095742E-2</v>
      </c>
      <c r="G352" s="7"/>
      <c r="H352" s="7">
        <f t="shared" si="10"/>
        <v>4.1702237075624815E-4</v>
      </c>
      <c r="I352" s="7">
        <f t="shared" si="10"/>
        <v>2.5712666674292395E-2</v>
      </c>
      <c r="J352" s="7">
        <f t="shared" si="10"/>
        <v>2.539440867204501E-2</v>
      </c>
      <c r="K352" s="7">
        <f t="shared" si="10"/>
        <v>1.1299684807372645E-2</v>
      </c>
      <c r="L352" s="7"/>
    </row>
    <row r="353" spans="1:12" x14ac:dyDescent="0.25">
      <c r="A353" s="2" t="s">
        <v>522</v>
      </c>
      <c r="B353" s="7">
        <v>-1.5291837174240874E-2</v>
      </c>
      <c r="C353" s="7">
        <v>-1.3212352753899981E-2</v>
      </c>
      <c r="D353" s="7">
        <v>-1.6666666666666607E-2</v>
      </c>
      <c r="E353" s="7">
        <v>-1.1306916573291192E-2</v>
      </c>
      <c r="F353" s="7">
        <v>-3.3002338451409985E-3</v>
      </c>
      <c r="G353" s="7"/>
      <c r="H353" s="7">
        <f t="shared" si="10"/>
        <v>-1.1991603329099876E-2</v>
      </c>
      <c r="I353" s="7">
        <f t="shared" si="10"/>
        <v>-9.9121189087589823E-3</v>
      </c>
      <c r="J353" s="7">
        <f t="shared" si="10"/>
        <v>-1.3366432821525609E-2</v>
      </c>
      <c r="K353" s="7">
        <f t="shared" si="10"/>
        <v>-8.006682728150194E-3</v>
      </c>
      <c r="L353" s="7"/>
    </row>
    <row r="354" spans="1:12" x14ac:dyDescent="0.25">
      <c r="A354" s="2" t="s">
        <v>523</v>
      </c>
      <c r="B354" s="7">
        <v>1.1643953769191473E-3</v>
      </c>
      <c r="C354" s="7">
        <v>-7.8180525941720092E-3</v>
      </c>
      <c r="D354" s="7">
        <v>-1.3157894736842146E-2</v>
      </c>
      <c r="E354" s="7">
        <v>-1.0176045588683458E-3</v>
      </c>
      <c r="F354" s="7">
        <v>1.6141440228589765E-3</v>
      </c>
      <c r="G354" s="7"/>
      <c r="H354" s="7">
        <f t="shared" si="10"/>
        <v>-4.4974864593982922E-4</v>
      </c>
      <c r="I354" s="7">
        <f t="shared" si="10"/>
        <v>-9.4321966170309857E-3</v>
      </c>
      <c r="J354" s="7">
        <f t="shared" si="10"/>
        <v>-1.4772038759701123E-2</v>
      </c>
      <c r="K354" s="7">
        <f t="shared" si="10"/>
        <v>-2.6317485817273223E-3</v>
      </c>
      <c r="L354" s="7"/>
    </row>
    <row r="355" spans="1:12" x14ac:dyDescent="0.25">
      <c r="A355" s="2" t="s">
        <v>72</v>
      </c>
      <c r="B355" s="7">
        <v>8.6124401913874049E-3</v>
      </c>
      <c r="C355" s="7">
        <v>4.4371134020618541E-2</v>
      </c>
      <c r="D355" s="7">
        <v>0</v>
      </c>
      <c r="E355" s="7">
        <v>2.5782881002087699E-2</v>
      </c>
      <c r="F355" s="7">
        <v>2.6514603692762151E-3</v>
      </c>
      <c r="G355" s="7"/>
      <c r="H355" s="7">
        <f t="shared" si="10"/>
        <v>5.9609798221111898E-3</v>
      </c>
      <c r="I355" s="7">
        <f t="shared" si="10"/>
        <v>4.1719673651342326E-2</v>
      </c>
      <c r="J355" s="7">
        <f t="shared" si="10"/>
        <v>-2.6514603692762151E-3</v>
      </c>
      <c r="K355" s="7">
        <f t="shared" si="10"/>
        <v>2.3131420632811484E-2</v>
      </c>
      <c r="L355" s="7"/>
    </row>
    <row r="356" spans="1:12" x14ac:dyDescent="0.25">
      <c r="A356" s="2" t="s">
        <v>524</v>
      </c>
      <c r="B356" s="7">
        <v>3.6233465752826266E-3</v>
      </c>
      <c r="C356" s="7">
        <v>-1.3586072242108727E-2</v>
      </c>
      <c r="D356" s="7">
        <v>-9.7719869706839324E-3</v>
      </c>
      <c r="E356" s="7">
        <v>1.0975094976783284E-2</v>
      </c>
      <c r="F356" s="7">
        <v>-2.994908655286066E-4</v>
      </c>
      <c r="G356" s="7"/>
      <c r="H356" s="7">
        <f t="shared" si="10"/>
        <v>3.9228374408112332E-3</v>
      </c>
      <c r="I356" s="7">
        <f t="shared" si="10"/>
        <v>-1.328658137658012E-2</v>
      </c>
      <c r="J356" s="7">
        <f t="shared" si="10"/>
        <v>-9.4724961051553258E-3</v>
      </c>
      <c r="K356" s="7">
        <f t="shared" si="10"/>
        <v>1.1274585842311891E-2</v>
      </c>
      <c r="L356" s="7"/>
    </row>
    <row r="357" spans="1:12" x14ac:dyDescent="0.25">
      <c r="A357" s="2" t="s">
        <v>525</v>
      </c>
      <c r="B357" s="7">
        <v>-7.8516902944392175E-4</v>
      </c>
      <c r="C357" s="7">
        <v>-1.1261261261261146E-2</v>
      </c>
      <c r="D357" s="7">
        <v>6.5573770491802463E-3</v>
      </c>
      <c r="E357" s="7">
        <v>-1.6706443914081159E-2</v>
      </c>
      <c r="F357" s="7">
        <v>2.1457820892740731E-3</v>
      </c>
      <c r="G357" s="7"/>
      <c r="H357" s="7">
        <f t="shared" si="10"/>
        <v>-2.9309511187179949E-3</v>
      </c>
      <c r="I357" s="7">
        <f t="shared" si="10"/>
        <v>-1.3407043350535219E-2</v>
      </c>
      <c r="J357" s="7">
        <f t="shared" si="10"/>
        <v>4.4115949599061732E-3</v>
      </c>
      <c r="K357" s="7">
        <f t="shared" si="10"/>
        <v>-1.8852226003355232E-2</v>
      </c>
      <c r="L357" s="7"/>
    </row>
    <row r="358" spans="1:12" x14ac:dyDescent="0.25">
      <c r="A358" s="2" t="s">
        <v>526</v>
      </c>
      <c r="B358" s="7">
        <v>-2.163707750085353E-2</v>
      </c>
      <c r="C358" s="7">
        <v>-2.8977583378895666E-2</v>
      </c>
      <c r="D358" s="7">
        <v>-3.1746031746031744E-2</v>
      </c>
      <c r="E358" s="7">
        <v>-2.4496406518878411E-2</v>
      </c>
      <c r="F358" s="7">
        <v>-9.1912770030079249E-3</v>
      </c>
      <c r="G358" s="7"/>
      <c r="H358" s="7">
        <f t="shared" si="10"/>
        <v>-1.2445800497845605E-2</v>
      </c>
      <c r="I358" s="7">
        <f t="shared" si="10"/>
        <v>-1.9786306375887741E-2</v>
      </c>
      <c r="J358" s="7">
        <f t="shared" si="10"/>
        <v>-2.2554754743023819E-2</v>
      </c>
      <c r="K358" s="7">
        <f t="shared" si="10"/>
        <v>-1.5305129515870486E-2</v>
      </c>
      <c r="L358" s="7"/>
    </row>
    <row r="359" spans="1:12" x14ac:dyDescent="0.25">
      <c r="A359" s="2" t="s">
        <v>527</v>
      </c>
      <c r="B359" s="7">
        <v>-2.6389716523368412E-3</v>
      </c>
      <c r="C359" s="7">
        <v>-2.3044639450591431E-2</v>
      </c>
      <c r="D359" s="7">
        <v>-1.5625000000000111E-2</v>
      </c>
      <c r="E359" s="7">
        <v>-4.434142900332505E-3</v>
      </c>
      <c r="F359" s="7">
        <v>-4.7489058725858069E-4</v>
      </c>
      <c r="G359" s="7"/>
      <c r="H359" s="7">
        <f t="shared" si="10"/>
        <v>-2.1640810650782605E-3</v>
      </c>
      <c r="I359" s="7">
        <f t="shared" si="10"/>
        <v>-2.256974886333285E-2</v>
      </c>
      <c r="J359" s="7">
        <f t="shared" si="10"/>
        <v>-1.515010941274153E-2</v>
      </c>
      <c r="K359" s="7">
        <f t="shared" si="10"/>
        <v>-3.9592523130739243E-3</v>
      </c>
      <c r="L359" s="7"/>
    </row>
    <row r="360" spans="1:12" x14ac:dyDescent="0.25">
      <c r="A360" s="2" t="s">
        <v>73</v>
      </c>
      <c r="B360" s="7">
        <v>6.2963121600205785E-3</v>
      </c>
      <c r="C360" s="7">
        <v>-2.2080097456981251E-3</v>
      </c>
      <c r="D360" s="7">
        <v>-1.2345679012345734E-2</v>
      </c>
      <c r="E360" s="7">
        <v>-1.4891293557033669E-2</v>
      </c>
      <c r="F360" s="7">
        <v>-1.8227794573267841E-3</v>
      </c>
      <c r="G360" s="7"/>
      <c r="H360" s="7">
        <f t="shared" si="10"/>
        <v>8.1190916173473626E-3</v>
      </c>
      <c r="I360" s="7">
        <f t="shared" si="10"/>
        <v>-3.8523028837134099E-4</v>
      </c>
      <c r="J360" s="7">
        <f t="shared" si="10"/>
        <v>-1.052289955501895E-2</v>
      </c>
      <c r="K360" s="7">
        <f t="shared" si="10"/>
        <v>-1.3068514099706885E-2</v>
      </c>
      <c r="L360" s="7"/>
    </row>
    <row r="361" spans="1:12" x14ac:dyDescent="0.25">
      <c r="A361" s="2" t="s">
        <v>528</v>
      </c>
      <c r="B361" s="7">
        <v>1.2314096171356814E-2</v>
      </c>
      <c r="C361" s="7">
        <v>-4.0191097292788802E-3</v>
      </c>
      <c r="D361" s="7">
        <v>0</v>
      </c>
      <c r="E361" s="7">
        <v>2.3574839955289084E-2</v>
      </c>
      <c r="F361" s="7">
        <v>3.9716030382763723E-3</v>
      </c>
      <c r="G361" s="7"/>
      <c r="H361" s="7">
        <f t="shared" si="10"/>
        <v>8.3424931330804419E-3</v>
      </c>
      <c r="I361" s="7">
        <f t="shared" si="10"/>
        <v>-7.9907127675552525E-3</v>
      </c>
      <c r="J361" s="7">
        <f t="shared" si="10"/>
        <v>-3.9716030382763723E-3</v>
      </c>
      <c r="K361" s="7">
        <f t="shared" si="10"/>
        <v>1.9603236917012712E-2</v>
      </c>
      <c r="L361" s="7"/>
    </row>
    <row r="362" spans="1:12" x14ac:dyDescent="0.25">
      <c r="A362" s="2" t="s">
        <v>529</v>
      </c>
      <c r="B362" s="7">
        <v>1.5633821166456396E-3</v>
      </c>
      <c r="C362" s="7">
        <v>-4.9049200120736547E-3</v>
      </c>
      <c r="D362" s="7">
        <v>6.2111801242235032E-3</v>
      </c>
      <c r="E362" s="7">
        <v>-2.0503632925251369E-2</v>
      </c>
      <c r="F362" s="7">
        <v>-1.7116048520571248E-4</v>
      </c>
      <c r="G362" s="7"/>
      <c r="H362" s="7">
        <f t="shared" si="10"/>
        <v>1.7345426018513521E-3</v>
      </c>
      <c r="I362" s="7">
        <f t="shared" si="10"/>
        <v>-4.7337595268679422E-3</v>
      </c>
      <c r="J362" s="7">
        <f t="shared" si="10"/>
        <v>6.3823406094292157E-3</v>
      </c>
      <c r="K362" s="7">
        <f t="shared" si="10"/>
        <v>-2.0332472440045657E-2</v>
      </c>
      <c r="L362" s="7"/>
    </row>
    <row r="363" spans="1:12" x14ac:dyDescent="0.25">
      <c r="A363" s="2" t="s">
        <v>530</v>
      </c>
      <c r="B363" s="7">
        <v>-8.8240358126721041E-3</v>
      </c>
      <c r="C363" s="7">
        <v>4.5482110369923223E-3</v>
      </c>
      <c r="D363" s="7">
        <v>0</v>
      </c>
      <c r="E363" s="7">
        <v>3.1952071892160649E-3</v>
      </c>
      <c r="F363" s="7">
        <v>4.6790685197222182E-3</v>
      </c>
      <c r="G363" s="7"/>
      <c r="H363" s="7">
        <f t="shared" si="10"/>
        <v>-1.3503104332394322E-2</v>
      </c>
      <c r="I363" s="7">
        <f t="shared" si="10"/>
        <v>-1.3085748272989584E-4</v>
      </c>
      <c r="J363" s="7">
        <f t="shared" si="10"/>
        <v>-4.6790685197222182E-3</v>
      </c>
      <c r="K363" s="7">
        <f t="shared" si="10"/>
        <v>-1.4838613305061532E-3</v>
      </c>
      <c r="L363" s="7"/>
    </row>
    <row r="364" spans="1:12" x14ac:dyDescent="0.25">
      <c r="A364" s="2" t="s">
        <v>531</v>
      </c>
      <c r="B364" s="7">
        <v>1.1010052656773572E-2</v>
      </c>
      <c r="C364" s="7">
        <v>-2.2735884804847561E-4</v>
      </c>
      <c r="D364" s="7">
        <v>-2.1276595744680771E-2</v>
      </c>
      <c r="E364" s="7">
        <v>-5.5366911903414362E-2</v>
      </c>
      <c r="F364" s="7">
        <v>-7.6094097971791674E-3</v>
      </c>
      <c r="G364" s="7"/>
      <c r="H364" s="7">
        <f t="shared" si="10"/>
        <v>1.861946245395274E-2</v>
      </c>
      <c r="I364" s="7">
        <f t="shared" si="10"/>
        <v>7.3820509491306918E-3</v>
      </c>
      <c r="J364" s="7">
        <f t="shared" si="10"/>
        <v>-1.3667185947501603E-2</v>
      </c>
      <c r="K364" s="7">
        <f t="shared" si="10"/>
        <v>-4.7757502106235195E-2</v>
      </c>
      <c r="L364" s="7"/>
    </row>
    <row r="365" spans="1:12" x14ac:dyDescent="0.25">
      <c r="A365" s="2" t="s">
        <v>74</v>
      </c>
      <c r="B365" s="7">
        <v>1.6500044236043454E-2</v>
      </c>
      <c r="C365" s="7">
        <v>7.4826296098342571E-3</v>
      </c>
      <c r="D365" s="7">
        <v>-9.0361445783131433E-3</v>
      </c>
      <c r="E365" s="7">
        <v>-2.1143015418705668E-2</v>
      </c>
      <c r="F365" s="7">
        <v>7.7076128584032677E-3</v>
      </c>
      <c r="G365" s="7"/>
      <c r="H365" s="7">
        <f t="shared" si="10"/>
        <v>8.7924313776401863E-3</v>
      </c>
      <c r="I365" s="7">
        <f t="shared" si="10"/>
        <v>-2.2498324856901064E-4</v>
      </c>
      <c r="J365" s="7">
        <f t="shared" si="10"/>
        <v>-1.6743757436716411E-2</v>
      </c>
      <c r="K365" s="7">
        <f t="shared" si="10"/>
        <v>-2.8850628277108936E-2</v>
      </c>
      <c r="L365" s="7"/>
    </row>
    <row r="366" spans="1:12" x14ac:dyDescent="0.25">
      <c r="A366" s="2" t="s">
        <v>532</v>
      </c>
      <c r="B366" s="7">
        <v>-6.5480114260602074E-3</v>
      </c>
      <c r="C366" s="7">
        <v>9.7139773340528812E-3</v>
      </c>
      <c r="D366" s="7">
        <v>-3.0030030030030463E-3</v>
      </c>
      <c r="E366" s="7">
        <v>7.9099199702215017E-3</v>
      </c>
      <c r="F366" s="7">
        <v>6.0518507625366702E-3</v>
      </c>
      <c r="G366" s="7"/>
      <c r="H366" s="7">
        <f t="shared" si="10"/>
        <v>-1.2599862188596878E-2</v>
      </c>
      <c r="I366" s="7">
        <f t="shared" si="10"/>
        <v>3.662126571516211E-3</v>
      </c>
      <c r="J366" s="7">
        <f t="shared" si="10"/>
        <v>-9.0548537655397165E-3</v>
      </c>
      <c r="K366" s="7">
        <f t="shared" si="10"/>
        <v>1.8580692076848315E-3</v>
      </c>
      <c r="L366" s="7"/>
    </row>
    <row r="367" spans="1:12" x14ac:dyDescent="0.25">
      <c r="A367" s="2" t="s">
        <v>533</v>
      </c>
      <c r="B367" s="7">
        <v>-2.148745834064103E-3</v>
      </c>
      <c r="C367" s="7">
        <v>-1.1507392165828301E-2</v>
      </c>
      <c r="D367" s="7">
        <v>6.0422960725075026E-3</v>
      </c>
      <c r="E367" s="7">
        <v>1.2818096135720936E-2</v>
      </c>
      <c r="F367" s="7">
        <v>-2.0700823889336917E-3</v>
      </c>
      <c r="G367" s="7"/>
      <c r="H367" s="7">
        <f t="shared" si="10"/>
        <v>-7.8663445130411347E-5</v>
      </c>
      <c r="I367" s="7">
        <f t="shared" si="10"/>
        <v>-9.437309776894609E-3</v>
      </c>
      <c r="J367" s="7">
        <f t="shared" si="10"/>
        <v>8.1123784614411942E-3</v>
      </c>
      <c r="K367" s="7">
        <f t="shared" si="10"/>
        <v>1.4888178524654627E-2</v>
      </c>
      <c r="L367" s="7"/>
    </row>
    <row r="368" spans="1:12" x14ac:dyDescent="0.25">
      <c r="A368" s="2" t="s">
        <v>534</v>
      </c>
      <c r="B368" s="7">
        <v>1.6674097191261561E-2</v>
      </c>
      <c r="C368" s="7">
        <v>2.3680391108396037E-3</v>
      </c>
      <c r="D368" s="7">
        <v>-2.9325513196480912E-2</v>
      </c>
      <c r="E368" s="7">
        <v>-1.6317448544409419E-2</v>
      </c>
      <c r="F368" s="7">
        <v>7.1133846739683815E-3</v>
      </c>
      <c r="G368" s="7"/>
      <c r="H368" s="7">
        <f t="shared" si="10"/>
        <v>9.5607125172931795E-3</v>
      </c>
      <c r="I368" s="7">
        <f t="shared" si="10"/>
        <v>-4.7453455631287778E-3</v>
      </c>
      <c r="J368" s="7">
        <f t="shared" si="10"/>
        <v>-3.6438897870449294E-2</v>
      </c>
      <c r="K368" s="7">
        <f t="shared" si="10"/>
        <v>-2.34308332183778E-2</v>
      </c>
      <c r="L368" s="7"/>
    </row>
    <row r="369" spans="1:12" x14ac:dyDescent="0.25">
      <c r="A369" s="2" t="s">
        <v>535</v>
      </c>
      <c r="B369" s="7">
        <v>1.8434435161641893E-2</v>
      </c>
      <c r="C369" s="7">
        <v>-1.1445139630703594E-3</v>
      </c>
      <c r="D369" s="7">
        <v>-1.4450867052023031E-2</v>
      </c>
      <c r="E369" s="7">
        <v>-6.6712814744310789E-2</v>
      </c>
      <c r="F369" s="7">
        <v>9.68935768284096E-3</v>
      </c>
      <c r="G369" s="7"/>
      <c r="H369" s="7">
        <f t="shared" si="10"/>
        <v>8.7450774788009333E-3</v>
      </c>
      <c r="I369" s="7">
        <f t="shared" si="10"/>
        <v>-1.0833871645911319E-2</v>
      </c>
      <c r="J369" s="7">
        <f t="shared" si="10"/>
        <v>-2.4140224734863991E-2</v>
      </c>
      <c r="K369" s="7">
        <f t="shared" si="10"/>
        <v>-7.6402172427151749E-2</v>
      </c>
      <c r="L369" s="7"/>
    </row>
    <row r="370" spans="1:12" x14ac:dyDescent="0.25">
      <c r="A370" s="2" t="s">
        <v>75</v>
      </c>
      <c r="B370" s="7">
        <v>-2.2545712764068804E-2</v>
      </c>
      <c r="C370" s="7">
        <v>-3.1185821860499896E-3</v>
      </c>
      <c r="D370" s="7">
        <v>5.8139534883721034E-3</v>
      </c>
      <c r="E370" s="7">
        <v>2.6103169670602888E-2</v>
      </c>
      <c r="F370" s="7">
        <v>-9.5860422495291919E-3</v>
      </c>
      <c r="G370" s="7"/>
      <c r="H370" s="7">
        <f t="shared" si="10"/>
        <v>-1.2959670514539612E-2</v>
      </c>
      <c r="I370" s="7">
        <f t="shared" si="10"/>
        <v>6.4674600634792023E-3</v>
      </c>
      <c r="J370" s="7">
        <f t="shared" si="10"/>
        <v>1.5399995737901295E-2</v>
      </c>
      <c r="K370" s="7">
        <f t="shared" si="10"/>
        <v>3.568921192013208E-2</v>
      </c>
      <c r="L370" s="7"/>
    </row>
    <row r="371" spans="1:12" x14ac:dyDescent="0.25">
      <c r="A371" s="2" t="s">
        <v>536</v>
      </c>
      <c r="B371" s="7">
        <v>4.9955396966994137E-3</v>
      </c>
      <c r="C371" s="7">
        <v>3.6644018627376429E-3</v>
      </c>
      <c r="D371" s="7">
        <v>-2.8985507246377384E-3</v>
      </c>
      <c r="E371" s="7">
        <v>1.5050468637346714E-2</v>
      </c>
      <c r="F371" s="7">
        <v>8.9702698624898325E-3</v>
      </c>
      <c r="G371" s="7"/>
      <c r="H371" s="7">
        <f t="shared" si="10"/>
        <v>-3.9747301657904188E-3</v>
      </c>
      <c r="I371" s="7">
        <f t="shared" si="10"/>
        <v>-5.3058679997521896E-3</v>
      </c>
      <c r="J371" s="7">
        <f t="shared" si="10"/>
        <v>-1.1868820587127571E-2</v>
      </c>
      <c r="K371" s="7">
        <f t="shared" si="10"/>
        <v>6.080198774856882E-3</v>
      </c>
      <c r="L371" s="7"/>
    </row>
    <row r="372" spans="1:12" x14ac:dyDescent="0.25">
      <c r="A372" s="2" t="s">
        <v>537</v>
      </c>
      <c r="B372" s="7">
        <v>-4.8823790501554276E-3</v>
      </c>
      <c r="C372" s="7">
        <v>-4.8621134999619064E-3</v>
      </c>
      <c r="D372" s="7">
        <v>2.3738872403560762E-2</v>
      </c>
      <c r="E372" s="7">
        <v>-2.0912379775875789E-2</v>
      </c>
      <c r="F372" s="7">
        <v>-1.681396399709989E-3</v>
      </c>
      <c r="G372" s="7"/>
      <c r="H372" s="7">
        <f t="shared" si="10"/>
        <v>-3.2009826504454386E-3</v>
      </c>
      <c r="I372" s="7">
        <f t="shared" si="10"/>
        <v>-3.1807171002519175E-3</v>
      </c>
      <c r="J372" s="7">
        <f t="shared" si="10"/>
        <v>2.5420268803270751E-2</v>
      </c>
      <c r="K372" s="7">
        <f t="shared" si="10"/>
        <v>-1.92309833761658E-2</v>
      </c>
      <c r="L372" s="7"/>
    </row>
    <row r="373" spans="1:12" x14ac:dyDescent="0.25">
      <c r="A373" s="2" t="s">
        <v>538</v>
      </c>
      <c r="B373" s="7">
        <v>2.5363769857162932E-3</v>
      </c>
      <c r="C373" s="7">
        <v>-1.1860971398543696E-2</v>
      </c>
      <c r="D373" s="7">
        <v>1.2012012012011963E-2</v>
      </c>
      <c r="E373" s="7">
        <v>2.2188148281771403E-2</v>
      </c>
      <c r="F373" s="7">
        <v>1.3838405955768351E-4</v>
      </c>
      <c r="G373" s="7"/>
      <c r="H373" s="7">
        <f t="shared" si="10"/>
        <v>2.3979929261586097E-3</v>
      </c>
      <c r="I373" s="7">
        <f t="shared" si="10"/>
        <v>-1.1999355458101379E-2</v>
      </c>
      <c r="J373" s="7">
        <f t="shared" si="10"/>
        <v>1.187362795245428E-2</v>
      </c>
      <c r="K373" s="7">
        <f t="shared" si="10"/>
        <v>2.2049764222213719E-2</v>
      </c>
      <c r="L373" s="7"/>
    </row>
    <row r="374" spans="1:12" x14ac:dyDescent="0.25">
      <c r="A374" s="2" t="s">
        <v>539</v>
      </c>
      <c r="B374" s="7">
        <v>-2.9160186625194373E-2</v>
      </c>
      <c r="C374" s="7">
        <v>2.6343519494202994E-3</v>
      </c>
      <c r="D374" s="7">
        <v>0</v>
      </c>
      <c r="E374" s="7">
        <v>6.2380222307397482E-2</v>
      </c>
      <c r="F374" s="7">
        <v>-9.3241104524439677E-3</v>
      </c>
      <c r="G374" s="7"/>
      <c r="H374" s="7">
        <f t="shared" si="10"/>
        <v>-1.9836076172750405E-2</v>
      </c>
      <c r="I374" s="7">
        <f t="shared" si="10"/>
        <v>1.1958462401864267E-2</v>
      </c>
      <c r="J374" s="7">
        <f t="shared" si="10"/>
        <v>9.3241104524439677E-3</v>
      </c>
      <c r="K374" s="7">
        <f t="shared" si="10"/>
        <v>7.1704332759841449E-2</v>
      </c>
      <c r="L374" s="7"/>
    </row>
    <row r="375" spans="1:12" x14ac:dyDescent="0.25">
      <c r="A375" s="2" t="s">
        <v>76</v>
      </c>
      <c r="B375" s="7">
        <v>2.2889969067609206E-2</v>
      </c>
      <c r="C375" s="7">
        <v>-4.3465227817744978E-3</v>
      </c>
      <c r="D375" s="7">
        <v>6.0422960725075026E-3</v>
      </c>
      <c r="E375" s="7">
        <v>-1.127427759355748E-2</v>
      </c>
      <c r="F375" s="7">
        <v>4.2365423122701085E-3</v>
      </c>
      <c r="G375" s="7"/>
      <c r="H375" s="7">
        <f t="shared" si="10"/>
        <v>1.8653426755339098E-2</v>
      </c>
      <c r="I375" s="7">
        <f t="shared" si="10"/>
        <v>-8.5830650940446063E-3</v>
      </c>
      <c r="J375" s="7">
        <f t="shared" si="10"/>
        <v>1.8057537602373941E-3</v>
      </c>
      <c r="K375" s="7">
        <f t="shared" si="10"/>
        <v>-1.5510819905827589E-2</v>
      </c>
      <c r="L375" s="7"/>
    </row>
    <row r="376" spans="1:12" x14ac:dyDescent="0.25">
      <c r="A376" s="2" t="s">
        <v>540</v>
      </c>
      <c r="B376" s="7">
        <v>1.1502388957707055E-3</v>
      </c>
      <c r="C376" s="7">
        <v>-1.5348288075560879E-2</v>
      </c>
      <c r="D376" s="7">
        <v>6.0790273556230456E-3</v>
      </c>
      <c r="E376" s="7">
        <v>2.1583430120015512E-2</v>
      </c>
      <c r="F376" s="7">
        <v>-1.2531829977877607E-3</v>
      </c>
      <c r="G376" s="7"/>
      <c r="H376" s="7">
        <f t="shared" si="10"/>
        <v>2.4034218935584661E-3</v>
      </c>
      <c r="I376" s="7">
        <f t="shared" si="10"/>
        <v>-1.4095105077773118E-2</v>
      </c>
      <c r="J376" s="7">
        <f t="shared" si="10"/>
        <v>7.3322103534108063E-3</v>
      </c>
      <c r="K376" s="7">
        <f t="shared" si="10"/>
        <v>2.2836613117803273E-2</v>
      </c>
      <c r="L376" s="7"/>
    </row>
    <row r="377" spans="1:12" x14ac:dyDescent="0.25">
      <c r="A377" s="2" t="s">
        <v>541</v>
      </c>
      <c r="B377" s="7">
        <v>5.1136110987595185E-3</v>
      </c>
      <c r="C377" s="7">
        <v>2.078939439590255E-2</v>
      </c>
      <c r="D377" s="7">
        <v>2.4922118380062308E-2</v>
      </c>
      <c r="E377" s="7">
        <v>0.10067114093959728</v>
      </c>
      <c r="F377" s="7">
        <v>4.0386141140038578E-3</v>
      </c>
      <c r="G377" s="7"/>
      <c r="H377" s="7">
        <f t="shared" si="10"/>
        <v>1.0749969847556606E-3</v>
      </c>
      <c r="I377" s="7">
        <f t="shared" si="10"/>
        <v>1.6750780281898692E-2</v>
      </c>
      <c r="J377" s="7">
        <f t="shared" si="10"/>
        <v>2.088350426605845E-2</v>
      </c>
      <c r="K377" s="7">
        <f t="shared" si="10"/>
        <v>9.6632526825593423E-2</v>
      </c>
      <c r="L377" s="7"/>
    </row>
    <row r="378" spans="1:12" x14ac:dyDescent="0.25">
      <c r="A378" s="2" t="s">
        <v>542</v>
      </c>
      <c r="B378" s="7">
        <v>-4.4269334631900081E-3</v>
      </c>
      <c r="C378" s="7">
        <v>-4.5737422208893541E-3</v>
      </c>
      <c r="D378" s="7">
        <v>-2.1341463414634054E-2</v>
      </c>
      <c r="E378" s="7">
        <v>-1.7788008789368925E-2</v>
      </c>
      <c r="F378" s="7">
        <v>-1.8611774432969463E-3</v>
      </c>
      <c r="G378" s="7"/>
      <c r="H378" s="7">
        <f t="shared" si="10"/>
        <v>-2.5657560198930618E-3</v>
      </c>
      <c r="I378" s="7">
        <f t="shared" si="10"/>
        <v>-2.7125647775924078E-3</v>
      </c>
      <c r="J378" s="7">
        <f t="shared" si="10"/>
        <v>-1.9480285971337108E-2</v>
      </c>
      <c r="K378" s="7">
        <f t="shared" si="10"/>
        <v>-1.5926831346071979E-2</v>
      </c>
      <c r="L378" s="7"/>
    </row>
    <row r="379" spans="1:12" x14ac:dyDescent="0.25">
      <c r="A379" s="2" t="s">
        <v>543</v>
      </c>
      <c r="B379" s="7">
        <v>4.0001777856792931E-3</v>
      </c>
      <c r="C379" s="7">
        <v>1.1681711294849295E-2</v>
      </c>
      <c r="D379" s="7">
        <v>1.8633540372670732E-2</v>
      </c>
      <c r="E379" s="7">
        <v>7.8789931143469882E-2</v>
      </c>
      <c r="F379" s="7">
        <v>2.5111172898120149E-3</v>
      </c>
      <c r="G379" s="7"/>
      <c r="H379" s="7">
        <f t="shared" si="10"/>
        <v>1.4890604958672782E-3</v>
      </c>
      <c r="I379" s="7">
        <f t="shared" si="10"/>
        <v>9.1705940050372803E-3</v>
      </c>
      <c r="J379" s="7">
        <f t="shared" si="10"/>
        <v>1.6122423082858717E-2</v>
      </c>
      <c r="K379" s="7">
        <f t="shared" si="10"/>
        <v>7.6278813853657867E-2</v>
      </c>
      <c r="L379" s="7"/>
    </row>
    <row r="380" spans="1:12" x14ac:dyDescent="0.25">
      <c r="A380" s="2" t="s">
        <v>77</v>
      </c>
      <c r="B380" s="7">
        <v>-7.5867848793612636E-3</v>
      </c>
      <c r="C380" s="7">
        <v>6.4127032597909306E-3</v>
      </c>
      <c r="D380" s="7">
        <v>1.2578616352201255E-2</v>
      </c>
      <c r="E380" s="7">
        <v>2.0387007601935236E-2</v>
      </c>
      <c r="F380" s="7">
        <v>2.8092695373120868E-3</v>
      </c>
      <c r="G380" s="7"/>
      <c r="H380" s="7">
        <f t="shared" si="10"/>
        <v>-1.039605441667335E-2</v>
      </c>
      <c r="I380" s="7">
        <f t="shared" si="10"/>
        <v>3.6034337224788437E-3</v>
      </c>
      <c r="J380" s="7">
        <f t="shared" si="10"/>
        <v>9.7693468148891682E-3</v>
      </c>
      <c r="K380" s="7">
        <f t="shared" si="10"/>
        <v>1.757773806462315E-2</v>
      </c>
      <c r="L380" s="7"/>
    </row>
    <row r="381" spans="1:12" x14ac:dyDescent="0.25">
      <c r="A381" s="2" t="s">
        <v>544</v>
      </c>
      <c r="B381" s="7">
        <v>-2.9466092004573063E-3</v>
      </c>
      <c r="C381" s="7">
        <v>6.9956949569496274E-3</v>
      </c>
      <c r="D381" s="7">
        <v>-3.92749244712991E-2</v>
      </c>
      <c r="E381" s="7">
        <v>-2.2983222247759949E-3</v>
      </c>
      <c r="F381" s="7">
        <v>-1.9409693295342478E-3</v>
      </c>
      <c r="G381" s="7"/>
      <c r="H381" s="7">
        <f t="shared" si="10"/>
        <v>-1.0056398709230585E-3</v>
      </c>
      <c r="I381" s="7">
        <f t="shared" si="10"/>
        <v>8.9366642864838752E-3</v>
      </c>
      <c r="J381" s="7">
        <f t="shared" si="10"/>
        <v>-3.7333955141764852E-2</v>
      </c>
      <c r="K381" s="7">
        <f t="shared" si="10"/>
        <v>-3.5735289524174707E-4</v>
      </c>
      <c r="L381" s="7"/>
    </row>
    <row r="382" spans="1:12" x14ac:dyDescent="0.25">
      <c r="A382" s="2" t="s">
        <v>545</v>
      </c>
      <c r="B382" s="7">
        <v>3.7080957810718296E-2</v>
      </c>
      <c r="C382" s="7">
        <v>3.6262634056014598E-3</v>
      </c>
      <c r="D382" s="7">
        <v>1.8461538461538529E-2</v>
      </c>
      <c r="E382" s="7">
        <v>4.8181161165984143E-2</v>
      </c>
      <c r="F382" s="7">
        <v>1.6976786407179478E-2</v>
      </c>
      <c r="G382" s="7"/>
      <c r="H382" s="7">
        <f t="shared" si="10"/>
        <v>2.0104171403538817E-2</v>
      </c>
      <c r="I382" s="7">
        <f t="shared" si="10"/>
        <v>-1.3350523001578019E-2</v>
      </c>
      <c r="J382" s="7">
        <f t="shared" si="10"/>
        <v>1.4847520543590509E-3</v>
      </c>
      <c r="K382" s="7">
        <f t="shared" si="10"/>
        <v>3.1204374758804665E-2</v>
      </c>
      <c r="L382" s="7"/>
    </row>
    <row r="383" spans="1:12" x14ac:dyDescent="0.25">
      <c r="A383" s="2" t="s">
        <v>546</v>
      </c>
      <c r="B383" s="7">
        <v>1.7968242176618077E-2</v>
      </c>
      <c r="C383" s="7">
        <v>-1.6176244030193798E-3</v>
      </c>
      <c r="D383" s="7">
        <v>3.0864197530864335E-3</v>
      </c>
      <c r="E383" s="7">
        <v>-3.2416856765519197E-3</v>
      </c>
      <c r="F383" s="7">
        <v>-2.8964004415590328E-3</v>
      </c>
      <c r="G383" s="7"/>
      <c r="H383" s="7">
        <f t="shared" si="10"/>
        <v>2.0864642618177109E-2</v>
      </c>
      <c r="I383" s="7">
        <f t="shared" si="10"/>
        <v>1.2787760385396529E-3</v>
      </c>
      <c r="J383" s="7">
        <f t="shared" si="10"/>
        <v>5.9828201946454662E-3</v>
      </c>
      <c r="K383" s="7">
        <f t="shared" si="10"/>
        <v>-3.4528523499288699E-4</v>
      </c>
      <c r="L383" s="7"/>
    </row>
    <row r="384" spans="1:12" x14ac:dyDescent="0.25">
      <c r="A384" s="2" t="s">
        <v>547</v>
      </c>
      <c r="B384" s="7">
        <v>2.1869619840864107E-3</v>
      </c>
      <c r="C384" s="7">
        <v>-7.7199419093481048E-3</v>
      </c>
      <c r="D384" s="7">
        <v>6.2111801242235032E-3</v>
      </c>
      <c r="E384" s="7">
        <v>1.3137087945505499E-2</v>
      </c>
      <c r="F384" s="7">
        <v>2.6450846693371055E-4</v>
      </c>
      <c r="G384" s="7"/>
      <c r="H384" s="7">
        <f t="shared" si="10"/>
        <v>1.9224535171527002E-3</v>
      </c>
      <c r="I384" s="7">
        <f t="shared" si="10"/>
        <v>-7.9844503762818153E-3</v>
      </c>
      <c r="J384" s="7">
        <f t="shared" si="10"/>
        <v>5.9466716572897926E-3</v>
      </c>
      <c r="K384" s="7">
        <f t="shared" si="10"/>
        <v>1.2872579478571788E-2</v>
      </c>
      <c r="L384" s="7"/>
    </row>
    <row r="385" spans="1:12" x14ac:dyDescent="0.25">
      <c r="A385" s="2" t="s">
        <v>78</v>
      </c>
      <c r="B385" s="7">
        <v>-2.7776521149061373E-2</v>
      </c>
      <c r="C385" s="7">
        <v>1.0738566131025973E-2</v>
      </c>
      <c r="D385" s="7">
        <v>9.4043887147337024E-3</v>
      </c>
      <c r="E385" s="7">
        <v>-1.2848222862632208E-2</v>
      </c>
      <c r="F385" s="7">
        <v>1.2566610143582846E-3</v>
      </c>
      <c r="G385" s="7"/>
      <c r="H385" s="7">
        <f t="shared" si="10"/>
        <v>-2.9033182163419657E-2</v>
      </c>
      <c r="I385" s="7">
        <f t="shared" si="10"/>
        <v>9.4819051166676882E-3</v>
      </c>
      <c r="J385" s="7">
        <f t="shared" si="10"/>
        <v>8.1477277003754178E-3</v>
      </c>
      <c r="K385" s="7">
        <f t="shared" si="10"/>
        <v>-1.4104883876990493E-2</v>
      </c>
      <c r="L385" s="7"/>
    </row>
    <row r="386" spans="1:12" x14ac:dyDescent="0.25">
      <c r="A386" s="2" t="s">
        <v>548</v>
      </c>
      <c r="B386" s="7">
        <v>-1.2199530092172894E-3</v>
      </c>
      <c r="C386" s="7">
        <v>8.7281795511222615E-3</v>
      </c>
      <c r="D386" s="7">
        <v>6.3091482649841879E-3</v>
      </c>
      <c r="E386" s="7">
        <v>-9.3969311288211177E-3</v>
      </c>
      <c r="F386" s="7">
        <v>5.4076658041088965E-3</v>
      </c>
      <c r="G386" s="7"/>
      <c r="H386" s="7">
        <f t="shared" si="10"/>
        <v>-6.627618813326186E-3</v>
      </c>
      <c r="I386" s="7">
        <f t="shared" si="10"/>
        <v>3.320513747013365E-3</v>
      </c>
      <c r="J386" s="7">
        <f t="shared" si="10"/>
        <v>9.0148246087529138E-4</v>
      </c>
      <c r="K386" s="7">
        <f t="shared" ref="K386:K449" si="11">E386-$F386</f>
        <v>-1.4804596932930014E-2</v>
      </c>
      <c r="L386" s="7"/>
    </row>
    <row r="387" spans="1:12" x14ac:dyDescent="0.25">
      <c r="A387" s="2" t="s">
        <v>549</v>
      </c>
      <c r="B387" s="7">
        <v>4.9726504226743629E-4</v>
      </c>
      <c r="C387" s="7">
        <v>1.382634115509207E-2</v>
      </c>
      <c r="D387" s="7">
        <v>6.3492063492063266E-3</v>
      </c>
      <c r="E387" s="7">
        <v>8.0335731414866718E-3</v>
      </c>
      <c r="F387" s="7">
        <v>7.4953232999588337E-3</v>
      </c>
      <c r="G387" s="7"/>
      <c r="H387" s="7">
        <f t="shared" ref="H387:K450" si="12">B387-$F387</f>
        <v>-6.9980582576913974E-3</v>
      </c>
      <c r="I387" s="7">
        <f t="shared" si="12"/>
        <v>6.3310178551332363E-3</v>
      </c>
      <c r="J387" s="7">
        <f t="shared" si="12"/>
        <v>-1.1461169507525071E-3</v>
      </c>
      <c r="K387" s="7">
        <f t="shared" si="11"/>
        <v>5.3824984152783806E-4</v>
      </c>
      <c r="L387" s="7"/>
    </row>
    <row r="388" spans="1:12" x14ac:dyDescent="0.25">
      <c r="A388" s="2" t="s">
        <v>550</v>
      </c>
      <c r="B388" s="7">
        <v>1.1615676590295942E-2</v>
      </c>
      <c r="C388" s="7">
        <v>1.0281556469471376E-3</v>
      </c>
      <c r="D388" s="7">
        <v>1.6129032258064502E-2</v>
      </c>
      <c r="E388" s="7">
        <v>1.2013105205679109E-2</v>
      </c>
      <c r="F388" s="7">
        <v>1.0665050805019227E-2</v>
      </c>
      <c r="G388" s="7"/>
      <c r="H388" s="7">
        <f t="shared" si="12"/>
        <v>9.5062578527671526E-4</v>
      </c>
      <c r="I388" s="7">
        <f t="shared" si="12"/>
        <v>-9.6368951580720896E-3</v>
      </c>
      <c r="J388" s="7">
        <f t="shared" si="12"/>
        <v>5.4639814530452746E-3</v>
      </c>
      <c r="K388" s="7">
        <f t="shared" si="11"/>
        <v>1.3480544006598816E-3</v>
      </c>
      <c r="L388" s="7"/>
    </row>
    <row r="389" spans="1:12" x14ac:dyDescent="0.25">
      <c r="A389" s="2" t="s">
        <v>551</v>
      </c>
      <c r="B389" s="7">
        <v>-3.6451451223402653E-3</v>
      </c>
      <c r="C389" s="7">
        <v>1.2735282338806497E-2</v>
      </c>
      <c r="D389" s="7">
        <v>-9.5846645367411165E-3</v>
      </c>
      <c r="E389" s="7">
        <v>2.8967411661880327E-2</v>
      </c>
      <c r="F389" s="7">
        <v>4.4726332239699573E-3</v>
      </c>
      <c r="G389" s="7"/>
      <c r="H389" s="7">
        <f t="shared" si="12"/>
        <v>-8.1177783463102227E-3</v>
      </c>
      <c r="I389" s="7">
        <f t="shared" si="12"/>
        <v>8.26264911483654E-3</v>
      </c>
      <c r="J389" s="7">
        <f t="shared" si="12"/>
        <v>-1.4057297760711074E-2</v>
      </c>
      <c r="K389" s="7">
        <f t="shared" si="11"/>
        <v>2.4494778437910369E-2</v>
      </c>
      <c r="L389" s="7"/>
    </row>
    <row r="390" spans="1:12" x14ac:dyDescent="0.25">
      <c r="A390" s="2" t="s">
        <v>79</v>
      </c>
      <c r="B390" s="7">
        <v>4.1024705989611832E-4</v>
      </c>
      <c r="C390" s="7">
        <v>-1.120089607168584E-3</v>
      </c>
      <c r="D390" s="7">
        <v>-9.493670886076E-3</v>
      </c>
      <c r="E390" s="7">
        <v>3.256920957033671E-3</v>
      </c>
      <c r="F390" s="7">
        <v>1.1580091782812829E-2</v>
      </c>
      <c r="G390" s="7"/>
      <c r="H390" s="7">
        <f t="shared" si="12"/>
        <v>-1.1169844722916711E-2</v>
      </c>
      <c r="I390" s="7">
        <f t="shared" si="12"/>
        <v>-1.2700181389981413E-2</v>
      </c>
      <c r="J390" s="7">
        <f t="shared" si="12"/>
        <v>-2.1073762668888829E-2</v>
      </c>
      <c r="K390" s="7">
        <f t="shared" si="11"/>
        <v>-8.3231708257791581E-3</v>
      </c>
      <c r="L390" s="7"/>
    </row>
    <row r="391" spans="1:12" x14ac:dyDescent="0.25">
      <c r="A391" s="2" t="s">
        <v>552</v>
      </c>
      <c r="B391" s="7">
        <v>-7.0157968587335473E-3</v>
      </c>
      <c r="C391" s="7">
        <v>-2.129825385639339E-2</v>
      </c>
      <c r="D391" s="7">
        <v>-1.2499999999999956E-2</v>
      </c>
      <c r="E391" s="7">
        <v>-1.5173945225758767E-2</v>
      </c>
      <c r="F391" s="7">
        <v>-1.726020776209658E-2</v>
      </c>
      <c r="G391" s="7"/>
      <c r="H391" s="7">
        <f t="shared" si="12"/>
        <v>1.0244410903363033E-2</v>
      </c>
      <c r="I391" s="7">
        <f t="shared" si="12"/>
        <v>-4.0380460942968099E-3</v>
      </c>
      <c r="J391" s="7">
        <f t="shared" si="12"/>
        <v>4.7602077620966243E-3</v>
      </c>
      <c r="K391" s="7">
        <f t="shared" si="11"/>
        <v>2.0862625363378129E-3</v>
      </c>
      <c r="L391" s="7"/>
    </row>
    <row r="392" spans="1:12" x14ac:dyDescent="0.25">
      <c r="A392" s="2" t="s">
        <v>553</v>
      </c>
      <c r="B392" s="7">
        <v>6.9276696595415022E-3</v>
      </c>
      <c r="C392" s="7">
        <v>-5.6835876673934083E-3</v>
      </c>
      <c r="D392" s="7">
        <v>6.2893081761006275E-3</v>
      </c>
      <c r="E392" s="7">
        <v>-4.9321824907511136E-4</v>
      </c>
      <c r="F392" s="7">
        <v>-3.0180776693048417E-3</v>
      </c>
      <c r="G392" s="7"/>
      <c r="H392" s="7">
        <f t="shared" si="12"/>
        <v>9.9457473288463438E-3</v>
      </c>
      <c r="I392" s="7">
        <f t="shared" si="12"/>
        <v>-2.6655099980885666E-3</v>
      </c>
      <c r="J392" s="7">
        <f t="shared" si="12"/>
        <v>9.3073858454054692E-3</v>
      </c>
      <c r="K392" s="7">
        <f t="shared" si="11"/>
        <v>2.5248594202297303E-3</v>
      </c>
      <c r="L392" s="7"/>
    </row>
    <row r="393" spans="1:12" x14ac:dyDescent="0.25">
      <c r="A393" s="2" t="s">
        <v>554</v>
      </c>
      <c r="B393" s="7">
        <v>-8.6300379540935612E-3</v>
      </c>
      <c r="C393" s="7">
        <v>9.9072181160559936E-3</v>
      </c>
      <c r="D393" s="7">
        <v>-1.2422360248447228E-2</v>
      </c>
      <c r="E393" s="7">
        <v>2.4721878862792313E-3</v>
      </c>
      <c r="F393" s="7">
        <v>-1.6024800458679378E-3</v>
      </c>
      <c r="G393" s="7"/>
      <c r="H393" s="7">
        <f t="shared" si="12"/>
        <v>-7.0275579082256234E-3</v>
      </c>
      <c r="I393" s="7">
        <f t="shared" si="12"/>
        <v>1.1509698161923931E-2</v>
      </c>
      <c r="J393" s="7">
        <f t="shared" si="12"/>
        <v>-1.0819880202579291E-2</v>
      </c>
      <c r="K393" s="7">
        <f t="shared" si="11"/>
        <v>4.074667932147169E-3</v>
      </c>
      <c r="L393" s="7"/>
    </row>
    <row r="394" spans="1:12" x14ac:dyDescent="0.25">
      <c r="A394" s="2" t="s">
        <v>555</v>
      </c>
      <c r="B394" s="7">
        <v>-2.720759527053751E-2</v>
      </c>
      <c r="C394" s="7">
        <v>-2.8492857688488193E-2</v>
      </c>
      <c r="D394" s="7">
        <v>-1.5290519877675823E-2</v>
      </c>
      <c r="E394" s="7">
        <v>-1.281269066503965E-2</v>
      </c>
      <c r="F394" s="7">
        <v>-2.1151122441753323E-2</v>
      </c>
      <c r="G394" s="7"/>
      <c r="H394" s="7">
        <f t="shared" si="12"/>
        <v>-6.0564728287841874E-3</v>
      </c>
      <c r="I394" s="7">
        <f t="shared" si="12"/>
        <v>-7.3417352467348707E-3</v>
      </c>
      <c r="J394" s="7">
        <f t="shared" si="12"/>
        <v>5.8606025640774995E-3</v>
      </c>
      <c r="K394" s="7">
        <f t="shared" si="11"/>
        <v>8.3384317767136729E-3</v>
      </c>
      <c r="L394" s="7"/>
    </row>
    <row r="395" spans="1:12" x14ac:dyDescent="0.25">
      <c r="A395" s="2" t="s">
        <v>556</v>
      </c>
      <c r="B395" s="7">
        <v>-3.4167068202725082E-3</v>
      </c>
      <c r="C395" s="7">
        <v>1.3392165969964287E-2</v>
      </c>
      <c r="D395" s="7">
        <v>1.8691588785046731E-2</v>
      </c>
      <c r="E395" s="7">
        <v>2.8618049453997818E-2</v>
      </c>
      <c r="F395" s="7">
        <v>1.0093062182132906E-2</v>
      </c>
      <c r="G395" s="7"/>
      <c r="H395" s="7">
        <f t="shared" si="12"/>
        <v>-1.3509769002405414E-2</v>
      </c>
      <c r="I395" s="7">
        <f t="shared" si="12"/>
        <v>3.2991037878313811E-3</v>
      </c>
      <c r="J395" s="7">
        <f t="shared" si="12"/>
        <v>8.5985266029138252E-3</v>
      </c>
      <c r="K395" s="7">
        <f t="shared" si="11"/>
        <v>1.8524987271864912E-2</v>
      </c>
      <c r="L395" s="7"/>
    </row>
    <row r="396" spans="1:12" x14ac:dyDescent="0.25">
      <c r="A396" s="2" t="s">
        <v>557</v>
      </c>
      <c r="B396" s="7">
        <v>1.4577129905337438E-2</v>
      </c>
      <c r="C396" s="7">
        <v>9.9288562270347658E-3</v>
      </c>
      <c r="D396" s="7">
        <v>1.5822784810126445E-2</v>
      </c>
      <c r="E396" s="7">
        <v>1.7496807151979654E-2</v>
      </c>
      <c r="F396" s="7">
        <v>-3.9340650694441592E-5</v>
      </c>
      <c r="G396" s="7"/>
      <c r="H396" s="7">
        <f t="shared" si="12"/>
        <v>1.461647055603188E-2</v>
      </c>
      <c r="I396" s="7">
        <f t="shared" si="12"/>
        <v>9.9681968777292074E-3</v>
      </c>
      <c r="J396" s="7">
        <f t="shared" si="12"/>
        <v>1.5862125460820886E-2</v>
      </c>
      <c r="K396" s="7">
        <f t="shared" si="11"/>
        <v>1.7536147802674096E-2</v>
      </c>
      <c r="L396" s="7"/>
    </row>
    <row r="397" spans="1:12" x14ac:dyDescent="0.25">
      <c r="A397" s="2" t="s">
        <v>558</v>
      </c>
      <c r="B397" s="7">
        <v>-6.7537741679173369E-3</v>
      </c>
      <c r="C397" s="7">
        <v>1.5660480776760188E-3</v>
      </c>
      <c r="D397" s="7">
        <v>-1.5576323987538832E-2</v>
      </c>
      <c r="E397" s="7">
        <v>-2.2471910112359494E-2</v>
      </c>
      <c r="F397" s="7">
        <v>-5.9760389633474187E-3</v>
      </c>
      <c r="G397" s="7"/>
      <c r="H397" s="7">
        <f t="shared" si="12"/>
        <v>-7.7773520456991818E-4</v>
      </c>
      <c r="I397" s="7">
        <f t="shared" si="12"/>
        <v>7.5420870410234375E-3</v>
      </c>
      <c r="J397" s="7">
        <f t="shared" si="12"/>
        <v>-9.6002850241914128E-3</v>
      </c>
      <c r="K397" s="7">
        <f t="shared" si="11"/>
        <v>-1.6495871149012076E-2</v>
      </c>
      <c r="L397" s="7"/>
    </row>
    <row r="398" spans="1:12" x14ac:dyDescent="0.25">
      <c r="A398" s="2" t="s">
        <v>559</v>
      </c>
      <c r="B398" s="7">
        <v>3.7217545414267583E-3</v>
      </c>
      <c r="C398" s="7">
        <v>-3.4334763948499214E-3</v>
      </c>
      <c r="D398" s="7">
        <v>0</v>
      </c>
      <c r="E398" s="7">
        <v>-3.7313432835822669E-3</v>
      </c>
      <c r="F398" s="7">
        <v>1.5952029967027936E-3</v>
      </c>
      <c r="G398" s="7"/>
      <c r="H398" s="7">
        <f t="shared" si="12"/>
        <v>2.1265515447239647E-3</v>
      </c>
      <c r="I398" s="7">
        <f t="shared" si="12"/>
        <v>-5.028679391552715E-3</v>
      </c>
      <c r="J398" s="7">
        <f t="shared" si="12"/>
        <v>-1.5952029967027936E-3</v>
      </c>
      <c r="K398" s="7">
        <f t="shared" si="11"/>
        <v>-5.3265462802850605E-3</v>
      </c>
      <c r="L398" s="7"/>
    </row>
    <row r="399" spans="1:12" x14ac:dyDescent="0.25">
      <c r="A399" s="2" t="s">
        <v>80</v>
      </c>
      <c r="B399" s="7">
        <v>1.5086971955979855E-3</v>
      </c>
      <c r="C399" s="7">
        <v>1.5451664025356582E-2</v>
      </c>
      <c r="D399" s="7">
        <v>6.2695924764890609E-3</v>
      </c>
      <c r="E399" s="7">
        <v>-4.2743183712346533E-2</v>
      </c>
      <c r="F399" s="7">
        <v>-3.1537231503155905E-3</v>
      </c>
      <c r="G399" s="7"/>
      <c r="H399" s="7">
        <f t="shared" si="12"/>
        <v>4.662420345913576E-3</v>
      </c>
      <c r="I399" s="7">
        <f t="shared" si="12"/>
        <v>1.8605387175672172E-2</v>
      </c>
      <c r="J399" s="7">
        <f t="shared" si="12"/>
        <v>9.4233156268046514E-3</v>
      </c>
      <c r="K399" s="7">
        <f t="shared" si="11"/>
        <v>-3.9589460562030943E-2</v>
      </c>
      <c r="L399" s="7"/>
    </row>
    <row r="400" spans="1:12" x14ac:dyDescent="0.25">
      <c r="A400" s="2" t="s">
        <v>560</v>
      </c>
      <c r="B400" s="7">
        <v>1.0311127051017666E-2</v>
      </c>
      <c r="C400" s="7">
        <v>1.5122265122265111E-2</v>
      </c>
      <c r="D400" s="7">
        <v>1.9169329073482455E-2</v>
      </c>
      <c r="E400" s="7">
        <v>2.954155430252503E-2</v>
      </c>
      <c r="F400" s="7">
        <v>1.1483420217425433E-2</v>
      </c>
      <c r="G400" s="7"/>
      <c r="H400" s="7">
        <f t="shared" si="12"/>
        <v>-1.1722931664077674E-3</v>
      </c>
      <c r="I400" s="7">
        <f t="shared" si="12"/>
        <v>3.6388449048396776E-3</v>
      </c>
      <c r="J400" s="7">
        <f t="shared" si="12"/>
        <v>7.6859088560570221E-3</v>
      </c>
      <c r="K400" s="7">
        <f t="shared" si="11"/>
        <v>1.8058134085099597E-2</v>
      </c>
      <c r="L400" s="7"/>
    </row>
    <row r="401" spans="1:12" x14ac:dyDescent="0.25">
      <c r="A401" s="2" t="s">
        <v>561</v>
      </c>
      <c r="B401" s="7">
        <v>-8.2696069713675824E-3</v>
      </c>
      <c r="C401" s="7">
        <v>-4.8827343312255467E-3</v>
      </c>
      <c r="D401" s="7">
        <v>-1.572327044025168E-2</v>
      </c>
      <c r="E401" s="7">
        <v>-6.8176284392500452E-3</v>
      </c>
      <c r="F401" s="7">
        <v>-8.9328126528905871E-3</v>
      </c>
      <c r="G401" s="7"/>
      <c r="H401" s="7">
        <f t="shared" si="12"/>
        <v>6.6320568152300474E-4</v>
      </c>
      <c r="I401" s="7">
        <f t="shared" si="12"/>
        <v>4.0500783216650404E-3</v>
      </c>
      <c r="J401" s="7">
        <f t="shared" si="12"/>
        <v>-6.7904577873610927E-3</v>
      </c>
      <c r="K401" s="7">
        <f t="shared" si="11"/>
        <v>2.1151842136405419E-3</v>
      </c>
      <c r="L401" s="7"/>
    </row>
    <row r="402" spans="1:12" x14ac:dyDescent="0.25">
      <c r="A402" s="2" t="s">
        <v>562</v>
      </c>
      <c r="B402" s="7">
        <v>-4.8882371239400424E-4</v>
      </c>
      <c r="C402" s="7">
        <v>1.1988659376265698E-2</v>
      </c>
      <c r="D402" s="7">
        <v>6.3291139240506666E-3</v>
      </c>
      <c r="E402" s="7">
        <v>3.0744133517379924E-2</v>
      </c>
      <c r="F402" s="7">
        <v>4.2396804070665706E-3</v>
      </c>
      <c r="G402" s="7"/>
      <c r="H402" s="7">
        <f t="shared" si="12"/>
        <v>-4.7285041194605748E-3</v>
      </c>
      <c r="I402" s="7">
        <f t="shared" si="12"/>
        <v>7.7489789691991273E-3</v>
      </c>
      <c r="J402" s="7">
        <f t="shared" si="12"/>
        <v>2.0894335169840961E-3</v>
      </c>
      <c r="K402" s="7">
        <f t="shared" si="11"/>
        <v>2.6504453110313353E-2</v>
      </c>
      <c r="L402" s="7"/>
    </row>
    <row r="403" spans="1:12" x14ac:dyDescent="0.25">
      <c r="A403" s="2" t="s">
        <v>563</v>
      </c>
      <c r="B403" s="7">
        <v>2.7181178148116825E-3</v>
      </c>
      <c r="C403" s="7">
        <v>4.8840048840048667E-3</v>
      </c>
      <c r="D403" s="7">
        <v>-1.2499999999999956E-2</v>
      </c>
      <c r="E403" s="7">
        <v>-3.4294716432380024E-2</v>
      </c>
      <c r="F403" s="7">
        <v>-1.9845762938528466E-3</v>
      </c>
      <c r="G403" s="7"/>
      <c r="H403" s="7">
        <f t="shared" si="12"/>
        <v>4.7026941086645291E-3</v>
      </c>
      <c r="I403" s="7">
        <f t="shared" si="12"/>
        <v>6.8685811778577133E-3</v>
      </c>
      <c r="J403" s="7">
        <f t="shared" si="12"/>
        <v>-1.0515423706147109E-2</v>
      </c>
      <c r="K403" s="7">
        <f t="shared" si="11"/>
        <v>-3.2310140138527177E-2</v>
      </c>
      <c r="L403" s="7"/>
    </row>
    <row r="404" spans="1:12" x14ac:dyDescent="0.25">
      <c r="A404" s="2" t="s">
        <v>81</v>
      </c>
      <c r="B404" s="7">
        <v>-6.6794318030016786E-4</v>
      </c>
      <c r="C404" s="7">
        <v>2.442598925256334E-4</v>
      </c>
      <c r="D404" s="7">
        <v>-1.538461538461533E-2</v>
      </c>
      <c r="E404" s="7">
        <v>8.801955990219934E-3</v>
      </c>
      <c r="F404" s="7">
        <v>9.7222847369131671E-3</v>
      </c>
      <c r="G404" s="7"/>
      <c r="H404" s="7">
        <f t="shared" si="12"/>
        <v>-1.0390227917213335E-2</v>
      </c>
      <c r="I404" s="7">
        <f t="shared" si="12"/>
        <v>-9.4780248443875337E-3</v>
      </c>
      <c r="J404" s="7">
        <f t="shared" si="12"/>
        <v>-2.5106900121528497E-2</v>
      </c>
      <c r="K404" s="7">
        <f t="shared" si="11"/>
        <v>-9.2032874669323306E-4</v>
      </c>
      <c r="L404" s="7"/>
    </row>
    <row r="405" spans="1:12" x14ac:dyDescent="0.25">
      <c r="A405" s="2" t="s">
        <v>564</v>
      </c>
      <c r="B405" s="7">
        <v>5.9126539753640017E-3</v>
      </c>
      <c r="C405" s="7">
        <v>-8.9481818921344214E-4</v>
      </c>
      <c r="D405" s="7">
        <v>1.5625E-2</v>
      </c>
      <c r="E405" s="7">
        <v>4.5768345691638901E-2</v>
      </c>
      <c r="F405" s="7">
        <v>1.9898181923141411E-3</v>
      </c>
      <c r="G405" s="7"/>
      <c r="H405" s="7">
        <f t="shared" si="12"/>
        <v>3.9228357830498606E-3</v>
      </c>
      <c r="I405" s="7">
        <f t="shared" si="12"/>
        <v>-2.8846363815275833E-3</v>
      </c>
      <c r="J405" s="7">
        <f t="shared" si="12"/>
        <v>1.3635181807685859E-2</v>
      </c>
      <c r="K405" s="7">
        <f t="shared" si="11"/>
        <v>4.377852749932476E-2</v>
      </c>
      <c r="L405" s="7"/>
    </row>
    <row r="406" spans="1:12" x14ac:dyDescent="0.25">
      <c r="A406" s="2" t="s">
        <v>565</v>
      </c>
      <c r="B406" s="7">
        <v>1.3528850955645266E-2</v>
      </c>
      <c r="C406" s="7">
        <v>7.8707878986636892E-3</v>
      </c>
      <c r="D406" s="7">
        <v>2.893890675241173E-2</v>
      </c>
      <c r="E406" s="7">
        <v>8.9571337172089649E-4</v>
      </c>
      <c r="F406" s="7">
        <v>1.6133201104998829E-2</v>
      </c>
      <c r="G406" s="7"/>
      <c r="H406" s="7">
        <f t="shared" si="12"/>
        <v>-2.6043501493535626E-3</v>
      </c>
      <c r="I406" s="7">
        <f t="shared" si="12"/>
        <v>-8.2624132063351396E-3</v>
      </c>
      <c r="J406" s="7">
        <f t="shared" si="12"/>
        <v>1.2805705647412902E-2</v>
      </c>
      <c r="K406" s="7">
        <f t="shared" si="11"/>
        <v>-1.5237487733277932E-2</v>
      </c>
      <c r="L406" s="7"/>
    </row>
    <row r="407" spans="1:12" x14ac:dyDescent="0.25">
      <c r="A407" s="2" t="s">
        <v>566</v>
      </c>
      <c r="B407" s="7">
        <v>2.001546649683883E-3</v>
      </c>
      <c r="C407" s="7">
        <v>6.5192275953127599E-3</v>
      </c>
      <c r="D407" s="7">
        <v>3.225806451612856E-3</v>
      </c>
      <c r="E407" s="7">
        <v>-2.006269592476484E-2</v>
      </c>
      <c r="F407" s="7">
        <v>3.8237680860733203E-3</v>
      </c>
      <c r="G407" s="7"/>
      <c r="H407" s="7">
        <f t="shared" si="12"/>
        <v>-1.8222214363894373E-3</v>
      </c>
      <c r="I407" s="7">
        <f t="shared" si="12"/>
        <v>2.6954595092394396E-3</v>
      </c>
      <c r="J407" s="7">
        <f t="shared" si="12"/>
        <v>-5.9796163446046435E-4</v>
      </c>
      <c r="K407" s="7">
        <f t="shared" si="11"/>
        <v>-2.388646401083816E-2</v>
      </c>
      <c r="L407" s="7"/>
    </row>
    <row r="408" spans="1:12" x14ac:dyDescent="0.25">
      <c r="A408" s="2" t="s">
        <v>567</v>
      </c>
      <c r="B408" s="7">
        <v>1.7213456110314107E-2</v>
      </c>
      <c r="C408" s="7">
        <v>1.6184486373165718E-2</v>
      </c>
      <c r="D408" s="7">
        <v>-1.2738853503184711E-2</v>
      </c>
      <c r="E408" s="7">
        <v>2.2621591051905643E-3</v>
      </c>
      <c r="F408" s="7">
        <v>1.6847572875482442E-2</v>
      </c>
      <c r="G408" s="7"/>
      <c r="H408" s="7">
        <f t="shared" si="12"/>
        <v>3.658832348316654E-4</v>
      </c>
      <c r="I408" s="7">
        <f t="shared" si="12"/>
        <v>-6.6308650231672317E-4</v>
      </c>
      <c r="J408" s="7">
        <f t="shared" si="12"/>
        <v>-2.9586426378667152E-2</v>
      </c>
      <c r="K408" s="7">
        <f t="shared" si="11"/>
        <v>-1.4585413770291877E-2</v>
      </c>
      <c r="L408" s="7"/>
    </row>
    <row r="409" spans="1:12" x14ac:dyDescent="0.25">
      <c r="A409" s="2" t="s">
        <v>82</v>
      </c>
      <c r="B409" s="7">
        <v>7.1302078478889808E-3</v>
      </c>
      <c r="C409" s="7">
        <v>-6.5811396201266303E-3</v>
      </c>
      <c r="D409" s="7">
        <v>1.9480519480519431E-2</v>
      </c>
      <c r="E409" s="7">
        <v>1.1568777015001253E-2</v>
      </c>
      <c r="F409" s="7">
        <v>4.3037633603804082E-5</v>
      </c>
      <c r="G409" s="7"/>
      <c r="H409" s="7">
        <f t="shared" si="12"/>
        <v>7.0871702142851767E-3</v>
      </c>
      <c r="I409" s="7">
        <f t="shared" si="12"/>
        <v>-6.6241772537304344E-3</v>
      </c>
      <c r="J409" s="7">
        <f t="shared" si="12"/>
        <v>1.9437481846915627E-2</v>
      </c>
      <c r="K409" s="7">
        <f t="shared" si="11"/>
        <v>1.1525739381397448E-2</v>
      </c>
      <c r="L409" s="7"/>
    </row>
    <row r="410" spans="1:12" x14ac:dyDescent="0.25">
      <c r="A410" s="2" t="s">
        <v>568</v>
      </c>
      <c r="B410" s="7">
        <v>1.3747814995039631E-2</v>
      </c>
      <c r="C410" s="7">
        <v>-7.6058201058200048E-3</v>
      </c>
      <c r="D410" s="7">
        <v>3.2573289902280145E-3</v>
      </c>
      <c r="E410" s="7">
        <v>-4.0516586477590266E-3</v>
      </c>
      <c r="F410" s="7">
        <v>4.6716585421793244E-3</v>
      </c>
      <c r="G410" s="7"/>
      <c r="H410" s="7">
        <f t="shared" si="12"/>
        <v>9.0761564528603067E-3</v>
      </c>
      <c r="I410" s="7">
        <f t="shared" si="12"/>
        <v>-1.2277478647999329E-2</v>
      </c>
      <c r="J410" s="7">
        <f t="shared" si="12"/>
        <v>-1.4143295519513099E-3</v>
      </c>
      <c r="K410" s="7">
        <f t="shared" si="11"/>
        <v>-8.723317189938351E-3</v>
      </c>
      <c r="L410" s="7"/>
    </row>
    <row r="411" spans="1:12" x14ac:dyDescent="0.25">
      <c r="A411" s="2" t="s">
        <v>569</v>
      </c>
      <c r="B411" s="7">
        <v>1.6617837759953735E-2</v>
      </c>
      <c r="C411" s="7">
        <v>1.8696311268317389E-2</v>
      </c>
      <c r="D411" s="7">
        <v>6.5573770491802463E-3</v>
      </c>
      <c r="E411" s="7">
        <v>3.1878756205905301E-2</v>
      </c>
      <c r="F411" s="7">
        <v>2.3042600250024137E-2</v>
      </c>
      <c r="G411" s="7"/>
      <c r="H411" s="7">
        <f t="shared" si="12"/>
        <v>-6.4247624900704015E-3</v>
      </c>
      <c r="I411" s="7">
        <f t="shared" si="12"/>
        <v>-4.3462889817067474E-3</v>
      </c>
      <c r="J411" s="7">
        <f t="shared" si="12"/>
        <v>-1.648522320084389E-2</v>
      </c>
      <c r="K411" s="7">
        <f t="shared" si="11"/>
        <v>8.8361559558811642E-3</v>
      </c>
      <c r="L411" s="7"/>
    </row>
    <row r="412" spans="1:12" x14ac:dyDescent="0.25">
      <c r="A412" s="2" t="s">
        <v>570</v>
      </c>
      <c r="B412" s="7">
        <v>1.2497568566426809E-2</v>
      </c>
      <c r="C412" s="7">
        <v>-1.6483061376625585E-2</v>
      </c>
      <c r="D412" s="7">
        <v>-3.2679738562092497E-3</v>
      </c>
      <c r="E412" s="7">
        <v>-9.1371883566104817E-4</v>
      </c>
      <c r="F412" s="7">
        <v>-7.7346885418594358E-3</v>
      </c>
      <c r="G412" s="7"/>
      <c r="H412" s="7">
        <f t="shared" si="12"/>
        <v>2.0232257108286245E-2</v>
      </c>
      <c r="I412" s="7">
        <f t="shared" si="12"/>
        <v>-8.7483728347661494E-3</v>
      </c>
      <c r="J412" s="7">
        <f t="shared" si="12"/>
        <v>4.466714685650186E-3</v>
      </c>
      <c r="K412" s="7">
        <f t="shared" si="11"/>
        <v>6.8209697061983876E-3</v>
      </c>
      <c r="L412" s="7"/>
    </row>
    <row r="413" spans="1:12" x14ac:dyDescent="0.25">
      <c r="A413" s="2" t="s">
        <v>571</v>
      </c>
      <c r="B413" s="7">
        <v>-9.7274390831166846E-3</v>
      </c>
      <c r="C413" s="7">
        <v>2.2414079362444994E-3</v>
      </c>
      <c r="D413" s="7">
        <v>0</v>
      </c>
      <c r="E413" s="7">
        <v>1.2021136063408155E-2</v>
      </c>
      <c r="F413" s="7">
        <v>1.0354142524675369E-2</v>
      </c>
      <c r="G413" s="7"/>
      <c r="H413" s="7">
        <f t="shared" si="12"/>
        <v>-2.0081581607792054E-2</v>
      </c>
      <c r="I413" s="7">
        <f t="shared" si="12"/>
        <v>-8.1127345884308699E-3</v>
      </c>
      <c r="J413" s="7">
        <f t="shared" si="12"/>
        <v>-1.0354142524675369E-2</v>
      </c>
      <c r="K413" s="7">
        <f t="shared" si="11"/>
        <v>1.6669935387327861E-3</v>
      </c>
      <c r="L413" s="7"/>
    </row>
    <row r="414" spans="1:12" x14ac:dyDescent="0.25">
      <c r="A414" s="2" t="s">
        <v>83</v>
      </c>
      <c r="B414" s="7">
        <v>-4.817344272814772E-2</v>
      </c>
      <c r="C414" s="7">
        <v>-5.0384075328322453E-3</v>
      </c>
      <c r="D414" s="7">
        <v>-1.2903225806451646E-2</v>
      </c>
      <c r="E414" s="7">
        <v>-6.0399159663864221E-3</v>
      </c>
      <c r="F414" s="7">
        <v>-2.9968802370122227E-2</v>
      </c>
      <c r="G414" s="7"/>
      <c r="H414" s="7">
        <f t="shared" si="12"/>
        <v>-1.8204640358025492E-2</v>
      </c>
      <c r="I414" s="7">
        <f t="shared" si="12"/>
        <v>2.4930394837289982E-2</v>
      </c>
      <c r="J414" s="7">
        <f t="shared" si="12"/>
        <v>1.7065576563670581E-2</v>
      </c>
      <c r="K414" s="7">
        <f t="shared" si="11"/>
        <v>2.3928886403735805E-2</v>
      </c>
      <c r="L414" s="7"/>
    </row>
    <row r="415" spans="1:12" x14ac:dyDescent="0.25">
      <c r="A415" s="2" t="s">
        <v>572</v>
      </c>
      <c r="B415" s="7">
        <v>6.8764999076980082E-3</v>
      </c>
      <c r="C415" s="7">
        <v>-9.7333551447735811E-3</v>
      </c>
      <c r="D415" s="7">
        <v>-2.8213166144200552E-2</v>
      </c>
      <c r="E415" s="7">
        <v>-6.7814293166407191E-3</v>
      </c>
      <c r="F415" s="7">
        <v>-1.8381839946536194E-2</v>
      </c>
      <c r="G415" s="7"/>
      <c r="H415" s="7">
        <f t="shared" si="12"/>
        <v>2.5258339854234202E-2</v>
      </c>
      <c r="I415" s="7">
        <f t="shared" si="12"/>
        <v>8.6484848017626126E-3</v>
      </c>
      <c r="J415" s="7">
        <f t="shared" si="12"/>
        <v>-9.8313261976643584E-3</v>
      </c>
      <c r="K415" s="7">
        <f t="shared" si="11"/>
        <v>1.1600410629895475E-2</v>
      </c>
      <c r="L415" s="7"/>
    </row>
    <row r="416" spans="1:12" x14ac:dyDescent="0.25">
      <c r="A416" s="2" t="s">
        <v>573</v>
      </c>
      <c r="B416" s="7">
        <v>-1.6789182321444773E-2</v>
      </c>
      <c r="C416" s="7">
        <v>-8.4347120843470957E-3</v>
      </c>
      <c r="D416" s="7">
        <v>-2.7439024390243816E-2</v>
      </c>
      <c r="E416" s="7">
        <v>-1.1091049780758255E-2</v>
      </c>
      <c r="F416" s="7">
        <v>-1.3693569708273734E-2</v>
      </c>
      <c r="G416" s="7"/>
      <c r="H416" s="7">
        <f t="shared" si="12"/>
        <v>-3.0956126131710393E-3</v>
      </c>
      <c r="I416" s="7">
        <f t="shared" si="12"/>
        <v>5.2588576239266382E-3</v>
      </c>
      <c r="J416" s="7">
        <f t="shared" si="12"/>
        <v>-1.3745454681970082E-2</v>
      </c>
      <c r="K416" s="7">
        <f t="shared" si="11"/>
        <v>2.6025199275154787E-3</v>
      </c>
      <c r="L416" s="7"/>
    </row>
    <row r="417" spans="1:12" x14ac:dyDescent="0.25">
      <c r="A417" s="2" t="s">
        <v>574</v>
      </c>
      <c r="B417" s="7">
        <v>1.5014738393515081E-2</v>
      </c>
      <c r="C417" s="7">
        <v>6.2841753040070447E-3</v>
      </c>
      <c r="D417" s="7">
        <v>1.5479876160990669E-2</v>
      </c>
      <c r="E417" s="7">
        <v>1.0951760104302544E-2</v>
      </c>
      <c r="F417" s="7">
        <v>1.579342363752767E-2</v>
      </c>
      <c r="G417" s="7"/>
      <c r="H417" s="7">
        <f t="shared" si="12"/>
        <v>-7.786852440125891E-4</v>
      </c>
      <c r="I417" s="7">
        <f t="shared" si="12"/>
        <v>-9.5092483335206257E-3</v>
      </c>
      <c r="J417" s="7">
        <f t="shared" si="12"/>
        <v>-3.1354747653700166E-4</v>
      </c>
      <c r="K417" s="7">
        <f t="shared" si="11"/>
        <v>-4.8416635332251268E-3</v>
      </c>
      <c r="L417" s="7"/>
    </row>
    <row r="418" spans="1:12" x14ac:dyDescent="0.25">
      <c r="A418" s="2" t="s">
        <v>575</v>
      </c>
      <c r="B418" s="7">
        <v>2.5395945883548432E-3</v>
      </c>
      <c r="C418" s="7">
        <v>1.2728324654930123E-2</v>
      </c>
      <c r="D418" s="7">
        <v>1.2539184952978122E-2</v>
      </c>
      <c r="E418" s="7">
        <v>-7.8903117319880645E-3</v>
      </c>
      <c r="F418" s="7">
        <v>-4.9601540393225951E-3</v>
      </c>
      <c r="G418" s="7"/>
      <c r="H418" s="7">
        <f t="shared" si="12"/>
        <v>7.4997486276774383E-3</v>
      </c>
      <c r="I418" s="7">
        <f t="shared" si="12"/>
        <v>1.7688478694252718E-2</v>
      </c>
      <c r="J418" s="7">
        <f t="shared" si="12"/>
        <v>1.7499338992300717E-2</v>
      </c>
      <c r="K418" s="7">
        <f t="shared" si="11"/>
        <v>-2.9301576926654693E-3</v>
      </c>
      <c r="L418" s="7"/>
    </row>
    <row r="419" spans="1:12" x14ac:dyDescent="0.25">
      <c r="A419" s="2" t="s">
        <v>84</v>
      </c>
      <c r="B419" s="7">
        <v>1.2945582320034177E-3</v>
      </c>
      <c r="C419" s="7">
        <v>-1.5781338973399617E-2</v>
      </c>
      <c r="D419" s="7">
        <v>-3.1250000000000444E-3</v>
      </c>
      <c r="E419" s="7">
        <v>2.7238905128886381E-2</v>
      </c>
      <c r="F419" s="7">
        <v>8.1332087706753597E-4</v>
      </c>
      <c r="G419" s="7"/>
      <c r="H419" s="7">
        <f t="shared" si="12"/>
        <v>4.8123735493588171E-4</v>
      </c>
      <c r="I419" s="7">
        <f t="shared" si="12"/>
        <v>-1.6594659850467153E-2</v>
      </c>
      <c r="J419" s="7">
        <f t="shared" si="12"/>
        <v>-3.9383208770675804E-3</v>
      </c>
      <c r="K419" s="7">
        <f t="shared" si="11"/>
        <v>2.6425584251818846E-2</v>
      </c>
      <c r="L419" s="7"/>
    </row>
    <row r="420" spans="1:12" x14ac:dyDescent="0.25">
      <c r="A420" s="2" t="s">
        <v>576</v>
      </c>
      <c r="B420" s="7">
        <v>2.1777407098508839E-3</v>
      </c>
      <c r="C420" s="7">
        <v>0.22991495747873936</v>
      </c>
      <c r="D420" s="7">
        <v>-2.4390243902438935E-2</v>
      </c>
      <c r="E420" s="7">
        <v>1.496965610249501E-2</v>
      </c>
      <c r="F420" s="7">
        <v>1.1090490848678192E-2</v>
      </c>
      <c r="G420" s="7"/>
      <c r="H420" s="7">
        <f t="shared" si="12"/>
        <v>-8.9127501388273078E-3</v>
      </c>
      <c r="I420" s="7">
        <f t="shared" si="12"/>
        <v>0.21882446663006117</v>
      </c>
      <c r="J420" s="7">
        <f t="shared" si="12"/>
        <v>-3.5480734751117127E-2</v>
      </c>
      <c r="K420" s="7">
        <f t="shared" si="11"/>
        <v>3.8791652538168186E-3</v>
      </c>
      <c r="L420" s="7"/>
    </row>
    <row r="421" spans="1:12" x14ac:dyDescent="0.25">
      <c r="A421" s="2" t="s">
        <v>577</v>
      </c>
      <c r="B421" s="7">
        <v>-4.7957207414922598E-3</v>
      </c>
      <c r="C421" s="7">
        <v>1.402665063620967E-3</v>
      </c>
      <c r="D421" s="7">
        <v>0</v>
      </c>
      <c r="E421" s="7">
        <v>-5.2320901529380182E-3</v>
      </c>
      <c r="F421" s="7">
        <v>-5.1426813066942634E-3</v>
      </c>
      <c r="G421" s="7"/>
      <c r="H421" s="7">
        <f t="shared" si="12"/>
        <v>3.4696056520200358E-4</v>
      </c>
      <c r="I421" s="7">
        <f t="shared" si="12"/>
        <v>6.5453463703152304E-3</v>
      </c>
      <c r="J421" s="7">
        <f t="shared" si="12"/>
        <v>5.1426813066942634E-3</v>
      </c>
      <c r="K421" s="7">
        <f t="shared" si="11"/>
        <v>-8.940884624375478E-5</v>
      </c>
      <c r="L421" s="7"/>
    </row>
    <row r="422" spans="1:12" x14ac:dyDescent="0.25">
      <c r="A422" s="2" t="s">
        <v>578</v>
      </c>
      <c r="B422" s="7">
        <v>-2.8753135077033254E-2</v>
      </c>
      <c r="C422" s="7">
        <v>-1.4124851837218455E-2</v>
      </c>
      <c r="D422" s="7">
        <v>-3.5294117647058809E-2</v>
      </c>
      <c r="E422" s="7">
        <v>-4.0085515766968838E-3</v>
      </c>
      <c r="F422" s="7">
        <v>-2.3149031452155744E-2</v>
      </c>
      <c r="G422" s="7"/>
      <c r="H422" s="7">
        <f t="shared" si="12"/>
        <v>-5.60410362487751E-3</v>
      </c>
      <c r="I422" s="7">
        <f t="shared" si="12"/>
        <v>9.0241796149372888E-3</v>
      </c>
      <c r="J422" s="7">
        <f t="shared" si="12"/>
        <v>-1.2145086194903065E-2</v>
      </c>
      <c r="K422" s="7">
        <f t="shared" si="11"/>
        <v>1.914047987545886E-2</v>
      </c>
      <c r="L422" s="7"/>
    </row>
    <row r="423" spans="1:12" x14ac:dyDescent="0.25">
      <c r="A423" s="2" t="s">
        <v>579</v>
      </c>
      <c r="B423" s="7">
        <v>4.679625629949502E-3</v>
      </c>
      <c r="C423" s="7">
        <v>-2.3649980291684525E-3</v>
      </c>
      <c r="D423" s="7">
        <v>-5.8479532163743242E-3</v>
      </c>
      <c r="E423" s="7">
        <v>-7.0319755871036671E-3</v>
      </c>
      <c r="F423" s="7">
        <v>-1.558116673645582E-3</v>
      </c>
      <c r="G423" s="7"/>
      <c r="H423" s="7">
        <f t="shared" si="12"/>
        <v>6.2377423035950841E-3</v>
      </c>
      <c r="I423" s="7">
        <f t="shared" si="12"/>
        <v>-8.0688135552287044E-4</v>
      </c>
      <c r="J423" s="7">
        <f t="shared" si="12"/>
        <v>-4.2898365427287422E-3</v>
      </c>
      <c r="K423" s="7">
        <f t="shared" si="11"/>
        <v>-5.4738589134580851E-3</v>
      </c>
      <c r="L423" s="7"/>
    </row>
    <row r="424" spans="1:12" x14ac:dyDescent="0.25">
      <c r="A424" s="2" t="s">
        <v>85</v>
      </c>
      <c r="B424" s="7">
        <v>-1.5723976818365903E-3</v>
      </c>
      <c r="C424" s="7">
        <v>1.0153294843719074E-2</v>
      </c>
      <c r="D424" s="7">
        <v>4.2682926829268331E-2</v>
      </c>
      <c r="E424" s="7">
        <v>1.8238313969197728E-2</v>
      </c>
      <c r="F424" s="7">
        <v>1.0792007266121617E-2</v>
      </c>
      <c r="G424" s="7"/>
      <c r="H424" s="7">
        <f t="shared" si="12"/>
        <v>-1.2364404947958207E-2</v>
      </c>
      <c r="I424" s="7">
        <f t="shared" si="12"/>
        <v>-6.3871242240254311E-4</v>
      </c>
      <c r="J424" s="7">
        <f t="shared" si="12"/>
        <v>3.1890919563146714E-2</v>
      </c>
      <c r="K424" s="7">
        <f t="shared" si="11"/>
        <v>7.446306703076111E-3</v>
      </c>
      <c r="L424" s="7"/>
    </row>
    <row r="425" spans="1:12" x14ac:dyDescent="0.25">
      <c r="A425" s="2" t="s">
        <v>580</v>
      </c>
      <c r="B425" s="7">
        <v>5.8437471905059546E-4</v>
      </c>
      <c r="C425" s="7">
        <v>-9.9443118536202135E-4</v>
      </c>
      <c r="D425" s="7">
        <v>1.2345679012345512E-2</v>
      </c>
      <c r="E425" s="7">
        <v>-1.6606881891855996E-2</v>
      </c>
      <c r="F425" s="7">
        <v>-7.1402935113327182E-3</v>
      </c>
      <c r="G425" s="7"/>
      <c r="H425" s="7">
        <f t="shared" si="12"/>
        <v>7.7246682303833136E-3</v>
      </c>
      <c r="I425" s="7">
        <f t="shared" si="12"/>
        <v>6.1458623259706968E-3</v>
      </c>
      <c r="J425" s="7">
        <f t="shared" si="12"/>
        <v>1.948597252367823E-2</v>
      </c>
      <c r="K425" s="7">
        <f t="shared" si="11"/>
        <v>-9.4665883805232776E-3</v>
      </c>
      <c r="L425" s="7"/>
    </row>
    <row r="426" spans="1:12" x14ac:dyDescent="0.25">
      <c r="A426" s="2" t="s">
        <v>581</v>
      </c>
      <c r="B426" s="7">
        <v>-2.0517787953504785E-2</v>
      </c>
      <c r="C426" s="7">
        <v>-5.9311981020165883E-3</v>
      </c>
      <c r="D426" s="7">
        <v>-9.1743119266054496E-3</v>
      </c>
      <c r="E426" s="7">
        <v>-6.4677930306231701E-3</v>
      </c>
      <c r="F426" s="7">
        <v>-7.8163725088444824E-3</v>
      </c>
      <c r="G426" s="7"/>
      <c r="H426" s="7">
        <f t="shared" si="12"/>
        <v>-1.2701415444660302E-2</v>
      </c>
      <c r="I426" s="7">
        <f t="shared" si="12"/>
        <v>1.8851744068278942E-3</v>
      </c>
      <c r="J426" s="7">
        <f t="shared" si="12"/>
        <v>-1.3579394177609672E-3</v>
      </c>
      <c r="K426" s="7">
        <f t="shared" si="11"/>
        <v>1.3485794782213123E-3</v>
      </c>
      <c r="L426" s="7"/>
    </row>
    <row r="427" spans="1:12" x14ac:dyDescent="0.25">
      <c r="A427" s="2" t="s">
        <v>582</v>
      </c>
      <c r="B427" s="7">
        <v>-2.5319715045918789E-2</v>
      </c>
      <c r="C427" s="7">
        <v>1.2916791829378216E-2</v>
      </c>
      <c r="D427" s="7">
        <v>-1.8018018018018056E-2</v>
      </c>
      <c r="E427" s="7">
        <v>-1.7125064867669848E-2</v>
      </c>
      <c r="F427" s="7">
        <v>-1.3927512704686507E-2</v>
      </c>
      <c r="G427" s="7"/>
      <c r="H427" s="7">
        <f t="shared" si="12"/>
        <v>-1.1392202341232283E-2</v>
      </c>
      <c r="I427" s="7">
        <f t="shared" si="12"/>
        <v>2.6844304534064722E-2</v>
      </c>
      <c r="J427" s="7">
        <f t="shared" si="12"/>
        <v>-4.0905053133315494E-3</v>
      </c>
      <c r="K427" s="7">
        <f t="shared" si="11"/>
        <v>-3.1975521629833414E-3</v>
      </c>
      <c r="L427" s="7"/>
    </row>
    <row r="428" spans="1:12" x14ac:dyDescent="0.25">
      <c r="A428" s="2" t="s">
        <v>583</v>
      </c>
      <c r="B428" s="7">
        <v>1.8056749785040349E-3</v>
      </c>
      <c r="C428" s="7">
        <v>5.7401812688822051E-3</v>
      </c>
      <c r="D428" s="7">
        <v>3.0120481927711218E-3</v>
      </c>
      <c r="E428" s="7">
        <v>4.8233607091643371E-3</v>
      </c>
      <c r="F428" s="7">
        <v>6.3893792108991043E-3</v>
      </c>
      <c r="G428" s="7"/>
      <c r="H428" s="7">
        <f t="shared" si="12"/>
        <v>-4.5837042323950694E-3</v>
      </c>
      <c r="I428" s="7">
        <f t="shared" si="12"/>
        <v>-6.4919794201689918E-4</v>
      </c>
      <c r="J428" s="7">
        <f t="shared" si="12"/>
        <v>-3.3773310181279825E-3</v>
      </c>
      <c r="K428" s="7">
        <f t="shared" si="11"/>
        <v>-1.5660185017347672E-3</v>
      </c>
      <c r="L428" s="7"/>
    </row>
    <row r="429" spans="1:12" x14ac:dyDescent="0.25">
      <c r="A429" s="2" t="s">
        <v>86</v>
      </c>
      <c r="B429" s="7">
        <v>1.6741705643222415E-2</v>
      </c>
      <c r="C429" s="7">
        <v>-1.2726188108967973E-2</v>
      </c>
      <c r="D429" s="7">
        <v>1.2195121951219523E-2</v>
      </c>
      <c r="E429" s="7">
        <v>-2.0681731137495274E-2</v>
      </c>
      <c r="F429" s="7">
        <v>2.826181805230199E-3</v>
      </c>
      <c r="G429" s="7"/>
      <c r="H429" s="7">
        <f t="shared" si="12"/>
        <v>1.3915523837992216E-2</v>
      </c>
      <c r="I429" s="7">
        <f t="shared" si="12"/>
        <v>-1.5552369914198172E-2</v>
      </c>
      <c r="J429" s="7">
        <f t="shared" si="12"/>
        <v>9.368940145989324E-3</v>
      </c>
      <c r="K429" s="7">
        <f t="shared" si="11"/>
        <v>-2.3507912942725473E-2</v>
      </c>
      <c r="L429" s="7"/>
    </row>
    <row r="430" spans="1:12" x14ac:dyDescent="0.25">
      <c r="A430" s="2" t="s">
        <v>584</v>
      </c>
      <c r="B430" s="7">
        <v>1.3063501904171604E-2</v>
      </c>
      <c r="C430" s="7">
        <v>7.9166249123157062E-3</v>
      </c>
      <c r="D430" s="7">
        <v>-1.2048192771084376E-2</v>
      </c>
      <c r="E430" s="7">
        <v>1.4505893019039151E-2</v>
      </c>
      <c r="F430" s="7">
        <v>5.5170166208855509E-3</v>
      </c>
      <c r="G430" s="7"/>
      <c r="H430" s="7">
        <f t="shared" si="12"/>
        <v>7.5464852832860529E-3</v>
      </c>
      <c r="I430" s="7">
        <f t="shared" si="12"/>
        <v>2.3996082914301553E-3</v>
      </c>
      <c r="J430" s="7">
        <f t="shared" si="12"/>
        <v>-1.7565209391969927E-2</v>
      </c>
      <c r="K430" s="7">
        <f t="shared" si="11"/>
        <v>8.9888763981536002E-3</v>
      </c>
      <c r="L430" s="7"/>
    </row>
    <row r="431" spans="1:12" x14ac:dyDescent="0.25">
      <c r="A431" s="2" t="s">
        <v>585</v>
      </c>
      <c r="B431" s="7">
        <v>-2.3227648254682265E-2</v>
      </c>
      <c r="C431" s="7">
        <v>1.5364265364265384E-2</v>
      </c>
      <c r="D431" s="7">
        <v>1.2195121951219523E-2</v>
      </c>
      <c r="E431" s="7">
        <v>3.2909698996655523E-2</v>
      </c>
      <c r="F431" s="7">
        <v>-8.763008283767415E-3</v>
      </c>
      <c r="G431" s="7"/>
      <c r="H431" s="7">
        <f t="shared" si="12"/>
        <v>-1.446463997091485E-2</v>
      </c>
      <c r="I431" s="7">
        <f t="shared" si="12"/>
        <v>2.4127273648032799E-2</v>
      </c>
      <c r="J431" s="7">
        <f t="shared" si="12"/>
        <v>2.0958130234986938E-2</v>
      </c>
      <c r="K431" s="7">
        <f t="shared" si="11"/>
        <v>4.1672707280422938E-2</v>
      </c>
      <c r="L431" s="7"/>
    </row>
    <row r="432" spans="1:12" x14ac:dyDescent="0.25">
      <c r="A432" s="2" t="s">
        <v>586</v>
      </c>
      <c r="B432" s="7">
        <v>1.8817204301075252E-2</v>
      </c>
      <c r="C432" s="7">
        <v>1.9819445885649101E-2</v>
      </c>
      <c r="D432" s="7">
        <v>3.0581039755350758E-3</v>
      </c>
      <c r="E432" s="7">
        <v>4.164427727028519E-3</v>
      </c>
      <c r="F432" s="7">
        <v>1.0208033738690059E-2</v>
      </c>
      <c r="G432" s="7"/>
      <c r="H432" s="7">
        <f t="shared" si="12"/>
        <v>8.6091705623851933E-3</v>
      </c>
      <c r="I432" s="7">
        <f t="shared" si="12"/>
        <v>9.6114121469590419E-3</v>
      </c>
      <c r="J432" s="7">
        <f t="shared" si="12"/>
        <v>-7.149929763154983E-3</v>
      </c>
      <c r="K432" s="7">
        <f t="shared" si="11"/>
        <v>-6.0436060116615398E-3</v>
      </c>
      <c r="L432" s="7"/>
    </row>
    <row r="433" spans="1:12" x14ac:dyDescent="0.25">
      <c r="A433" s="2" t="s">
        <v>587</v>
      </c>
      <c r="B433" s="7">
        <v>3.7598973769186195E-3</v>
      </c>
      <c r="C433" s="7">
        <v>-1.391589071932875E-2</v>
      </c>
      <c r="D433" s="7">
        <v>-1.2084592145015116E-2</v>
      </c>
      <c r="E433" s="7">
        <v>2.9883785279468666E-2</v>
      </c>
      <c r="F433" s="7">
        <v>7.410929775606423E-4</v>
      </c>
      <c r="G433" s="7"/>
      <c r="H433" s="7">
        <f t="shared" si="12"/>
        <v>3.0188043993579772E-3</v>
      </c>
      <c r="I433" s="7">
        <f t="shared" si="12"/>
        <v>-1.4656983696889392E-2</v>
      </c>
      <c r="J433" s="7">
        <f t="shared" si="12"/>
        <v>-1.2825685122575758E-2</v>
      </c>
      <c r="K433" s="7">
        <f t="shared" si="11"/>
        <v>2.9142692301908024E-2</v>
      </c>
      <c r="L433" s="7"/>
    </row>
    <row r="434" spans="1:12" x14ac:dyDescent="0.25">
      <c r="A434" s="2" t="s">
        <v>87</v>
      </c>
      <c r="B434" s="7">
        <v>6.5449688334817679E-3</v>
      </c>
      <c r="C434" s="7">
        <v>-2.2460438999489796E-3</v>
      </c>
      <c r="D434" s="7">
        <v>-2.0710059171597628E-2</v>
      </c>
      <c r="E434" s="7">
        <v>-1.3646288209607005E-2</v>
      </c>
      <c r="F434" s="7">
        <v>1.0166708878267539E-3</v>
      </c>
      <c r="G434" s="7"/>
      <c r="H434" s="7">
        <f t="shared" si="12"/>
        <v>5.5282979456550141E-3</v>
      </c>
      <c r="I434" s="7">
        <f t="shared" si="12"/>
        <v>-3.2627147877757334E-3</v>
      </c>
      <c r="J434" s="7">
        <f t="shared" si="12"/>
        <v>-2.1726730059424382E-2</v>
      </c>
      <c r="K434" s="7">
        <f t="shared" si="11"/>
        <v>-1.4662959097433759E-2</v>
      </c>
      <c r="L434" s="7"/>
    </row>
    <row r="435" spans="1:12" x14ac:dyDescent="0.25">
      <c r="A435" s="2" t="s">
        <v>588</v>
      </c>
      <c r="B435" s="7">
        <v>2.1605640209233501E-2</v>
      </c>
      <c r="C435" s="7">
        <v>-2.951954397394041E-3</v>
      </c>
      <c r="D435" s="7">
        <v>-3.1518624641833859E-2</v>
      </c>
      <c r="E435" s="7">
        <v>-1.3860853182613431E-2</v>
      </c>
      <c r="F435" s="7">
        <v>5.4487793072806046E-3</v>
      </c>
      <c r="G435" s="7"/>
      <c r="H435" s="7">
        <f t="shared" si="12"/>
        <v>1.6156860901952896E-2</v>
      </c>
      <c r="I435" s="7">
        <f t="shared" si="12"/>
        <v>-8.4007337046746455E-3</v>
      </c>
      <c r="J435" s="7">
        <f t="shared" si="12"/>
        <v>-3.6967403949114463E-2</v>
      </c>
      <c r="K435" s="7">
        <f t="shared" si="11"/>
        <v>-1.9309632489894035E-2</v>
      </c>
      <c r="L435" s="7"/>
    </row>
    <row r="436" spans="1:12" x14ac:dyDescent="0.25">
      <c r="A436" s="2" t="s">
        <v>589</v>
      </c>
      <c r="B436" s="7">
        <v>5.8102296641961981E-3</v>
      </c>
      <c r="C436" s="7">
        <v>0</v>
      </c>
      <c r="D436" s="7">
        <v>-2.8571428571427804E-3</v>
      </c>
      <c r="E436" s="7">
        <v>2.553132762903676E-2</v>
      </c>
      <c r="F436" s="7">
        <v>5.0843981041965858E-3</v>
      </c>
      <c r="G436" s="7"/>
      <c r="H436" s="7">
        <f t="shared" si="12"/>
        <v>7.2583155999961235E-4</v>
      </c>
      <c r="I436" s="7">
        <f t="shared" si="12"/>
        <v>-5.0843981041965858E-3</v>
      </c>
      <c r="J436" s="7">
        <f t="shared" si="12"/>
        <v>-7.9415409613393662E-3</v>
      </c>
      <c r="K436" s="7">
        <f t="shared" si="11"/>
        <v>2.0446929524840174E-2</v>
      </c>
      <c r="L436" s="7"/>
    </row>
    <row r="437" spans="1:12" x14ac:dyDescent="0.25">
      <c r="A437" s="2" t="s">
        <v>590</v>
      </c>
      <c r="B437" s="7">
        <v>1.6225765958435945E-2</v>
      </c>
      <c r="C437" s="7">
        <v>1.007608472136523E-2</v>
      </c>
      <c r="D437" s="7">
        <v>0</v>
      </c>
      <c r="E437" s="7">
        <v>2.0850943927866794E-2</v>
      </c>
      <c r="F437" s="7">
        <v>6.195331948881222E-3</v>
      </c>
      <c r="G437" s="7"/>
      <c r="H437" s="7">
        <f t="shared" si="12"/>
        <v>1.0030434009554723E-2</v>
      </c>
      <c r="I437" s="7">
        <f t="shared" si="12"/>
        <v>3.8807527724840085E-3</v>
      </c>
      <c r="J437" s="7">
        <f t="shared" si="12"/>
        <v>-6.195331948881222E-3</v>
      </c>
      <c r="K437" s="7">
        <f t="shared" si="11"/>
        <v>1.4655611978985572E-2</v>
      </c>
      <c r="L437" s="7"/>
    </row>
    <row r="438" spans="1:12" x14ac:dyDescent="0.25">
      <c r="A438" s="2" t="s">
        <v>88</v>
      </c>
      <c r="B438" s="7">
        <v>2.9138755980861353E-2</v>
      </c>
      <c r="C438" s="7">
        <v>-1.5487397509869383E-2</v>
      </c>
      <c r="D438" s="7">
        <v>0</v>
      </c>
      <c r="E438" s="7">
        <v>2.5423728813560587E-3</v>
      </c>
      <c r="F438" s="7">
        <v>2.6755889592124937E-3</v>
      </c>
      <c r="G438" s="7"/>
      <c r="H438" s="7">
        <f t="shared" si="12"/>
        <v>2.6463167021648859E-2</v>
      </c>
      <c r="I438" s="7">
        <f t="shared" si="12"/>
        <v>-1.8162986469081877E-2</v>
      </c>
      <c r="J438" s="7">
        <f t="shared" si="12"/>
        <v>-2.6755889592124937E-3</v>
      </c>
      <c r="K438" s="7">
        <f t="shared" si="11"/>
        <v>-1.3321607785643508E-4</v>
      </c>
      <c r="L438" s="7"/>
    </row>
    <row r="439" spans="1:12" x14ac:dyDescent="0.25">
      <c r="A439" s="2" t="s">
        <v>591</v>
      </c>
      <c r="B439" s="7">
        <v>-1.6285418431704834E-2</v>
      </c>
      <c r="C439" s="7">
        <v>-9.4254487115210672E-3</v>
      </c>
      <c r="D439" s="7">
        <v>-5.6818181818182323E-3</v>
      </c>
      <c r="E439" s="7">
        <v>-5.1988197274133174E-3</v>
      </c>
      <c r="F439" s="7">
        <v>-4.0836277351096184E-3</v>
      </c>
      <c r="G439" s="7"/>
      <c r="H439" s="7">
        <f t="shared" si="12"/>
        <v>-1.2201790696595216E-2</v>
      </c>
      <c r="I439" s="7">
        <f t="shared" si="12"/>
        <v>-5.3418209764114488E-3</v>
      </c>
      <c r="J439" s="7">
        <f t="shared" si="12"/>
        <v>-1.5981904467086139E-3</v>
      </c>
      <c r="K439" s="7">
        <f t="shared" si="11"/>
        <v>-1.115191992303699E-3</v>
      </c>
      <c r="L439" s="7"/>
    </row>
    <row r="440" spans="1:12" x14ac:dyDescent="0.25">
      <c r="A440" s="2" t="s">
        <v>592</v>
      </c>
      <c r="B440" s="7">
        <v>4.0168234015405258E-3</v>
      </c>
      <c r="C440" s="7">
        <v>1.6926685020903554E-2</v>
      </c>
      <c r="D440" s="7">
        <v>-1.1235955056179803E-2</v>
      </c>
      <c r="E440" s="7">
        <v>-2.4266520427748794E-2</v>
      </c>
      <c r="F440" s="7">
        <v>9.0728198762302092E-4</v>
      </c>
      <c r="G440" s="7"/>
      <c r="H440" s="7">
        <f t="shared" si="12"/>
        <v>3.1095414139175048E-3</v>
      </c>
      <c r="I440" s="7">
        <f t="shared" si="12"/>
        <v>1.6019403033280533E-2</v>
      </c>
      <c r="J440" s="7">
        <f t="shared" si="12"/>
        <v>-1.2143237043802824E-2</v>
      </c>
      <c r="K440" s="7">
        <f t="shared" si="11"/>
        <v>-2.5173802415371815E-2</v>
      </c>
      <c r="L440" s="7"/>
    </row>
    <row r="441" spans="1:12" x14ac:dyDescent="0.25">
      <c r="A441" s="2" t="s">
        <v>593</v>
      </c>
      <c r="B441" s="7">
        <v>1.9954692244661842E-2</v>
      </c>
      <c r="C441" s="7">
        <v>-5.8793715154588089E-3</v>
      </c>
      <c r="D441" s="7">
        <v>1.1363636363636465E-2</v>
      </c>
      <c r="E441" s="7">
        <v>5.2370452039691706E-3</v>
      </c>
      <c r="F441" s="7">
        <v>1.5724132887204867E-3</v>
      </c>
      <c r="G441" s="7"/>
      <c r="H441" s="7">
        <f t="shared" si="12"/>
        <v>1.8382278955941356E-2</v>
      </c>
      <c r="I441" s="7">
        <f t="shared" si="12"/>
        <v>-7.4517848041792956E-3</v>
      </c>
      <c r="J441" s="7">
        <f t="shared" si="12"/>
        <v>9.7912230749159779E-3</v>
      </c>
      <c r="K441" s="7">
        <f t="shared" si="11"/>
        <v>3.6646319152486839E-3</v>
      </c>
      <c r="L441" s="7"/>
    </row>
    <row r="442" spans="1:12" x14ac:dyDescent="0.25">
      <c r="A442" s="2" t="s">
        <v>594</v>
      </c>
      <c r="B442" s="7">
        <v>4.5027597559794685E-3</v>
      </c>
      <c r="C442" s="7">
        <v>-9.140216954600211E-3</v>
      </c>
      <c r="D442" s="7">
        <v>5.7142857142857828E-3</v>
      </c>
      <c r="E442" s="7">
        <v>-1.3460231135282053E-2</v>
      </c>
      <c r="F442" s="7">
        <v>3.9336474622191364E-3</v>
      </c>
      <c r="G442" s="7"/>
      <c r="H442" s="7">
        <f t="shared" si="12"/>
        <v>5.6911229376033212E-4</v>
      </c>
      <c r="I442" s="7">
        <f t="shared" si="12"/>
        <v>-1.3073864416819347E-2</v>
      </c>
      <c r="J442" s="7">
        <f t="shared" si="12"/>
        <v>1.7806382520666464E-3</v>
      </c>
      <c r="K442" s="7">
        <f t="shared" si="11"/>
        <v>-1.7393878597501189E-2</v>
      </c>
      <c r="L442" s="7"/>
    </row>
    <row r="443" spans="1:12" x14ac:dyDescent="0.25">
      <c r="A443" s="2" t="s">
        <v>89</v>
      </c>
      <c r="B443" s="7">
        <v>3.1083050024283132E-3</v>
      </c>
      <c r="C443" s="7">
        <v>5.8597696504343322E-3</v>
      </c>
      <c r="D443" s="7">
        <v>1.1560693641618602E-2</v>
      </c>
      <c r="E443" s="7">
        <v>1.5182884748102143E-2</v>
      </c>
      <c r="F443" s="7">
        <v>-3.0651719607218686E-3</v>
      </c>
      <c r="G443" s="7"/>
      <c r="H443" s="7">
        <f t="shared" si="12"/>
        <v>6.1734769631501818E-3</v>
      </c>
      <c r="I443" s="7">
        <f t="shared" si="12"/>
        <v>8.9249416111562008E-3</v>
      </c>
      <c r="J443" s="7">
        <f t="shared" si="12"/>
        <v>1.4625865602340471E-2</v>
      </c>
      <c r="K443" s="7">
        <f t="shared" si="11"/>
        <v>1.8248056708824012E-2</v>
      </c>
      <c r="L443" s="7"/>
    </row>
    <row r="444" spans="1:12" x14ac:dyDescent="0.25">
      <c r="A444" s="2" t="s">
        <v>595</v>
      </c>
      <c r="B444" s="7">
        <v>-1.0429182486663136E-2</v>
      </c>
      <c r="C444" s="7">
        <v>7.1225071225071712E-3</v>
      </c>
      <c r="D444" s="7">
        <v>1.7647058823529349E-2</v>
      </c>
      <c r="E444" s="7">
        <v>-9.0274928190398063E-3</v>
      </c>
      <c r="F444" s="7">
        <v>-1.5621659842468549E-3</v>
      </c>
      <c r="G444" s="7"/>
      <c r="H444" s="7">
        <f t="shared" si="12"/>
        <v>-8.8670165024162806E-3</v>
      </c>
      <c r="I444" s="7">
        <f t="shared" si="12"/>
        <v>8.6846731067540262E-3</v>
      </c>
      <c r="J444" s="7">
        <f t="shared" si="12"/>
        <v>1.9209224807776204E-2</v>
      </c>
      <c r="K444" s="7">
        <f t="shared" si="11"/>
        <v>-7.4653268347929513E-3</v>
      </c>
      <c r="L444" s="7"/>
    </row>
    <row r="445" spans="1:12" x14ac:dyDescent="0.25">
      <c r="A445" s="2" t="s">
        <v>596</v>
      </c>
      <c r="B445" s="7">
        <v>-2.1537738067246681E-2</v>
      </c>
      <c r="C445" s="7">
        <v>8.9313212195873959E-3</v>
      </c>
      <c r="D445" s="7">
        <v>1.1904761904761862E-2</v>
      </c>
      <c r="E445" s="7">
        <v>-1.502321770008197E-3</v>
      </c>
      <c r="F445" s="7">
        <v>-2.5259566650810417E-3</v>
      </c>
      <c r="G445" s="7"/>
      <c r="H445" s="7">
        <f t="shared" si="12"/>
        <v>-1.9011781402165639E-2</v>
      </c>
      <c r="I445" s="7">
        <f t="shared" si="12"/>
        <v>1.1457277884668438E-2</v>
      </c>
      <c r="J445" s="7">
        <f t="shared" si="12"/>
        <v>1.4430718569842904E-2</v>
      </c>
      <c r="K445" s="7">
        <f t="shared" si="11"/>
        <v>1.0236348950728447E-3</v>
      </c>
      <c r="L445" s="7"/>
    </row>
    <row r="446" spans="1:12" x14ac:dyDescent="0.25">
      <c r="A446" s="2" t="s">
        <v>597</v>
      </c>
      <c r="B446" s="7">
        <v>-1.0976233663550494E-2</v>
      </c>
      <c r="C446" s="7">
        <v>2.3667421280098022E-3</v>
      </c>
      <c r="D446" s="7">
        <v>1.8181818181818299E-2</v>
      </c>
      <c r="E446" s="7">
        <v>-1.2276633474287424E-3</v>
      </c>
      <c r="F446" s="7">
        <v>2.5213630708009749E-3</v>
      </c>
      <c r="G446" s="7"/>
      <c r="H446" s="7">
        <f t="shared" si="12"/>
        <v>-1.3497596734351469E-2</v>
      </c>
      <c r="I446" s="7">
        <f t="shared" si="12"/>
        <v>-1.5462094279117267E-4</v>
      </c>
      <c r="J446" s="7">
        <f t="shared" si="12"/>
        <v>1.5660455111017324E-2</v>
      </c>
      <c r="K446" s="7">
        <f t="shared" si="11"/>
        <v>-3.7490264182297173E-3</v>
      </c>
      <c r="L446" s="7"/>
    </row>
    <row r="447" spans="1:12" x14ac:dyDescent="0.25">
      <c r="A447" s="2" t="s">
        <v>90</v>
      </c>
      <c r="B447" s="7">
        <v>1.9681305131366678E-2</v>
      </c>
      <c r="C447" s="7">
        <v>-3.690793520606972E-3</v>
      </c>
      <c r="D447" s="7">
        <v>-6.0240963855421326E-3</v>
      </c>
      <c r="E447" s="7">
        <v>1.6359351171495895E-2</v>
      </c>
      <c r="F447" s="7">
        <v>7.6644082774870448E-3</v>
      </c>
      <c r="G447" s="7"/>
      <c r="H447" s="7">
        <f t="shared" si="12"/>
        <v>1.2016896853879633E-2</v>
      </c>
      <c r="I447" s="7">
        <f t="shared" si="12"/>
        <v>-1.1355201798094017E-2</v>
      </c>
      <c r="J447" s="7">
        <f t="shared" si="12"/>
        <v>-1.3688504663029177E-2</v>
      </c>
      <c r="K447" s="7">
        <f t="shared" si="11"/>
        <v>8.6949428940088502E-3</v>
      </c>
      <c r="L447" s="7"/>
    </row>
    <row r="448" spans="1:12" x14ac:dyDescent="0.25">
      <c r="A448" s="2" t="s">
        <v>598</v>
      </c>
      <c r="B448" s="7">
        <v>-8.1843838193790264E-3</v>
      </c>
      <c r="C448" s="7">
        <v>-6.3162184189078374E-3</v>
      </c>
      <c r="D448" s="7">
        <v>-1.7751479289940808E-2</v>
      </c>
      <c r="E448" s="7">
        <v>-3.0771298038161921E-2</v>
      </c>
      <c r="F448" s="7">
        <v>-3.9383555341243603E-4</v>
      </c>
      <c r="G448" s="7"/>
      <c r="H448" s="7">
        <f t="shared" si="12"/>
        <v>-7.7905482659665903E-3</v>
      </c>
      <c r="I448" s="7">
        <f t="shared" si="12"/>
        <v>-5.9223828654954014E-3</v>
      </c>
      <c r="J448" s="7">
        <f t="shared" si="12"/>
        <v>-1.7357643736528372E-2</v>
      </c>
      <c r="K448" s="7">
        <f t="shared" si="11"/>
        <v>-3.0377462484749485E-2</v>
      </c>
      <c r="L448" s="7"/>
    </row>
    <row r="449" spans="1:12" x14ac:dyDescent="0.25">
      <c r="A449" s="2" t="s">
        <v>599</v>
      </c>
      <c r="B449" s="7">
        <v>5.5337463936053766E-3</v>
      </c>
      <c r="C449" s="7">
        <v>3.2706459525755349E-3</v>
      </c>
      <c r="D449" s="7">
        <v>-1.1695906432748537E-2</v>
      </c>
      <c r="E449" s="7">
        <v>-9.186526427905739E-3</v>
      </c>
      <c r="F449" s="7">
        <v>2.3445728948188194E-3</v>
      </c>
      <c r="G449" s="7"/>
      <c r="H449" s="7">
        <f t="shared" si="12"/>
        <v>3.1891734987865572E-3</v>
      </c>
      <c r="I449" s="7">
        <f t="shared" si="12"/>
        <v>9.2607305775671556E-4</v>
      </c>
      <c r="J449" s="7">
        <f t="shared" si="12"/>
        <v>-1.4040479327567357E-2</v>
      </c>
      <c r="K449" s="7">
        <f t="shared" si="11"/>
        <v>-1.1531099322724558E-2</v>
      </c>
      <c r="L449" s="7"/>
    </row>
    <row r="450" spans="1:12" x14ac:dyDescent="0.25">
      <c r="A450" s="2" t="s">
        <v>600</v>
      </c>
      <c r="B450" s="7">
        <v>2.85561393267173E-2</v>
      </c>
      <c r="C450" s="7">
        <v>-1.1230219499744898E-3</v>
      </c>
      <c r="D450" s="7">
        <v>8.8495575221239076E-3</v>
      </c>
      <c r="E450" s="7">
        <v>1.7337956788476827E-3</v>
      </c>
      <c r="F450" s="7">
        <v>8.503679780924589E-3</v>
      </c>
      <c r="G450" s="7"/>
      <c r="H450" s="7">
        <f t="shared" si="12"/>
        <v>2.0052459545792711E-2</v>
      </c>
      <c r="I450" s="7">
        <f t="shared" si="12"/>
        <v>-9.6267017308990788E-3</v>
      </c>
      <c r="J450" s="7">
        <f t="shared" si="12"/>
        <v>3.4587774119931858E-4</v>
      </c>
      <c r="K450" s="7">
        <f t="shared" si="12"/>
        <v>-6.7698841020769063E-3</v>
      </c>
      <c r="L450" s="7"/>
    </row>
    <row r="451" spans="1:12" x14ac:dyDescent="0.25">
      <c r="A451" s="2" t="s">
        <v>601</v>
      </c>
      <c r="B451" s="7">
        <v>7.2636192861615712E-2</v>
      </c>
      <c r="C451" s="7">
        <v>6.5769191244475778E-3</v>
      </c>
      <c r="D451" s="7">
        <v>-1.4534883720930147E-2</v>
      </c>
      <c r="E451" s="7">
        <v>-1.7557651991614076E-2</v>
      </c>
      <c r="F451" s="7">
        <v>2.7104214117694703E-3</v>
      </c>
      <c r="G451" s="7"/>
      <c r="H451" s="7">
        <f t="shared" ref="H451:K514" si="13">B451-$F451</f>
        <v>6.9925771449846241E-2</v>
      </c>
      <c r="I451" s="7">
        <f t="shared" si="13"/>
        <v>3.8664977126781075E-3</v>
      </c>
      <c r="J451" s="7">
        <f t="shared" si="13"/>
        <v>-1.7245305132699618E-2</v>
      </c>
      <c r="K451" s="7">
        <f t="shared" si="13"/>
        <v>-2.0268073403383546E-2</v>
      </c>
      <c r="L451" s="7"/>
    </row>
    <row r="452" spans="1:12" x14ac:dyDescent="0.25">
      <c r="A452" s="2" t="s">
        <v>91</v>
      </c>
      <c r="B452" s="7">
        <v>-1.9142184461050316E-2</v>
      </c>
      <c r="C452" s="7">
        <v>-1.9487179487178707E-3</v>
      </c>
      <c r="D452" s="7">
        <v>-2.8985507246377384E-3</v>
      </c>
      <c r="E452" s="7">
        <v>1.1262753411951598E-2</v>
      </c>
      <c r="F452" s="7">
        <v>2.5808913052016713E-3</v>
      </c>
      <c r="G452" s="7"/>
      <c r="H452" s="7">
        <f t="shared" si="13"/>
        <v>-2.1723075766251987E-2</v>
      </c>
      <c r="I452" s="7">
        <f t="shared" si="13"/>
        <v>-4.5296092539195421E-3</v>
      </c>
      <c r="J452" s="7">
        <f t="shared" si="13"/>
        <v>-5.4794420298394098E-3</v>
      </c>
      <c r="K452" s="7">
        <f t="shared" si="13"/>
        <v>8.6818621067499269E-3</v>
      </c>
      <c r="L452" s="7"/>
    </row>
    <row r="453" spans="1:12" x14ac:dyDescent="0.25">
      <c r="A453" s="2" t="s">
        <v>602</v>
      </c>
      <c r="B453" s="7">
        <v>1.238406135032899E-2</v>
      </c>
      <c r="C453" s="7">
        <v>2.6856240126382325E-2</v>
      </c>
      <c r="D453" s="7">
        <v>-1.4285714285714235E-2</v>
      </c>
      <c r="E453" s="7">
        <v>-1.9997402934683883E-2</v>
      </c>
      <c r="F453" s="7">
        <v>-1.1152708034434244E-3</v>
      </c>
      <c r="G453" s="7"/>
      <c r="H453" s="7">
        <f t="shared" si="13"/>
        <v>1.3499332153772414E-2</v>
      </c>
      <c r="I453" s="7">
        <f t="shared" si="13"/>
        <v>2.7971510929825749E-2</v>
      </c>
      <c r="J453" s="7">
        <f t="shared" si="13"/>
        <v>-1.3170443482270811E-2</v>
      </c>
      <c r="K453" s="7">
        <f t="shared" si="13"/>
        <v>-1.8882132131240459E-2</v>
      </c>
      <c r="L453" s="7"/>
    </row>
    <row r="454" spans="1:12" x14ac:dyDescent="0.25">
      <c r="A454" s="2" t="s">
        <v>603</v>
      </c>
      <c r="B454" s="7">
        <v>-7.0998610896743086E-3</v>
      </c>
      <c r="C454" s="7">
        <v>-8.4586466165413876E-3</v>
      </c>
      <c r="D454" s="7">
        <v>-2.8490028490028019E-3</v>
      </c>
      <c r="E454" s="7">
        <v>2.3428348301446356E-3</v>
      </c>
      <c r="F454" s="7">
        <v>-1.9984945919238051E-4</v>
      </c>
      <c r="G454" s="7"/>
      <c r="H454" s="7">
        <f t="shared" si="13"/>
        <v>-6.9000116304819281E-3</v>
      </c>
      <c r="I454" s="7">
        <f t="shared" si="13"/>
        <v>-8.2587971573490071E-3</v>
      </c>
      <c r="J454" s="7">
        <f t="shared" si="13"/>
        <v>-2.6491533898104214E-3</v>
      </c>
      <c r="K454" s="7">
        <f t="shared" si="13"/>
        <v>2.5426842893370161E-3</v>
      </c>
      <c r="L454" s="7"/>
    </row>
    <row r="455" spans="1:12" x14ac:dyDescent="0.25">
      <c r="A455" s="2" t="s">
        <v>604</v>
      </c>
      <c r="B455" s="7">
        <v>7.8295136368349283E-3</v>
      </c>
      <c r="C455" s="7">
        <v>4.5106472254274887E-3</v>
      </c>
      <c r="D455" s="7">
        <v>2.631578947368407E-2</v>
      </c>
      <c r="E455" s="7">
        <v>1.7481128327373696E-2</v>
      </c>
      <c r="F455" s="7">
        <v>1.1847660516995706E-2</v>
      </c>
      <c r="G455" s="7"/>
      <c r="H455" s="7">
        <f t="shared" si="13"/>
        <v>-4.0181468801607778E-3</v>
      </c>
      <c r="I455" s="7">
        <f t="shared" si="13"/>
        <v>-7.3370132915682174E-3</v>
      </c>
      <c r="J455" s="7">
        <f t="shared" si="13"/>
        <v>1.4468128956688364E-2</v>
      </c>
      <c r="K455" s="7">
        <f t="shared" si="13"/>
        <v>5.63346781037799E-3</v>
      </c>
      <c r="L455" s="7"/>
    </row>
    <row r="456" spans="1:12" x14ac:dyDescent="0.25">
      <c r="A456" s="2" t="s">
        <v>605</v>
      </c>
      <c r="B456" s="7">
        <v>1.6619923132856762E-3</v>
      </c>
      <c r="C456" s="7">
        <v>-1.1509746992948933E-2</v>
      </c>
      <c r="D456" s="7">
        <v>-2.564102564102555E-2</v>
      </c>
      <c r="E456" s="7">
        <v>7.0685516137636295E-3</v>
      </c>
      <c r="F456" s="7">
        <v>1.5028201536890773E-3</v>
      </c>
      <c r="G456" s="7"/>
      <c r="H456" s="7">
        <f t="shared" si="13"/>
        <v>1.5917215959659892E-4</v>
      </c>
      <c r="I456" s="7">
        <f t="shared" si="13"/>
        <v>-1.301256714663801E-2</v>
      </c>
      <c r="J456" s="7">
        <f t="shared" si="13"/>
        <v>-2.7143845794714627E-2</v>
      </c>
      <c r="K456" s="7">
        <f t="shared" si="13"/>
        <v>5.5657314600745522E-3</v>
      </c>
      <c r="L456" s="7"/>
    </row>
    <row r="457" spans="1:12" x14ac:dyDescent="0.25">
      <c r="A457" s="2" t="s">
        <v>92</v>
      </c>
      <c r="B457" s="7">
        <v>9.278188394401532E-3</v>
      </c>
      <c r="C457" s="7">
        <v>-3.8219192232208377E-3</v>
      </c>
      <c r="D457" s="7">
        <v>-5.6657223796033884E-3</v>
      </c>
      <c r="E457" s="7">
        <v>-5.5702917771883742E-3</v>
      </c>
      <c r="F457" s="7">
        <v>1.116056625188655E-3</v>
      </c>
      <c r="G457" s="7"/>
      <c r="H457" s="7">
        <f t="shared" si="13"/>
        <v>8.162131769212877E-3</v>
      </c>
      <c r="I457" s="7">
        <f t="shared" si="13"/>
        <v>-4.9379758484094927E-3</v>
      </c>
      <c r="J457" s="7">
        <f t="shared" si="13"/>
        <v>-6.7817790047920434E-3</v>
      </c>
      <c r="K457" s="7">
        <f t="shared" si="13"/>
        <v>-6.6863484023770292E-3</v>
      </c>
      <c r="L457" s="7"/>
    </row>
    <row r="458" spans="1:12" x14ac:dyDescent="0.25">
      <c r="A458" s="2" t="s">
        <v>606</v>
      </c>
      <c r="B458" s="7">
        <v>5.0047413338953906E-3</v>
      </c>
      <c r="C458" s="7">
        <v>1.9804066154008204E-2</v>
      </c>
      <c r="D458" s="7">
        <v>0</v>
      </c>
      <c r="E458" s="7">
        <v>-1.617954070981209E-2</v>
      </c>
      <c r="F458" s="7">
        <v>8.0279172110295782E-3</v>
      </c>
      <c r="G458" s="7"/>
      <c r="H458" s="7">
        <f t="shared" si="13"/>
        <v>-3.0231758771341877E-3</v>
      </c>
      <c r="I458" s="7">
        <f t="shared" si="13"/>
        <v>1.1776148942978626E-2</v>
      </c>
      <c r="J458" s="7">
        <f t="shared" si="13"/>
        <v>-8.0279172110295782E-3</v>
      </c>
      <c r="K458" s="7">
        <f t="shared" si="13"/>
        <v>-2.4207457920841668E-2</v>
      </c>
      <c r="L458" s="7"/>
    </row>
    <row r="459" spans="1:12" x14ac:dyDescent="0.25">
      <c r="A459" s="2" t="s">
        <v>607</v>
      </c>
      <c r="B459" s="7">
        <v>5.2428109940156897E-3</v>
      </c>
      <c r="C459" s="7">
        <v>6.5740642561764595E-3</v>
      </c>
      <c r="D459" s="7">
        <v>7.2948328267477214E-2</v>
      </c>
      <c r="E459" s="7">
        <v>7.2282822972795646E-3</v>
      </c>
      <c r="F459" s="7">
        <v>-5.9749950160910004E-3</v>
      </c>
      <c r="G459" s="7"/>
      <c r="H459" s="7">
        <f t="shared" si="13"/>
        <v>1.121780601010669E-2</v>
      </c>
      <c r="I459" s="7">
        <f t="shared" si="13"/>
        <v>1.254905927226746E-2</v>
      </c>
      <c r="J459" s="7">
        <f t="shared" si="13"/>
        <v>7.8923323283568214E-2</v>
      </c>
      <c r="K459" s="7">
        <f t="shared" si="13"/>
        <v>1.3203277313370565E-2</v>
      </c>
      <c r="L459" s="7"/>
    </row>
    <row r="460" spans="1:12" x14ac:dyDescent="0.25">
      <c r="A460" s="2" t="s">
        <v>608</v>
      </c>
      <c r="B460" s="7">
        <v>1.5912586856203781E-3</v>
      </c>
      <c r="C460" s="7">
        <v>-1.1321941503302235E-2</v>
      </c>
      <c r="D460" s="7">
        <v>-8.8642659279778324E-2</v>
      </c>
      <c r="E460" s="7">
        <v>-1.8953068592057698E-2</v>
      </c>
      <c r="F460" s="7">
        <v>-7.3670760114887823E-3</v>
      </c>
      <c r="G460" s="7"/>
      <c r="H460" s="7">
        <f t="shared" si="13"/>
        <v>8.9583346971091604E-3</v>
      </c>
      <c r="I460" s="7">
        <f t="shared" si="13"/>
        <v>-3.9548654918134529E-3</v>
      </c>
      <c r="J460" s="7">
        <f t="shared" si="13"/>
        <v>-8.1275583268289542E-2</v>
      </c>
      <c r="K460" s="7">
        <f t="shared" si="13"/>
        <v>-1.1585992580568916E-2</v>
      </c>
      <c r="L460" s="7"/>
    </row>
    <row r="461" spans="1:12" x14ac:dyDescent="0.25">
      <c r="A461" s="2" t="s">
        <v>609</v>
      </c>
      <c r="B461" s="7">
        <v>5.3044769785737245E-5</v>
      </c>
      <c r="C461" s="7">
        <v>-9.9636741048261257E-3</v>
      </c>
      <c r="D461" s="7">
        <v>-1.0958904109588996E-2</v>
      </c>
      <c r="E461" s="7">
        <v>-8.310957678046127E-3</v>
      </c>
      <c r="F461" s="7">
        <v>2.4883499977379486E-4</v>
      </c>
      <c r="G461" s="7"/>
      <c r="H461" s="7">
        <f t="shared" si="13"/>
        <v>-1.9579022998805762E-4</v>
      </c>
      <c r="I461" s="7">
        <f t="shared" si="13"/>
        <v>-1.0212509104599921E-2</v>
      </c>
      <c r="J461" s="7">
        <f t="shared" si="13"/>
        <v>-1.1207739109362791E-2</v>
      </c>
      <c r="K461" s="7">
        <f t="shared" si="13"/>
        <v>-8.5597926778199218E-3</v>
      </c>
      <c r="L461" s="7"/>
    </row>
    <row r="462" spans="1:12" x14ac:dyDescent="0.25">
      <c r="A462" s="2" t="s">
        <v>610</v>
      </c>
      <c r="B462" s="7">
        <v>1.655432731194395E-2</v>
      </c>
      <c r="C462" s="7">
        <v>1.5592515592515177E-3</v>
      </c>
      <c r="D462" s="7">
        <v>1.9553072625698276E-2</v>
      </c>
      <c r="E462" s="7">
        <v>5.657708628005631E-3</v>
      </c>
      <c r="F462" s="7">
        <v>7.0009719353663069E-3</v>
      </c>
      <c r="G462" s="7"/>
      <c r="H462" s="7">
        <f t="shared" si="13"/>
        <v>9.5533553765776436E-3</v>
      </c>
      <c r="I462" s="7">
        <f t="shared" si="13"/>
        <v>-5.4417203761147892E-3</v>
      </c>
      <c r="J462" s="7">
        <f t="shared" si="13"/>
        <v>1.2552100690331969E-2</v>
      </c>
      <c r="K462" s="7">
        <f t="shared" si="13"/>
        <v>-1.3432633073606759E-3</v>
      </c>
      <c r="L462" s="7"/>
    </row>
    <row r="463" spans="1:12" x14ac:dyDescent="0.25">
      <c r="A463" s="2" t="s">
        <v>611</v>
      </c>
      <c r="B463" s="7">
        <v>-2.1010399619912468E-2</v>
      </c>
      <c r="C463" s="7">
        <v>-1.262444832187215E-2</v>
      </c>
      <c r="D463" s="7">
        <v>-1.9178082191780743E-2</v>
      </c>
      <c r="E463" s="7">
        <v>-2.2744408142749473E-2</v>
      </c>
      <c r="F463" s="7">
        <v>-7.3808038801509435E-3</v>
      </c>
      <c r="G463" s="7"/>
      <c r="H463" s="7">
        <f t="shared" si="13"/>
        <v>-1.3629595739761524E-2</v>
      </c>
      <c r="I463" s="7">
        <f t="shared" si="13"/>
        <v>-5.2436444417212069E-3</v>
      </c>
      <c r="J463" s="7">
        <f t="shared" si="13"/>
        <v>-1.17972783116298E-2</v>
      </c>
      <c r="K463" s="7">
        <f t="shared" si="13"/>
        <v>-1.5363604262598529E-2</v>
      </c>
      <c r="L463" s="7"/>
    </row>
    <row r="464" spans="1:12" x14ac:dyDescent="0.25">
      <c r="A464" s="2" t="s">
        <v>612</v>
      </c>
      <c r="B464" s="7">
        <v>-7.5444019489704361E-3</v>
      </c>
      <c r="C464" s="7">
        <v>-1.6057362149060728E-2</v>
      </c>
      <c r="D464" s="7">
        <v>-1.3513513513513598E-2</v>
      </c>
      <c r="E464" s="7">
        <v>-4.0048250904704541E-2</v>
      </c>
      <c r="F464" s="7">
        <v>-2.7060497123881921E-3</v>
      </c>
      <c r="G464" s="7"/>
      <c r="H464" s="7">
        <f t="shared" si="13"/>
        <v>-4.838352236582244E-3</v>
      </c>
      <c r="I464" s="7">
        <f t="shared" si="13"/>
        <v>-1.3351312436672536E-2</v>
      </c>
      <c r="J464" s="7">
        <f t="shared" si="13"/>
        <v>-1.0807463801125405E-2</v>
      </c>
      <c r="K464" s="7">
        <f t="shared" si="13"/>
        <v>-3.7342201192316349E-2</v>
      </c>
      <c r="L464" s="7"/>
    </row>
    <row r="465" spans="1:12" x14ac:dyDescent="0.25">
      <c r="A465" s="2" t="s">
        <v>613</v>
      </c>
      <c r="B465" s="7">
        <v>6.857625151658997E-3</v>
      </c>
      <c r="C465" s="7">
        <v>-1.9701019701019784E-2</v>
      </c>
      <c r="D465" s="7">
        <v>8.1743869209809361E-3</v>
      </c>
      <c r="E465" s="7">
        <v>-2.4361539366835272E-2</v>
      </c>
      <c r="F465" s="7">
        <v>2.5018226757822504E-3</v>
      </c>
      <c r="G465" s="7"/>
      <c r="H465" s="7">
        <f t="shared" si="13"/>
        <v>4.3558024758767466E-3</v>
      </c>
      <c r="I465" s="7">
        <f t="shared" si="13"/>
        <v>-2.2202842376802034E-2</v>
      </c>
      <c r="J465" s="7">
        <f t="shared" si="13"/>
        <v>5.6725642451986857E-3</v>
      </c>
      <c r="K465" s="7">
        <f t="shared" si="13"/>
        <v>-2.6863362042617522E-2</v>
      </c>
      <c r="L465" s="7"/>
    </row>
    <row r="466" spans="1:12" x14ac:dyDescent="0.25">
      <c r="A466" s="2" t="s">
        <v>93</v>
      </c>
      <c r="B466" s="7">
        <v>6.15678573324141E-3</v>
      </c>
      <c r="C466" s="7">
        <v>-3.958436417613731E-4</v>
      </c>
      <c r="D466" s="7">
        <v>1.1019283746556585E-2</v>
      </c>
      <c r="E466" s="7">
        <v>-2.9335836658060943E-3</v>
      </c>
      <c r="F466" s="7">
        <v>9.1641572086653689E-4</v>
      </c>
      <c r="G466" s="7"/>
      <c r="H466" s="7">
        <f t="shared" si="13"/>
        <v>5.2403700123748731E-3</v>
      </c>
      <c r="I466" s="7">
        <f t="shared" si="13"/>
        <v>-1.31225936262791E-3</v>
      </c>
      <c r="J466" s="7">
        <f t="shared" si="13"/>
        <v>1.0102868025690048E-2</v>
      </c>
      <c r="K466" s="7">
        <f t="shared" si="13"/>
        <v>-3.8499993866726312E-3</v>
      </c>
      <c r="L466" s="7"/>
    </row>
    <row r="467" spans="1:12" x14ac:dyDescent="0.25">
      <c r="A467" s="2" t="s">
        <v>614</v>
      </c>
      <c r="B467" s="7">
        <v>1.5925257458326847E-4</v>
      </c>
      <c r="C467" s="7">
        <v>3.774709446707103E-3</v>
      </c>
      <c r="D467" s="7">
        <v>2.7624309392264568E-3</v>
      </c>
      <c r="E467" s="7">
        <v>2.1210305572198829E-2</v>
      </c>
      <c r="F467" s="7">
        <v>1.1647882803798026E-3</v>
      </c>
      <c r="G467" s="7"/>
      <c r="H467" s="7">
        <f t="shared" si="13"/>
        <v>-1.0055357057965342E-3</v>
      </c>
      <c r="I467" s="7">
        <f t="shared" si="13"/>
        <v>2.6099211663273003E-3</v>
      </c>
      <c r="J467" s="7">
        <f t="shared" si="13"/>
        <v>1.5976426588466541E-3</v>
      </c>
      <c r="K467" s="7">
        <f t="shared" si="13"/>
        <v>2.0045517291819026E-2</v>
      </c>
      <c r="L467" s="7"/>
    </row>
    <row r="468" spans="1:12" x14ac:dyDescent="0.25">
      <c r="A468" s="2" t="s">
        <v>615</v>
      </c>
      <c r="B468" s="7">
        <v>6.3741633910541218E-4</v>
      </c>
      <c r="C468" s="7">
        <v>3.5806152896388665E-2</v>
      </c>
      <c r="D468" s="7">
        <v>2.7700831024930483E-3</v>
      </c>
      <c r="E468" s="7">
        <v>7.0558050032071939E-2</v>
      </c>
      <c r="F468" s="7">
        <v>-2.0817045486656305E-3</v>
      </c>
      <c r="G468" s="7"/>
      <c r="H468" s="7">
        <f t="shared" si="13"/>
        <v>2.7191208877710427E-3</v>
      </c>
      <c r="I468" s="7">
        <f t="shared" si="13"/>
        <v>3.7887857445054296E-2</v>
      </c>
      <c r="J468" s="7">
        <f t="shared" si="13"/>
        <v>4.8517876511586788E-3</v>
      </c>
      <c r="K468" s="7">
        <f t="shared" si="13"/>
        <v>7.263975458073757E-2</v>
      </c>
      <c r="L468" s="7"/>
    </row>
    <row r="469" spans="1:12" x14ac:dyDescent="0.25">
      <c r="A469" s="2" t="s">
        <v>616</v>
      </c>
      <c r="B469" s="7">
        <v>1.2204957255766313E-2</v>
      </c>
      <c r="C469" s="7">
        <v>1.1552872606161557E-2</v>
      </c>
      <c r="D469" s="7">
        <v>-2.7624309392265678E-3</v>
      </c>
      <c r="E469" s="7">
        <v>1.8554815105187528E-2</v>
      </c>
      <c r="F469" s="7">
        <v>1.1715980391409309E-2</v>
      </c>
      <c r="G469" s="7"/>
      <c r="H469" s="7">
        <f t="shared" si="13"/>
        <v>4.8897686435700471E-4</v>
      </c>
      <c r="I469" s="7">
        <f t="shared" si="13"/>
        <v>-1.6310778524775138E-4</v>
      </c>
      <c r="J469" s="7">
        <f t="shared" si="13"/>
        <v>-1.4478411330635876E-2</v>
      </c>
      <c r="K469" s="7">
        <f t="shared" si="13"/>
        <v>6.8388347137782191E-3</v>
      </c>
      <c r="L469" s="7"/>
    </row>
    <row r="470" spans="1:12" x14ac:dyDescent="0.25">
      <c r="A470" s="2" t="s">
        <v>617</v>
      </c>
      <c r="B470" s="7">
        <v>6.1671625642414352E-3</v>
      </c>
      <c r="C470" s="7">
        <v>4.4955567171980348E-3</v>
      </c>
      <c r="D470" s="7">
        <v>1.9718309859154903E-2</v>
      </c>
      <c r="E470" s="7">
        <v>-6.0058953574060436E-2</v>
      </c>
      <c r="F470" s="7">
        <v>4.8377644395585229E-3</v>
      </c>
      <c r="G470" s="7"/>
      <c r="H470" s="7">
        <f t="shared" si="13"/>
        <v>1.3293981246829123E-3</v>
      </c>
      <c r="I470" s="7">
        <f t="shared" si="13"/>
        <v>-3.4220772236048802E-4</v>
      </c>
      <c r="J470" s="7">
        <f t="shared" si="13"/>
        <v>1.488054541959638E-2</v>
      </c>
      <c r="K470" s="7">
        <f t="shared" si="13"/>
        <v>-6.4896718013618959E-2</v>
      </c>
      <c r="L470" s="7"/>
    </row>
    <row r="471" spans="1:12" x14ac:dyDescent="0.25">
      <c r="A471" s="2" t="s">
        <v>94</v>
      </c>
      <c r="B471" s="7">
        <v>1.7616295072942378E-2</v>
      </c>
      <c r="C471" s="7">
        <v>7.0541166561381985E-3</v>
      </c>
      <c r="D471" s="7">
        <v>5.6657223796034994E-3</v>
      </c>
      <c r="E471" s="7">
        <v>5.6853582554517113E-2</v>
      </c>
      <c r="F471" s="7">
        <v>-2.4125544739483917E-4</v>
      </c>
      <c r="G471" s="7"/>
      <c r="H471" s="7">
        <f t="shared" si="13"/>
        <v>1.7857550520337218E-2</v>
      </c>
      <c r="I471" s="7">
        <f t="shared" si="13"/>
        <v>7.2953721035330377E-3</v>
      </c>
      <c r="J471" s="7">
        <f t="shared" si="13"/>
        <v>5.9069778269983386E-3</v>
      </c>
      <c r="K471" s="7">
        <f t="shared" si="13"/>
        <v>5.7094838001911952E-2</v>
      </c>
      <c r="L471" s="7"/>
    </row>
    <row r="472" spans="1:12" x14ac:dyDescent="0.25">
      <c r="A472" s="2" t="s">
        <v>618</v>
      </c>
      <c r="B472" s="7">
        <v>-6.8886337543053733E-3</v>
      </c>
      <c r="C472" s="7">
        <v>1.648116438356162E-2</v>
      </c>
      <c r="D472" s="7">
        <v>-2.8248587570621764E-3</v>
      </c>
      <c r="E472" s="7">
        <v>7.3221757322174952E-3</v>
      </c>
      <c r="F472" s="7">
        <v>1.6493801399288799E-3</v>
      </c>
      <c r="G472" s="7"/>
      <c r="H472" s="7">
        <f t="shared" si="13"/>
        <v>-8.5380138942342532E-3</v>
      </c>
      <c r="I472" s="7">
        <f t="shared" si="13"/>
        <v>1.483178424363274E-2</v>
      </c>
      <c r="J472" s="7">
        <f t="shared" si="13"/>
        <v>-4.4742388969910563E-3</v>
      </c>
      <c r="K472" s="7">
        <f t="shared" si="13"/>
        <v>5.6727955922886153E-3</v>
      </c>
      <c r="L472" s="7"/>
    </row>
    <row r="473" spans="1:12" x14ac:dyDescent="0.25">
      <c r="A473" s="2" t="s">
        <v>619</v>
      </c>
      <c r="B473" s="7">
        <v>1.0050251256281451E-2</v>
      </c>
      <c r="C473" s="7">
        <v>1.0162162162162147E-2</v>
      </c>
      <c r="D473" s="7">
        <v>2.608695652173898E-2</v>
      </c>
      <c r="E473" s="7">
        <v>1.2845980664812684E-2</v>
      </c>
      <c r="F473" s="7">
        <v>5.0909175024624886E-3</v>
      </c>
      <c r="G473" s="7"/>
      <c r="H473" s="7">
        <f t="shared" si="13"/>
        <v>4.9593337538189619E-3</v>
      </c>
      <c r="I473" s="7">
        <f t="shared" si="13"/>
        <v>5.0712446596996585E-3</v>
      </c>
      <c r="J473" s="7">
        <f t="shared" si="13"/>
        <v>2.0996039019276491E-2</v>
      </c>
      <c r="K473" s="7">
        <f t="shared" si="13"/>
        <v>7.7550631623501953E-3</v>
      </c>
      <c r="L473" s="7"/>
    </row>
    <row r="474" spans="1:12" x14ac:dyDescent="0.25">
      <c r="A474" s="2" t="s">
        <v>620</v>
      </c>
      <c r="B474" s="7">
        <v>1.8810511756570669E-3</v>
      </c>
      <c r="C474" s="7">
        <v>8.5041430440471188E-3</v>
      </c>
      <c r="D474" s="7">
        <v>2.6785714285714413E-2</v>
      </c>
      <c r="E474" s="7">
        <v>-1.1519832438800837E-2</v>
      </c>
      <c r="F474" s="7">
        <v>-5.7829095745365322E-6</v>
      </c>
      <c r="G474" s="7"/>
      <c r="H474" s="7">
        <f t="shared" si="13"/>
        <v>1.8868340852316035E-3</v>
      </c>
      <c r="I474" s="7">
        <f t="shared" si="13"/>
        <v>8.5099259536216554E-3</v>
      </c>
      <c r="J474" s="7">
        <f t="shared" si="13"/>
        <v>2.6791497195288949E-2</v>
      </c>
      <c r="K474" s="7">
        <f t="shared" si="13"/>
        <v>-1.15140495292263E-2</v>
      </c>
      <c r="L474" s="7"/>
    </row>
    <row r="475" spans="1:12" x14ac:dyDescent="0.25">
      <c r="A475" s="2" t="s">
        <v>621</v>
      </c>
      <c r="B475" s="7">
        <v>3.7763092130838061E-3</v>
      </c>
      <c r="C475" s="7">
        <v>-1.0891836514612341E-2</v>
      </c>
      <c r="D475" s="7">
        <v>-1.4662756598240567E-2</v>
      </c>
      <c r="E475" s="7">
        <v>-2.675500063702374E-2</v>
      </c>
      <c r="F475" s="7">
        <v>1.3434374239973401E-3</v>
      </c>
      <c r="G475" s="7"/>
      <c r="H475" s="7">
        <f t="shared" si="13"/>
        <v>2.432871789086466E-3</v>
      </c>
      <c r="I475" s="7">
        <f t="shared" si="13"/>
        <v>-1.2235273938609681E-2</v>
      </c>
      <c r="J475" s="7">
        <f t="shared" si="13"/>
        <v>-1.6006194022237907E-2</v>
      </c>
      <c r="K475" s="7">
        <f t="shared" si="13"/>
        <v>-2.809843806102108E-2</v>
      </c>
      <c r="L475" s="7"/>
    </row>
    <row r="476" spans="1:12" x14ac:dyDescent="0.25">
      <c r="A476" s="2" t="s">
        <v>95</v>
      </c>
      <c r="B476" s="7">
        <v>-9.1344301986463483E-3</v>
      </c>
      <c r="C476" s="7">
        <v>-5.7896429720166731E-3</v>
      </c>
      <c r="D476" s="7">
        <v>5.8997050147493457E-3</v>
      </c>
      <c r="E476" s="7">
        <v>2.6826775677055714E-3</v>
      </c>
      <c r="F476" s="7">
        <v>1.0326085896653403E-2</v>
      </c>
      <c r="G476" s="7"/>
      <c r="H476" s="7">
        <f t="shared" si="13"/>
        <v>-1.9460516095299751E-2</v>
      </c>
      <c r="I476" s="7">
        <f t="shared" si="13"/>
        <v>-1.6115728868670076E-2</v>
      </c>
      <c r="J476" s="7">
        <f t="shared" si="13"/>
        <v>-4.4263808819040573E-3</v>
      </c>
      <c r="K476" s="7">
        <f t="shared" si="13"/>
        <v>-7.6434083289478316E-3</v>
      </c>
      <c r="L476" s="7"/>
    </row>
    <row r="477" spans="1:12" x14ac:dyDescent="0.25">
      <c r="A477" s="2" t="s">
        <v>622</v>
      </c>
      <c r="B477" s="7">
        <v>5.9835539744561572E-2</v>
      </c>
      <c r="C477" s="7">
        <v>3.5506778566816166E-3</v>
      </c>
      <c r="D477" s="7">
        <v>2.9585798816569309E-3</v>
      </c>
      <c r="E477" s="7">
        <v>1.2546889147587725E-2</v>
      </c>
      <c r="F477" s="7">
        <v>1.2556771059594851E-2</v>
      </c>
      <c r="G477" s="7"/>
      <c r="H477" s="7">
        <f t="shared" si="13"/>
        <v>4.7278768684966721E-2</v>
      </c>
      <c r="I477" s="7">
        <f t="shared" si="13"/>
        <v>-9.0060932029132346E-3</v>
      </c>
      <c r="J477" s="7">
        <f t="shared" si="13"/>
        <v>-9.5981911779379203E-3</v>
      </c>
      <c r="K477" s="7">
        <f t="shared" si="13"/>
        <v>-9.8819120071258482E-6</v>
      </c>
      <c r="L477" s="7"/>
    </row>
    <row r="478" spans="1:12" x14ac:dyDescent="0.25">
      <c r="A478" s="2" t="s">
        <v>623</v>
      </c>
      <c r="B478" s="7">
        <v>2.2054002503427261E-2</v>
      </c>
      <c r="C478" s="7">
        <v>-1.6611998730293176E-2</v>
      </c>
      <c r="D478" s="7">
        <v>2.114803625377637E-2</v>
      </c>
      <c r="E478" s="7">
        <v>6.370390753990085E-2</v>
      </c>
      <c r="F478" s="7">
        <v>9.1284256504575723E-3</v>
      </c>
      <c r="G478" s="7"/>
      <c r="H478" s="7">
        <f t="shared" si="13"/>
        <v>1.2925576852969689E-2</v>
      </c>
      <c r="I478" s="7">
        <f t="shared" si="13"/>
        <v>-2.5740424380750748E-2</v>
      </c>
      <c r="J478" s="7">
        <f t="shared" si="13"/>
        <v>1.2019610603318798E-2</v>
      </c>
      <c r="K478" s="7">
        <f t="shared" si="13"/>
        <v>5.4575481889443278E-2</v>
      </c>
      <c r="L478" s="7"/>
    </row>
    <row r="479" spans="1:12" x14ac:dyDescent="0.25">
      <c r="A479" s="2" t="s">
        <v>624</v>
      </c>
      <c r="B479" s="7">
        <v>-6.0430120267787046E-3</v>
      </c>
      <c r="C479" s="7">
        <v>2.007555315704268E-2</v>
      </c>
      <c r="D479" s="7">
        <v>-6.0060060060059817E-3</v>
      </c>
      <c r="E479" s="7">
        <v>8.8839533592448561E-3</v>
      </c>
      <c r="F479" s="7">
        <v>-3.4354775611682431E-3</v>
      </c>
      <c r="G479" s="7"/>
      <c r="H479" s="7">
        <f t="shared" si="13"/>
        <v>-2.6075344656104615E-3</v>
      </c>
      <c r="I479" s="7">
        <f t="shared" si="13"/>
        <v>2.3511030718210923E-2</v>
      </c>
      <c r="J479" s="7">
        <f t="shared" si="13"/>
        <v>-2.5705284448377386E-3</v>
      </c>
      <c r="K479" s="7">
        <f t="shared" si="13"/>
        <v>1.2319430920413099E-2</v>
      </c>
      <c r="L479" s="7"/>
    </row>
    <row r="480" spans="1:12" x14ac:dyDescent="0.25">
      <c r="A480" s="2" t="s">
        <v>625</v>
      </c>
      <c r="B480" s="7">
        <v>-1.8320344306153369E-2</v>
      </c>
      <c r="C480" s="7">
        <v>4.7129294755877016E-2</v>
      </c>
      <c r="D480" s="7">
        <v>-5.9701492537312939E-3</v>
      </c>
      <c r="E480" s="7">
        <v>-2.0397062822953504E-2</v>
      </c>
      <c r="F480" s="7">
        <v>-1.5730517164206925E-2</v>
      </c>
      <c r="G480" s="7"/>
      <c r="H480" s="7">
        <f t="shared" si="13"/>
        <v>-2.5898271419464436E-3</v>
      </c>
      <c r="I480" s="7">
        <f t="shared" si="13"/>
        <v>6.2859811920083941E-2</v>
      </c>
      <c r="J480" s="7">
        <f t="shared" si="13"/>
        <v>9.7603679104756313E-3</v>
      </c>
      <c r="K480" s="7">
        <f t="shared" si="13"/>
        <v>-4.6665456587465792E-3</v>
      </c>
      <c r="L480" s="7"/>
    </row>
    <row r="481" spans="1:12" x14ac:dyDescent="0.25">
      <c r="A481" s="2" t="s">
        <v>96</v>
      </c>
      <c r="B481" s="7">
        <v>2.4855456875484183E-2</v>
      </c>
      <c r="C481" s="7">
        <v>3.6297640653357721E-3</v>
      </c>
      <c r="D481" s="7">
        <v>-1.179941002949858E-2</v>
      </c>
      <c r="E481" s="7">
        <v>1.1415211112639323E-2</v>
      </c>
      <c r="F481" s="7">
        <v>3.178456301617949E-3</v>
      </c>
      <c r="G481" s="7"/>
      <c r="H481" s="7">
        <f t="shared" si="13"/>
        <v>2.1677000573866234E-2</v>
      </c>
      <c r="I481" s="7">
        <f t="shared" si="13"/>
        <v>4.5130776371782311E-4</v>
      </c>
      <c r="J481" s="7">
        <f t="shared" si="13"/>
        <v>-1.4977866331116529E-2</v>
      </c>
      <c r="K481" s="7">
        <f t="shared" si="13"/>
        <v>8.236754811021374E-3</v>
      </c>
      <c r="L481" s="7"/>
    </row>
    <row r="482" spans="1:12" x14ac:dyDescent="0.25">
      <c r="A482" s="2" t="s">
        <v>626</v>
      </c>
      <c r="B482" s="7">
        <v>-3.5043953433119279E-3</v>
      </c>
      <c r="C482" s="7">
        <v>4.5578851412944044E-3</v>
      </c>
      <c r="D482" s="7">
        <v>3.039513677811545E-2</v>
      </c>
      <c r="E482" s="7">
        <v>5.809932217457181E-3</v>
      </c>
      <c r="F482" s="7">
        <v>1.0209134739185721E-2</v>
      </c>
      <c r="G482" s="7"/>
      <c r="H482" s="7">
        <f t="shared" si="13"/>
        <v>-1.3713530082497649E-2</v>
      </c>
      <c r="I482" s="7">
        <f t="shared" si="13"/>
        <v>-5.6512495978913169E-3</v>
      </c>
      <c r="J482" s="7">
        <f t="shared" si="13"/>
        <v>2.0186002038929729E-2</v>
      </c>
      <c r="K482" s="7">
        <f t="shared" si="13"/>
        <v>-4.3992025217285402E-3</v>
      </c>
      <c r="L482" s="7"/>
    </row>
    <row r="483" spans="1:12" x14ac:dyDescent="0.25">
      <c r="A483" s="2" t="s">
        <v>627</v>
      </c>
      <c r="B483" s="7">
        <v>5.1343283582090393E-3</v>
      </c>
      <c r="C483" s="7">
        <v>-6.565542223228471E-3</v>
      </c>
      <c r="D483" s="7">
        <v>1.8575851393188847E-2</v>
      </c>
      <c r="E483" s="7">
        <v>6.4040094667967562E-3</v>
      </c>
      <c r="F483" s="7">
        <v>-4.5764379499293462E-3</v>
      </c>
      <c r="G483" s="7"/>
      <c r="H483" s="7">
        <f t="shared" si="13"/>
        <v>9.7107663081383855E-3</v>
      </c>
      <c r="I483" s="7">
        <f t="shared" si="13"/>
        <v>-1.9891042732991249E-3</v>
      </c>
      <c r="J483" s="7">
        <f t="shared" si="13"/>
        <v>2.3152289343118193E-2</v>
      </c>
      <c r="K483" s="7">
        <f t="shared" si="13"/>
        <v>1.0980447416726102E-2</v>
      </c>
      <c r="L483" s="7"/>
    </row>
    <row r="484" spans="1:12" x14ac:dyDescent="0.25">
      <c r="A484" s="2" t="s">
        <v>628</v>
      </c>
      <c r="B484" s="7">
        <v>1.2757724167120177E-2</v>
      </c>
      <c r="C484" s="7">
        <v>-1.0528673835125457E-2</v>
      </c>
      <c r="D484" s="7">
        <v>3.1055900621117516E-3</v>
      </c>
      <c r="E484" s="7">
        <v>2.9230548789224597E-2</v>
      </c>
      <c r="F484" s="7">
        <v>2.129946455513565E-4</v>
      </c>
      <c r="G484" s="7"/>
      <c r="H484" s="7">
        <f t="shared" si="13"/>
        <v>1.254472952156882E-2</v>
      </c>
      <c r="I484" s="7">
        <f t="shared" si="13"/>
        <v>-1.0741668480676814E-2</v>
      </c>
      <c r="J484" s="7">
        <f t="shared" si="13"/>
        <v>2.8925954165603951E-3</v>
      </c>
      <c r="K484" s="7">
        <f t="shared" si="13"/>
        <v>2.9017554143673241E-2</v>
      </c>
      <c r="L484" s="7"/>
    </row>
    <row r="485" spans="1:12" x14ac:dyDescent="0.25">
      <c r="A485" s="2" t="s">
        <v>629</v>
      </c>
      <c r="B485" s="7">
        <v>6.3891931361810261E-3</v>
      </c>
      <c r="C485" s="7">
        <v>4.0485829959513442E-3</v>
      </c>
      <c r="D485" s="7">
        <v>3.1152647975078995E-3</v>
      </c>
      <c r="E485" s="7">
        <v>2.5870939291489092E-2</v>
      </c>
      <c r="F485" s="7">
        <v>1.1964634973855359E-2</v>
      </c>
      <c r="G485" s="7"/>
      <c r="H485" s="7">
        <f t="shared" si="13"/>
        <v>-5.5754418376743331E-3</v>
      </c>
      <c r="I485" s="7">
        <f t="shared" si="13"/>
        <v>-7.916051977904015E-3</v>
      </c>
      <c r="J485" s="7">
        <f t="shared" si="13"/>
        <v>-8.8493701763474597E-3</v>
      </c>
      <c r="K485" s="7">
        <f t="shared" si="13"/>
        <v>1.3906304317633733E-2</v>
      </c>
      <c r="L485" s="7"/>
    </row>
    <row r="486" spans="1:12" x14ac:dyDescent="0.25">
      <c r="A486" s="2" t="s">
        <v>97</v>
      </c>
      <c r="B486" s="7">
        <v>5.0761421319798217E-3</v>
      </c>
      <c r="C486" s="7">
        <v>3.8383382253330822E-3</v>
      </c>
      <c r="D486" s="7">
        <v>-9.2592592592593004E-3</v>
      </c>
      <c r="E486" s="7">
        <v>2.3315282791817049E-2</v>
      </c>
      <c r="F486" s="7">
        <v>8.7312244450128418E-3</v>
      </c>
      <c r="G486" s="7"/>
      <c r="H486" s="7">
        <f t="shared" si="13"/>
        <v>-3.6550823130330201E-3</v>
      </c>
      <c r="I486" s="7">
        <f t="shared" si="13"/>
        <v>-4.8928862196797596E-3</v>
      </c>
      <c r="J486" s="7">
        <f t="shared" si="13"/>
        <v>-1.7990483704272142E-2</v>
      </c>
      <c r="K486" s="7">
        <f t="shared" si="13"/>
        <v>1.4584058346804207E-2</v>
      </c>
      <c r="L486" s="7"/>
    </row>
    <row r="487" spans="1:12" x14ac:dyDescent="0.25">
      <c r="A487" s="2" t="s">
        <v>630</v>
      </c>
      <c r="B487" s="7">
        <v>-1.220322600132917E-2</v>
      </c>
      <c r="C487" s="7">
        <v>8.6540651332271956E-3</v>
      </c>
      <c r="D487" s="7">
        <v>6.2111801242235032E-3</v>
      </c>
      <c r="E487" s="7">
        <v>2.8661939960779037E-3</v>
      </c>
      <c r="F487" s="7">
        <v>-8.7585210491867294E-3</v>
      </c>
      <c r="G487" s="7"/>
      <c r="H487" s="7">
        <f t="shared" si="13"/>
        <v>-3.4447049521424411E-3</v>
      </c>
      <c r="I487" s="7">
        <f t="shared" si="13"/>
        <v>1.7412586182413925E-2</v>
      </c>
      <c r="J487" s="7">
        <f t="shared" si="13"/>
        <v>1.4969701173410233E-2</v>
      </c>
      <c r="K487" s="7">
        <f t="shared" si="13"/>
        <v>1.1624715045264633E-2</v>
      </c>
      <c r="L487" s="7"/>
    </row>
    <row r="488" spans="1:12" x14ac:dyDescent="0.25">
      <c r="A488" s="2" t="s">
        <v>631</v>
      </c>
      <c r="B488" s="7">
        <v>-5.7063911580970128E-3</v>
      </c>
      <c r="C488" s="7">
        <v>5.6109011794343022E-3</v>
      </c>
      <c r="D488" s="7">
        <v>-1.8292682926829174E-2</v>
      </c>
      <c r="E488" s="7">
        <v>7.5483091787464929E-4</v>
      </c>
      <c r="F488" s="7">
        <v>-2.2081912146246774E-3</v>
      </c>
      <c r="G488" s="7"/>
      <c r="H488" s="7">
        <f t="shared" si="13"/>
        <v>-3.4981999434723354E-3</v>
      </c>
      <c r="I488" s="7">
        <f t="shared" si="13"/>
        <v>7.8190923940589796E-3</v>
      </c>
      <c r="J488" s="7">
        <f t="shared" si="13"/>
        <v>-1.6084491712204496E-2</v>
      </c>
      <c r="K488" s="7">
        <f t="shared" si="13"/>
        <v>2.9630221324993267E-3</v>
      </c>
      <c r="L488" s="7"/>
    </row>
    <row r="489" spans="1:12" x14ac:dyDescent="0.25">
      <c r="A489" s="2" t="s">
        <v>632</v>
      </c>
      <c r="B489" s="7">
        <v>-8.1620494489127449E-3</v>
      </c>
      <c r="C489" s="7">
        <v>-9.152270907218929E-4</v>
      </c>
      <c r="D489" s="7">
        <v>3.0581039755350758E-3</v>
      </c>
      <c r="E489" s="7">
        <v>-1.1343283582089581E-2</v>
      </c>
      <c r="F489" s="7">
        <v>-5.780564238499708E-3</v>
      </c>
      <c r="G489" s="7"/>
      <c r="H489" s="7">
        <f t="shared" si="13"/>
        <v>-2.3814852104130368E-3</v>
      </c>
      <c r="I489" s="7">
        <f t="shared" si="13"/>
        <v>4.8653371477778151E-3</v>
      </c>
      <c r="J489" s="7">
        <f t="shared" si="13"/>
        <v>8.8386682140347839E-3</v>
      </c>
      <c r="K489" s="7">
        <f t="shared" si="13"/>
        <v>-5.5627193435898725E-3</v>
      </c>
      <c r="L489" s="7"/>
    </row>
    <row r="490" spans="1:12" x14ac:dyDescent="0.25">
      <c r="A490" s="2" t="s">
        <v>633</v>
      </c>
      <c r="B490" s="7">
        <v>-1.9166715362589848E-2</v>
      </c>
      <c r="C490" s="7">
        <v>-2.7381631488877511E-3</v>
      </c>
      <c r="D490" s="7">
        <v>0</v>
      </c>
      <c r="E490" s="7">
        <v>-1.4271001912608439E-2</v>
      </c>
      <c r="F490" s="7">
        <v>-2.056572537150636E-3</v>
      </c>
      <c r="G490" s="7"/>
      <c r="H490" s="7">
        <f t="shared" si="13"/>
        <v>-1.7110142825439212E-2</v>
      </c>
      <c r="I490" s="7">
        <f t="shared" si="13"/>
        <v>-6.815906117371151E-4</v>
      </c>
      <c r="J490" s="7">
        <f t="shared" si="13"/>
        <v>2.056572537150636E-3</v>
      </c>
      <c r="K490" s="7">
        <f t="shared" si="13"/>
        <v>-1.2214429375457803E-2</v>
      </c>
      <c r="L490" s="7"/>
    </row>
    <row r="491" spans="1:12" x14ac:dyDescent="0.25">
      <c r="A491" s="2" t="s">
        <v>98</v>
      </c>
      <c r="B491" s="7">
        <v>-2.1890717878372268E-2</v>
      </c>
      <c r="C491" s="7">
        <v>-1.1407711613042881E-4</v>
      </c>
      <c r="D491" s="7">
        <v>-1.2084592145015116E-2</v>
      </c>
      <c r="E491" s="7">
        <v>-9.3280862847981982E-3</v>
      </c>
      <c r="F491" s="7">
        <v>-1.2021290507689297E-2</v>
      </c>
      <c r="G491" s="7"/>
      <c r="H491" s="7">
        <f t="shared" si="13"/>
        <v>-9.8694273706829705E-3</v>
      </c>
      <c r="I491" s="7">
        <f t="shared" si="13"/>
        <v>1.1907213391558868E-2</v>
      </c>
      <c r="J491" s="7">
        <f t="shared" si="13"/>
        <v>-6.3301637325818838E-5</v>
      </c>
      <c r="K491" s="7">
        <f t="shared" si="13"/>
        <v>2.6932042228910991E-3</v>
      </c>
      <c r="L491" s="7"/>
    </row>
    <row r="492" spans="1:12" x14ac:dyDescent="0.25">
      <c r="A492" s="2" t="s">
        <v>634</v>
      </c>
      <c r="B492" s="7">
        <v>8.6475268073331613E-3</v>
      </c>
      <c r="C492" s="7">
        <v>-2.012072434607648E-2</v>
      </c>
      <c r="D492" s="7">
        <v>-2.359882005899705E-2</v>
      </c>
      <c r="E492" s="7">
        <v>-4.7612437534703012E-2</v>
      </c>
      <c r="F492" s="7">
        <v>-1.4550707243232486E-2</v>
      </c>
      <c r="G492" s="7"/>
      <c r="H492" s="7">
        <f t="shared" si="13"/>
        <v>2.3198234050565647E-2</v>
      </c>
      <c r="I492" s="7">
        <f t="shared" si="13"/>
        <v>-5.5700171028439938E-3</v>
      </c>
      <c r="J492" s="7">
        <f t="shared" si="13"/>
        <v>-9.0481128157645641E-3</v>
      </c>
      <c r="K492" s="7">
        <f t="shared" si="13"/>
        <v>-3.3061730291470526E-2</v>
      </c>
      <c r="L492" s="7"/>
    </row>
    <row r="493" spans="1:12" x14ac:dyDescent="0.25">
      <c r="A493" s="2" t="s">
        <v>635</v>
      </c>
      <c r="B493" s="7">
        <v>4.3242918145185438E-2</v>
      </c>
      <c r="C493" s="7">
        <v>5.9597436185763186E-3</v>
      </c>
      <c r="D493" s="7">
        <v>1.8018018018018056E-2</v>
      </c>
      <c r="E493" s="7">
        <v>3.4823791614431165E-3</v>
      </c>
      <c r="F493" s="7">
        <v>7.4448130464439544E-3</v>
      </c>
      <c r="G493" s="7"/>
      <c r="H493" s="7">
        <f t="shared" si="13"/>
        <v>3.5798105098741484E-2</v>
      </c>
      <c r="I493" s="7">
        <f t="shared" si="13"/>
        <v>-1.4850694278676357E-3</v>
      </c>
      <c r="J493" s="7">
        <f t="shared" si="13"/>
        <v>1.0573204971574102E-2</v>
      </c>
      <c r="K493" s="7">
        <f t="shared" si="13"/>
        <v>-3.9624338850008378E-3</v>
      </c>
      <c r="L493" s="7"/>
    </row>
    <row r="494" spans="1:12" x14ac:dyDescent="0.25">
      <c r="A494" s="2" t="s">
        <v>636</v>
      </c>
      <c r="B494" s="7">
        <v>-1.112168431069338E-2</v>
      </c>
      <c r="C494" s="7">
        <v>2.2494657518845607E-4</v>
      </c>
      <c r="D494" s="7">
        <v>6.0422960725075026E-3</v>
      </c>
      <c r="E494" s="7">
        <v>2.1921708185053568E-2</v>
      </c>
      <c r="F494" s="7">
        <v>-9.4569771838668437E-3</v>
      </c>
      <c r="G494" s="7"/>
      <c r="H494" s="7">
        <f t="shared" si="13"/>
        <v>-1.6647071268265368E-3</v>
      </c>
      <c r="I494" s="7">
        <f t="shared" si="13"/>
        <v>9.6819237590552998E-3</v>
      </c>
      <c r="J494" s="7">
        <f t="shared" si="13"/>
        <v>1.5499273256374346E-2</v>
      </c>
      <c r="K494" s="7">
        <f t="shared" si="13"/>
        <v>3.1378685368920411E-2</v>
      </c>
      <c r="L494" s="7"/>
    </row>
    <row r="495" spans="1:12" x14ac:dyDescent="0.25">
      <c r="A495" s="2" t="s">
        <v>637</v>
      </c>
      <c r="B495" s="7">
        <v>7.2485472952732444E-3</v>
      </c>
      <c r="C495" s="7">
        <v>7.36460457738497E-3</v>
      </c>
      <c r="D495" s="7">
        <v>-1.1940298507462699E-2</v>
      </c>
      <c r="E495" s="7">
        <v>1.7820921472037066E-2</v>
      </c>
      <c r="F495" s="7">
        <v>1.4454894769517779E-3</v>
      </c>
      <c r="G495" s="7"/>
      <c r="H495" s="7">
        <f t="shared" si="13"/>
        <v>5.8030578183214665E-3</v>
      </c>
      <c r="I495" s="7">
        <f t="shared" si="13"/>
        <v>5.9191151004331921E-3</v>
      </c>
      <c r="J495" s="7">
        <f t="shared" si="13"/>
        <v>-1.3385787984414477E-2</v>
      </c>
      <c r="K495" s="7">
        <f t="shared" si="13"/>
        <v>1.6375431995085288E-2</v>
      </c>
      <c r="L495" s="7"/>
    </row>
    <row r="496" spans="1:12" x14ac:dyDescent="0.25">
      <c r="A496" s="2" t="s">
        <v>99</v>
      </c>
      <c r="B496" s="7">
        <v>-6.6646831300208875E-3</v>
      </c>
      <c r="C496" s="7">
        <v>9.9553724682457378E-3</v>
      </c>
      <c r="D496" s="7">
        <v>-2.0467836257309857E-2</v>
      </c>
      <c r="E496" s="7">
        <v>7.2495287806284558E-4</v>
      </c>
      <c r="F496" s="7">
        <v>-3.7468728023148934E-4</v>
      </c>
      <c r="G496" s="7"/>
      <c r="H496" s="7">
        <f t="shared" si="13"/>
        <v>-6.2899958497893982E-3</v>
      </c>
      <c r="I496" s="7">
        <f t="shared" si="13"/>
        <v>1.0330059748477227E-2</v>
      </c>
      <c r="J496" s="7">
        <f t="shared" si="13"/>
        <v>-2.0093148977078368E-2</v>
      </c>
      <c r="K496" s="7">
        <f t="shared" si="13"/>
        <v>1.0996401582943349E-3</v>
      </c>
      <c r="L496" s="7"/>
    </row>
    <row r="497" spans="1:12" x14ac:dyDescent="0.25">
      <c r="A497" s="2" t="s">
        <v>638</v>
      </c>
      <c r="B497" s="7">
        <v>4.4829647340107748E-3</v>
      </c>
      <c r="C497" s="7">
        <v>5.4072710538426438E-3</v>
      </c>
      <c r="D497" s="7">
        <v>0</v>
      </c>
      <c r="E497" s="7">
        <v>-4.0433212996390244E-3</v>
      </c>
      <c r="F497" s="7">
        <v>1.1099216857287653E-2</v>
      </c>
      <c r="G497" s="7"/>
      <c r="H497" s="7">
        <f t="shared" si="13"/>
        <v>-6.6162521232768778E-3</v>
      </c>
      <c r="I497" s="7">
        <f t="shared" si="13"/>
        <v>-5.6919458034450088E-3</v>
      </c>
      <c r="J497" s="7">
        <f t="shared" si="13"/>
        <v>-1.1099216857287653E-2</v>
      </c>
      <c r="K497" s="7">
        <f t="shared" si="13"/>
        <v>-1.5142538156926677E-2</v>
      </c>
      <c r="L497" s="7"/>
    </row>
    <row r="498" spans="1:12" x14ac:dyDescent="0.25">
      <c r="A498" s="2" t="s">
        <v>639</v>
      </c>
      <c r="B498" s="7">
        <v>-4.8774684748988939E-3</v>
      </c>
      <c r="C498" s="7">
        <v>-2.8501173577735517E-2</v>
      </c>
      <c r="D498" s="7">
        <v>-5.8139534883721034E-3</v>
      </c>
      <c r="E498" s="7">
        <v>-6.7412507171543679E-3</v>
      </c>
      <c r="F498" s="7">
        <v>-1.2334284436888443E-2</v>
      </c>
      <c r="G498" s="7"/>
      <c r="H498" s="7">
        <f t="shared" si="13"/>
        <v>7.4568159619895491E-3</v>
      </c>
      <c r="I498" s="7">
        <f t="shared" si="13"/>
        <v>-1.6166889140847074E-2</v>
      </c>
      <c r="J498" s="7">
        <f t="shared" si="13"/>
        <v>6.5203309485163397E-3</v>
      </c>
      <c r="K498" s="7">
        <f t="shared" si="13"/>
        <v>5.5930337197340751E-3</v>
      </c>
      <c r="L498" s="7"/>
    </row>
    <row r="499" spans="1:12" x14ac:dyDescent="0.25">
      <c r="A499" s="2" t="s">
        <v>640</v>
      </c>
      <c r="B499" s="7">
        <v>4.7812574707148947E-3</v>
      </c>
      <c r="C499" s="7">
        <v>3.8146527544036246E-3</v>
      </c>
      <c r="D499" s="7">
        <v>1.4749262536873031E-2</v>
      </c>
      <c r="E499" s="7">
        <v>-5.9880239520958556E-3</v>
      </c>
      <c r="F499" s="7">
        <v>1.0910886106099138E-3</v>
      </c>
      <c r="G499" s="7"/>
      <c r="H499" s="7">
        <f t="shared" si="13"/>
        <v>3.6901688601049809E-3</v>
      </c>
      <c r="I499" s="7">
        <f t="shared" si="13"/>
        <v>2.7235641437937108E-3</v>
      </c>
      <c r="J499" s="7">
        <f t="shared" si="13"/>
        <v>1.3658173926263117E-2</v>
      </c>
      <c r="K499" s="7">
        <f t="shared" si="13"/>
        <v>-7.0791125627057694E-3</v>
      </c>
      <c r="L499" s="7"/>
    </row>
    <row r="500" spans="1:12" x14ac:dyDescent="0.25">
      <c r="A500" s="2" t="s">
        <v>641</v>
      </c>
      <c r="B500" s="7">
        <v>-7.0029673590504826E-3</v>
      </c>
      <c r="C500" s="7">
        <v>-1.2519388433414713E-2</v>
      </c>
      <c r="D500" s="7">
        <v>-1.1661807580174988E-2</v>
      </c>
      <c r="E500" s="7">
        <v>-6.7969413763806497E-3</v>
      </c>
      <c r="F500" s="7">
        <v>-7.2390665494481699E-3</v>
      </c>
      <c r="G500" s="7"/>
      <c r="H500" s="7">
        <f t="shared" si="13"/>
        <v>2.3609919039768723E-4</v>
      </c>
      <c r="I500" s="7">
        <f t="shared" si="13"/>
        <v>-5.2803218839665433E-3</v>
      </c>
      <c r="J500" s="7">
        <f t="shared" si="13"/>
        <v>-4.4227410307268178E-3</v>
      </c>
      <c r="K500" s="7">
        <f t="shared" si="13"/>
        <v>4.4212517306752019E-4</v>
      </c>
      <c r="L500" s="7"/>
    </row>
    <row r="501" spans="1:12" x14ac:dyDescent="0.25">
      <c r="A501" s="2" t="s">
        <v>100</v>
      </c>
      <c r="B501" s="7">
        <v>-8.4152298005061299E-3</v>
      </c>
      <c r="C501" s="7">
        <v>6.0136246182757924E-2</v>
      </c>
      <c r="D501" s="7">
        <v>2.6946107784431295E-2</v>
      </c>
      <c r="E501" s="7">
        <v>1.4072372199885219E-2</v>
      </c>
      <c r="F501" s="7">
        <v>-2.0135697089078697E-3</v>
      </c>
      <c r="G501" s="7"/>
      <c r="H501" s="7">
        <f t="shared" si="13"/>
        <v>-6.4016600915982602E-3</v>
      </c>
      <c r="I501" s="7">
        <f t="shared" si="13"/>
        <v>6.2149815891665794E-2</v>
      </c>
      <c r="J501" s="7">
        <f t="shared" si="13"/>
        <v>2.8959677493339164E-2</v>
      </c>
      <c r="K501" s="7">
        <f t="shared" si="13"/>
        <v>1.6085941908793089E-2</v>
      </c>
      <c r="L501" s="7"/>
    </row>
    <row r="502" spans="1:12" x14ac:dyDescent="0.25">
      <c r="A502" s="2" t="s">
        <v>642</v>
      </c>
      <c r="B502" s="7">
        <v>-1.0596797671033387E-2</v>
      </c>
      <c r="C502" s="7">
        <v>1.4054311576941592E-2</v>
      </c>
      <c r="D502" s="7">
        <v>3.0030030030030463E-3</v>
      </c>
      <c r="E502" s="7">
        <v>1.074020319303326E-2</v>
      </c>
      <c r="F502" s="7">
        <v>1.1165116061955249E-3</v>
      </c>
      <c r="G502" s="7"/>
      <c r="H502" s="7">
        <f t="shared" si="13"/>
        <v>-1.1713309277228912E-2</v>
      </c>
      <c r="I502" s="7">
        <f t="shared" si="13"/>
        <v>1.2937799970746067E-2</v>
      </c>
      <c r="J502" s="7">
        <f t="shared" si="13"/>
        <v>1.8864913968075214E-3</v>
      </c>
      <c r="K502" s="7">
        <f t="shared" si="13"/>
        <v>9.6236915868377348E-3</v>
      </c>
      <c r="L502" s="7"/>
    </row>
    <row r="503" spans="1:12" x14ac:dyDescent="0.25">
      <c r="A503" s="2" t="s">
        <v>643</v>
      </c>
      <c r="B503" s="7">
        <v>2.1227256510881087E-2</v>
      </c>
      <c r="C503" s="7">
        <v>1.9179412478756985E-2</v>
      </c>
      <c r="D503" s="7">
        <v>1.2158054711246313E-2</v>
      </c>
      <c r="E503" s="7">
        <v>1.4534883720931369E-3</v>
      </c>
      <c r="F503" s="7">
        <v>8.6305966277062662E-3</v>
      </c>
      <c r="G503" s="7"/>
      <c r="H503" s="7">
        <f t="shared" si="13"/>
        <v>1.2596659883174821E-2</v>
      </c>
      <c r="I503" s="7">
        <f t="shared" si="13"/>
        <v>1.0548815851050719E-2</v>
      </c>
      <c r="J503" s="7">
        <f t="shared" si="13"/>
        <v>3.5274580835400471E-3</v>
      </c>
      <c r="K503" s="7">
        <f t="shared" si="13"/>
        <v>-7.1771082556131294E-3</v>
      </c>
      <c r="L503" s="7"/>
    </row>
    <row r="504" spans="1:12" x14ac:dyDescent="0.25">
      <c r="A504" s="2" t="s">
        <v>644</v>
      </c>
      <c r="B504" s="7">
        <v>-6.6741480125214192E-3</v>
      </c>
      <c r="C504" s="7">
        <v>-2.115019011406849E-2</v>
      </c>
      <c r="D504" s="7">
        <v>-1.2012012012012074E-2</v>
      </c>
      <c r="E504" s="7">
        <v>2.9078220412914746E-4</v>
      </c>
      <c r="F504" s="7">
        <v>-2.7998213940082506E-3</v>
      </c>
      <c r="G504" s="7"/>
      <c r="H504" s="7">
        <f t="shared" si="13"/>
        <v>-3.8743266185131686E-3</v>
      </c>
      <c r="I504" s="7">
        <f t="shared" si="13"/>
        <v>-1.8350368720060239E-2</v>
      </c>
      <c r="J504" s="7">
        <f t="shared" si="13"/>
        <v>-9.2121906180038238E-3</v>
      </c>
      <c r="K504" s="7">
        <f t="shared" si="13"/>
        <v>3.090603598137398E-3</v>
      </c>
      <c r="L504" s="7"/>
    </row>
    <row r="505" spans="1:12" x14ac:dyDescent="0.25">
      <c r="A505" s="2" t="s">
        <v>101</v>
      </c>
      <c r="B505" s="7">
        <v>-8.317226029403102E-3</v>
      </c>
      <c r="C505" s="7">
        <v>-1.8084237545210602E-2</v>
      </c>
      <c r="D505" s="7">
        <v>-5.9701492537312939E-3</v>
      </c>
      <c r="E505" s="7">
        <v>-9.2192451743013937E-3</v>
      </c>
      <c r="F505" s="7">
        <v>-3.0549197773100945E-3</v>
      </c>
      <c r="G505" s="7"/>
      <c r="H505" s="7">
        <f t="shared" si="13"/>
        <v>-5.2623062520930075E-3</v>
      </c>
      <c r="I505" s="7">
        <f t="shared" si="13"/>
        <v>-1.5029317767900507E-2</v>
      </c>
      <c r="J505" s="7">
        <f t="shared" si="13"/>
        <v>-2.9152294764211995E-3</v>
      </c>
      <c r="K505" s="7">
        <f t="shared" si="13"/>
        <v>-6.1643253969912992E-3</v>
      </c>
      <c r="L505" s="7"/>
    </row>
    <row r="506" spans="1:12" x14ac:dyDescent="0.25">
      <c r="A506" s="2" t="s">
        <v>645</v>
      </c>
      <c r="B506" s="7">
        <v>5.3586150041220471E-3</v>
      </c>
      <c r="C506" s="7">
        <v>-1.0162836355237403E-2</v>
      </c>
      <c r="D506" s="7">
        <v>-1.7595307917888547E-2</v>
      </c>
      <c r="E506" s="7">
        <v>-2.3079088094567934E-2</v>
      </c>
      <c r="F506" s="7">
        <v>-1.4022623165372838E-3</v>
      </c>
      <c r="G506" s="7"/>
      <c r="H506" s="7">
        <f t="shared" si="13"/>
        <v>6.7608773206593309E-3</v>
      </c>
      <c r="I506" s="7">
        <f t="shared" si="13"/>
        <v>-8.7605740387001196E-3</v>
      </c>
      <c r="J506" s="7">
        <f t="shared" si="13"/>
        <v>-1.6193045601351264E-2</v>
      </c>
      <c r="K506" s="7">
        <f t="shared" si="13"/>
        <v>-2.1676825778030651E-2</v>
      </c>
      <c r="L506" s="7"/>
    </row>
    <row r="507" spans="1:12" x14ac:dyDescent="0.25">
      <c r="A507" s="2" t="s">
        <v>646</v>
      </c>
      <c r="B507" s="7">
        <v>-4.0890093753529921E-2</v>
      </c>
      <c r="C507" s="7">
        <v>-2.1894445724821576E-3</v>
      </c>
      <c r="D507" s="7">
        <v>3.9634146341463561E-2</v>
      </c>
      <c r="E507" s="7">
        <v>-4.761904761904856E-3</v>
      </c>
      <c r="F507" s="7">
        <v>3.2365990253835353E-3</v>
      </c>
      <c r="G507" s="7"/>
      <c r="H507" s="7">
        <f t="shared" si="13"/>
        <v>-4.4126692778913457E-2</v>
      </c>
      <c r="I507" s="7">
        <f t="shared" si="13"/>
        <v>-5.4260435978656929E-3</v>
      </c>
      <c r="J507" s="7">
        <f t="shared" si="13"/>
        <v>3.6397547316080026E-2</v>
      </c>
      <c r="K507" s="7">
        <f t="shared" si="13"/>
        <v>-7.9985037872883913E-3</v>
      </c>
      <c r="L507" s="7"/>
    </row>
    <row r="508" spans="1:12" x14ac:dyDescent="0.25">
      <c r="A508" s="2" t="s">
        <v>647</v>
      </c>
      <c r="B508" s="7">
        <v>1.4728637744283235E-2</v>
      </c>
      <c r="C508" s="7">
        <v>2.6496333096758917E-2</v>
      </c>
      <c r="D508" s="7">
        <v>-9.0634441087613649E-3</v>
      </c>
      <c r="E508" s="7">
        <v>1.0472686102462658E-2</v>
      </c>
      <c r="F508" s="7">
        <v>8.9041056211149883E-3</v>
      </c>
      <c r="G508" s="7"/>
      <c r="H508" s="7">
        <f t="shared" si="13"/>
        <v>5.8245321231682468E-3</v>
      </c>
      <c r="I508" s="7">
        <f t="shared" si="13"/>
        <v>1.7592227475643929E-2</v>
      </c>
      <c r="J508" s="7">
        <f t="shared" si="13"/>
        <v>-1.7967549729876353E-2</v>
      </c>
      <c r="K508" s="7">
        <f t="shared" si="13"/>
        <v>1.56858048134767E-3</v>
      </c>
      <c r="L508" s="7"/>
    </row>
    <row r="509" spans="1:12" x14ac:dyDescent="0.25">
      <c r="A509" s="2" t="s">
        <v>648</v>
      </c>
      <c r="B509" s="7">
        <v>1.3592796979378541E-2</v>
      </c>
      <c r="C509" s="7">
        <v>4.9928673323822448E-3</v>
      </c>
      <c r="D509" s="7">
        <v>-6.0060060060059817E-3</v>
      </c>
      <c r="E509" s="7">
        <v>-1.4132278123234476E-3</v>
      </c>
      <c r="F509" s="7">
        <v>5.6491799076401339E-3</v>
      </c>
      <c r="G509" s="7"/>
      <c r="H509" s="7">
        <f t="shared" si="13"/>
        <v>7.9436170717384069E-3</v>
      </c>
      <c r="I509" s="7">
        <f t="shared" si="13"/>
        <v>-6.5631257525788911E-4</v>
      </c>
      <c r="J509" s="7">
        <f t="shared" si="13"/>
        <v>-1.1655185913646116E-2</v>
      </c>
      <c r="K509" s="7">
        <f t="shared" si="13"/>
        <v>-7.0624077199635815E-3</v>
      </c>
      <c r="L509" s="7"/>
    </row>
    <row r="510" spans="1:12" x14ac:dyDescent="0.25">
      <c r="A510" s="2" t="s">
        <v>102</v>
      </c>
      <c r="B510" s="7">
        <v>6.3720332047234596E-3</v>
      </c>
      <c r="C510" s="7">
        <v>-1.8984337921215122E-3</v>
      </c>
      <c r="D510" s="7">
        <v>-8.9285714285713969E-3</v>
      </c>
      <c r="E510" s="7">
        <v>1.415227851684131E-3</v>
      </c>
      <c r="F510" s="7">
        <v>6.3180440445644859E-3</v>
      </c>
      <c r="G510" s="7"/>
      <c r="H510" s="7">
        <f t="shared" si="13"/>
        <v>5.3989160158973704E-5</v>
      </c>
      <c r="I510" s="7">
        <f t="shared" si="13"/>
        <v>-8.2164778366859981E-3</v>
      </c>
      <c r="J510" s="7">
        <f t="shared" si="13"/>
        <v>-1.5246615473135883E-2</v>
      </c>
      <c r="K510" s="7">
        <f t="shared" si="13"/>
        <v>-4.9028161928803549E-3</v>
      </c>
      <c r="L510" s="7"/>
    </row>
    <row r="511" spans="1:12" x14ac:dyDescent="0.25">
      <c r="A511" s="2" t="s">
        <v>649</v>
      </c>
      <c r="B511" s="7">
        <v>-2.216518898740083E-3</v>
      </c>
      <c r="C511" s="7">
        <v>1.8120318917612899E-2</v>
      </c>
      <c r="D511" s="7">
        <v>0</v>
      </c>
      <c r="E511" s="7">
        <v>2.8312570781419133E-4</v>
      </c>
      <c r="F511" s="7">
        <v>-6.4828909150214109E-3</v>
      </c>
      <c r="G511" s="7"/>
      <c r="H511" s="7">
        <f t="shared" si="13"/>
        <v>4.2663720162813279E-3</v>
      </c>
      <c r="I511" s="7">
        <f t="shared" si="13"/>
        <v>2.460320983263431E-2</v>
      </c>
      <c r="J511" s="7">
        <f t="shared" si="13"/>
        <v>6.4828909150214109E-3</v>
      </c>
      <c r="K511" s="7">
        <f t="shared" si="13"/>
        <v>6.7660166228356022E-3</v>
      </c>
      <c r="L511" s="7"/>
    </row>
    <row r="512" spans="1:12" x14ac:dyDescent="0.25">
      <c r="A512" s="2" t="s">
        <v>650</v>
      </c>
      <c r="B512" s="7">
        <v>1.090866206733887E-2</v>
      </c>
      <c r="C512" s="7">
        <v>-9.0974383528849012E-3</v>
      </c>
      <c r="D512" s="7">
        <v>9.009009009008917E-3</v>
      </c>
      <c r="E512" s="7">
        <v>-3.9173014145810647E-2</v>
      </c>
      <c r="F512" s="7">
        <v>-2.871076469757039E-3</v>
      </c>
      <c r="G512" s="7"/>
      <c r="H512" s="7">
        <f t="shared" si="13"/>
        <v>1.3779738537095909E-2</v>
      </c>
      <c r="I512" s="7">
        <f t="shared" si="13"/>
        <v>-6.2263618831278622E-3</v>
      </c>
      <c r="J512" s="7">
        <f t="shared" si="13"/>
        <v>1.1880085478765956E-2</v>
      </c>
      <c r="K512" s="7">
        <f t="shared" si="13"/>
        <v>-3.6301937676053608E-2</v>
      </c>
      <c r="L512" s="7"/>
    </row>
    <row r="513" spans="1:12" x14ac:dyDescent="0.25">
      <c r="A513" s="2" t="s">
        <v>651</v>
      </c>
      <c r="B513" s="7">
        <v>-1.2116269586998185E-2</v>
      </c>
      <c r="C513" s="7">
        <v>5.4265522463402549E-2</v>
      </c>
      <c r="D513" s="7">
        <v>-2.9940119760478723E-3</v>
      </c>
      <c r="E513" s="7">
        <v>4.3715846994534235E-3</v>
      </c>
      <c r="F513" s="7">
        <v>-1.9245372705192221E-3</v>
      </c>
      <c r="G513" s="7"/>
      <c r="H513" s="7">
        <f t="shared" si="13"/>
        <v>-1.0191732316478963E-2</v>
      </c>
      <c r="I513" s="7">
        <f t="shared" si="13"/>
        <v>5.6190059733921771E-2</v>
      </c>
      <c r="J513" s="7">
        <f t="shared" si="13"/>
        <v>-1.0694747055286502E-3</v>
      </c>
      <c r="K513" s="7">
        <f t="shared" si="13"/>
        <v>6.2961219699726456E-3</v>
      </c>
      <c r="L513" s="7"/>
    </row>
    <row r="514" spans="1:12" x14ac:dyDescent="0.25">
      <c r="A514" s="2" t="s">
        <v>652</v>
      </c>
      <c r="B514" s="7">
        <v>2.8039020970851425E-3</v>
      </c>
      <c r="C514" s="7">
        <v>4.9675453702477057E-2</v>
      </c>
      <c r="D514" s="7">
        <v>3.0030030030030463E-3</v>
      </c>
      <c r="E514" s="7">
        <v>1.5961138098542715E-2</v>
      </c>
      <c r="F514" s="7">
        <v>1.1201772588189884E-2</v>
      </c>
      <c r="G514" s="7"/>
      <c r="H514" s="7">
        <f t="shared" si="13"/>
        <v>-8.3978704911047419E-3</v>
      </c>
      <c r="I514" s="7">
        <f t="shared" si="13"/>
        <v>3.8473681114287173E-2</v>
      </c>
      <c r="J514" s="7">
        <f t="shared" si="13"/>
        <v>-8.1987695851868381E-3</v>
      </c>
      <c r="K514" s="7">
        <f t="shared" ref="K514:K577" si="14">E514-$F514</f>
        <v>4.759365510352831E-3</v>
      </c>
      <c r="L514" s="7"/>
    </row>
    <row r="515" spans="1:12" x14ac:dyDescent="0.25">
      <c r="A515" s="2" t="s">
        <v>103</v>
      </c>
      <c r="B515" s="7">
        <v>1.182102961167919E-2</v>
      </c>
      <c r="C515" s="7">
        <v>1.5921454159477655E-3</v>
      </c>
      <c r="D515" s="7">
        <v>-2.9940119760478723E-3</v>
      </c>
      <c r="E515" s="7">
        <v>1.7799124170080338E-2</v>
      </c>
      <c r="F515" s="7">
        <v>-1.1222380745127269E-3</v>
      </c>
      <c r="G515" s="7"/>
      <c r="H515" s="7">
        <f t="shared" ref="H515:K578" si="15">B515-$F515</f>
        <v>1.2943267686191917E-2</v>
      </c>
      <c r="I515" s="7">
        <f t="shared" si="15"/>
        <v>2.7143834904604924E-3</v>
      </c>
      <c r="J515" s="7">
        <f t="shared" si="15"/>
        <v>-1.8717739015351453E-3</v>
      </c>
      <c r="K515" s="7">
        <f t="shared" si="14"/>
        <v>1.8921362244593065E-2</v>
      </c>
      <c r="L515" s="7"/>
    </row>
    <row r="516" spans="1:12" x14ac:dyDescent="0.25">
      <c r="A516" s="2" t="s">
        <v>653</v>
      </c>
      <c r="B516" s="7">
        <v>1.0210174349176038E-2</v>
      </c>
      <c r="C516" s="7">
        <v>1.3718897108271788E-2</v>
      </c>
      <c r="D516" s="7">
        <v>-1.1834319526627279E-2</v>
      </c>
      <c r="E516" s="7">
        <v>1.3892867373245688E-2</v>
      </c>
      <c r="F516" s="7">
        <v>-6.5285339786247398E-3</v>
      </c>
      <c r="G516" s="7"/>
      <c r="H516" s="7">
        <f t="shared" si="15"/>
        <v>1.6738708327800778E-2</v>
      </c>
      <c r="I516" s="7">
        <f t="shared" si="15"/>
        <v>2.0247431086896528E-2</v>
      </c>
      <c r="J516" s="7">
        <f t="shared" si="15"/>
        <v>-5.3057855480025395E-3</v>
      </c>
      <c r="K516" s="7">
        <f t="shared" si="14"/>
        <v>2.0421401351870427E-2</v>
      </c>
      <c r="L516" s="7"/>
    </row>
    <row r="517" spans="1:12" x14ac:dyDescent="0.25">
      <c r="A517" s="2" t="s">
        <v>654</v>
      </c>
      <c r="B517" s="7">
        <v>-6.5636374485356086E-4</v>
      </c>
      <c r="C517" s="7">
        <v>1.0771509357747622E-3</v>
      </c>
      <c r="D517" s="7">
        <v>8.9552238805969964E-3</v>
      </c>
      <c r="E517" s="7">
        <v>-1.5787989850578055E-2</v>
      </c>
      <c r="F517" s="7">
        <v>1.0304108322428451E-2</v>
      </c>
      <c r="G517" s="7"/>
      <c r="H517" s="7">
        <f t="shared" si="15"/>
        <v>-1.0960472067282012E-2</v>
      </c>
      <c r="I517" s="7">
        <f t="shared" si="15"/>
        <v>-9.2269573866536891E-3</v>
      </c>
      <c r="J517" s="7">
        <f t="shared" si="15"/>
        <v>-1.348884441831455E-3</v>
      </c>
      <c r="K517" s="7">
        <f t="shared" si="14"/>
        <v>-2.6092098173006506E-2</v>
      </c>
      <c r="L517" s="7"/>
    </row>
    <row r="518" spans="1:12" x14ac:dyDescent="0.25">
      <c r="A518" s="2" t="s">
        <v>655</v>
      </c>
      <c r="B518" s="7">
        <v>-5.9315499139924732E-3</v>
      </c>
      <c r="C518" s="7">
        <v>-1.7473118279570654E-3</v>
      </c>
      <c r="D518" s="7">
        <v>6.0060060060060927E-3</v>
      </c>
      <c r="E518" s="7">
        <v>2.2779700115340251E-2</v>
      </c>
      <c r="F518" s="7">
        <v>5.1411300247115044E-3</v>
      </c>
      <c r="G518" s="7"/>
      <c r="H518" s="7">
        <f t="shared" si="15"/>
        <v>-1.1072679938703978E-2</v>
      </c>
      <c r="I518" s="7">
        <f t="shared" si="15"/>
        <v>-6.8884418526685698E-3</v>
      </c>
      <c r="J518" s="7">
        <f t="shared" si="15"/>
        <v>8.6487598129458831E-4</v>
      </c>
      <c r="K518" s="7">
        <f t="shared" si="14"/>
        <v>1.7638570090628747E-2</v>
      </c>
      <c r="L518" s="7"/>
    </row>
    <row r="519" spans="1:12" x14ac:dyDescent="0.25">
      <c r="A519" s="2" t="s">
        <v>656</v>
      </c>
      <c r="B519" s="7">
        <v>-2.8411710465652384E-2</v>
      </c>
      <c r="C519" s="7">
        <v>1.3623978201634968E-2</v>
      </c>
      <c r="D519" s="7">
        <v>0</v>
      </c>
      <c r="E519" s="7">
        <v>8.658008658009031E-4</v>
      </c>
      <c r="F519" s="7">
        <v>-1.0193044173106403E-2</v>
      </c>
      <c r="G519" s="7"/>
      <c r="H519" s="7">
        <f t="shared" si="15"/>
        <v>-1.8218666292545982E-2</v>
      </c>
      <c r="I519" s="7">
        <f t="shared" si="15"/>
        <v>2.381702237474137E-2</v>
      </c>
      <c r="J519" s="7">
        <f t="shared" si="15"/>
        <v>1.0193044173106403E-2</v>
      </c>
      <c r="K519" s="7">
        <f t="shared" si="14"/>
        <v>1.1058845038907306E-2</v>
      </c>
      <c r="L519" s="7"/>
    </row>
    <row r="520" spans="1:12" x14ac:dyDescent="0.25">
      <c r="A520" s="2" t="s">
        <v>104</v>
      </c>
      <c r="B520" s="7">
        <v>-2.5387553358795723E-2</v>
      </c>
      <c r="C520" s="7">
        <v>-4.6107946840248104E-3</v>
      </c>
      <c r="D520" s="7">
        <v>-3.1976744186046457E-2</v>
      </c>
      <c r="E520" s="7">
        <v>-3.5087719298245612E-2</v>
      </c>
      <c r="F520" s="7">
        <v>-1.1932849011501157E-3</v>
      </c>
      <c r="G520" s="7"/>
      <c r="H520" s="7">
        <f t="shared" si="15"/>
        <v>-2.4194268457645607E-2</v>
      </c>
      <c r="I520" s="7">
        <f t="shared" si="15"/>
        <v>-3.4175097828746948E-3</v>
      </c>
      <c r="J520" s="7">
        <f t="shared" si="15"/>
        <v>-3.0783459284896342E-2</v>
      </c>
      <c r="K520" s="7">
        <f t="shared" si="14"/>
        <v>-3.3894434397095496E-2</v>
      </c>
      <c r="L520" s="7"/>
    </row>
    <row r="521" spans="1:12" x14ac:dyDescent="0.25">
      <c r="A521" s="2" t="s">
        <v>657</v>
      </c>
      <c r="B521" s="7">
        <v>-6.029477445288145E-3</v>
      </c>
      <c r="C521" s="7">
        <v>-2.8397565922921864E-3</v>
      </c>
      <c r="D521" s="7">
        <v>2.0771513353115667E-2</v>
      </c>
      <c r="E521" s="7">
        <v>8.0000000000000071E-3</v>
      </c>
      <c r="F521" s="7">
        <v>8.0078174821975878E-3</v>
      </c>
      <c r="G521" s="7"/>
      <c r="H521" s="7">
        <f t="shared" si="15"/>
        <v>-1.4037294927485733E-2</v>
      </c>
      <c r="I521" s="7">
        <f t="shared" si="15"/>
        <v>-1.0847574074489774E-2</v>
      </c>
      <c r="J521" s="7">
        <f t="shared" si="15"/>
        <v>1.2763695870918079E-2</v>
      </c>
      <c r="K521" s="7">
        <f t="shared" si="14"/>
        <v>-7.8174821975807163E-6</v>
      </c>
      <c r="L521" s="7"/>
    </row>
    <row r="522" spans="1:12" x14ac:dyDescent="0.25">
      <c r="A522" s="2" t="s">
        <v>658</v>
      </c>
      <c r="B522" s="7">
        <v>-3.6711536322171501E-3</v>
      </c>
      <c r="C522" s="7">
        <v>7.2187414873332578E-3</v>
      </c>
      <c r="D522" s="7">
        <v>-1.7492711370262426E-2</v>
      </c>
      <c r="E522" s="7">
        <v>-7.521938988717225E-3</v>
      </c>
      <c r="F522" s="7">
        <v>5.229044372909275E-3</v>
      </c>
      <c r="G522" s="7"/>
      <c r="H522" s="7">
        <f t="shared" si="15"/>
        <v>-8.9001980051264251E-3</v>
      </c>
      <c r="I522" s="7">
        <f t="shared" si="15"/>
        <v>1.9896971144239828E-3</v>
      </c>
      <c r="J522" s="7">
        <f t="shared" si="15"/>
        <v>-2.2721755743171701E-2</v>
      </c>
      <c r="K522" s="7">
        <f t="shared" si="14"/>
        <v>-1.27509833616265E-2</v>
      </c>
      <c r="L522" s="7"/>
    </row>
    <row r="523" spans="1:12" x14ac:dyDescent="0.25">
      <c r="A523" s="2" t="s">
        <v>659</v>
      </c>
      <c r="B523" s="7">
        <v>-6.630566913471081E-3</v>
      </c>
      <c r="C523" s="7">
        <v>-9.043055743015227E-3</v>
      </c>
      <c r="D523" s="7">
        <v>1.479289940828421E-2</v>
      </c>
      <c r="E523" s="7">
        <v>-3.9727126805778501E-2</v>
      </c>
      <c r="F523" s="7">
        <v>-1.6580743494716277E-3</v>
      </c>
      <c r="G523" s="7"/>
      <c r="H523" s="7">
        <f t="shared" si="15"/>
        <v>-4.9724925639994533E-3</v>
      </c>
      <c r="I523" s="7">
        <f t="shared" si="15"/>
        <v>-7.3849813935435993E-3</v>
      </c>
      <c r="J523" s="7">
        <f t="shared" si="15"/>
        <v>1.6450973757755838E-2</v>
      </c>
      <c r="K523" s="7">
        <f t="shared" si="14"/>
        <v>-3.8069052456306873E-2</v>
      </c>
      <c r="L523" s="7"/>
    </row>
    <row r="524" spans="1:12" x14ac:dyDescent="0.25">
      <c r="A524" s="2" t="s">
        <v>660</v>
      </c>
      <c r="B524" s="7">
        <v>8.0766445719377966E-3</v>
      </c>
      <c r="C524" s="7">
        <v>5.2917232021709726E-3</v>
      </c>
      <c r="D524" s="7">
        <v>0</v>
      </c>
      <c r="E524" s="7">
        <v>1.5209125475285301E-2</v>
      </c>
      <c r="F524" s="7">
        <v>1.7062725735916828E-3</v>
      </c>
      <c r="G524" s="7"/>
      <c r="H524" s="7">
        <f t="shared" si="15"/>
        <v>6.3703719983461138E-3</v>
      </c>
      <c r="I524" s="7">
        <f t="shared" si="15"/>
        <v>3.5854506285792898E-3</v>
      </c>
      <c r="J524" s="7">
        <f t="shared" si="15"/>
        <v>-1.7062725735916828E-3</v>
      </c>
      <c r="K524" s="7">
        <f t="shared" si="14"/>
        <v>1.3502852901693618E-2</v>
      </c>
      <c r="L524" s="7"/>
    </row>
    <row r="525" spans="1:12" x14ac:dyDescent="0.25">
      <c r="A525" s="2" t="s">
        <v>105</v>
      </c>
      <c r="B525" s="7">
        <v>-7.4086360369326476E-3</v>
      </c>
      <c r="C525" s="7">
        <v>-8.2088547974700221E-3</v>
      </c>
      <c r="D525" s="7">
        <v>1.501501501501501E-2</v>
      </c>
      <c r="E525" s="7">
        <v>7.2493502940773613E-3</v>
      </c>
      <c r="F525" s="7">
        <v>-3.7867473667663187E-3</v>
      </c>
      <c r="G525" s="7"/>
      <c r="H525" s="7">
        <f t="shared" si="15"/>
        <v>-3.6218886701663289E-3</v>
      </c>
      <c r="I525" s="7">
        <f t="shared" si="15"/>
        <v>-4.4221074307037034E-3</v>
      </c>
      <c r="J525" s="7">
        <f t="shared" si="15"/>
        <v>1.8801762381781328E-2</v>
      </c>
      <c r="K525" s="7">
        <f t="shared" si="14"/>
        <v>1.103609766084368E-2</v>
      </c>
      <c r="L525" s="7"/>
    </row>
    <row r="526" spans="1:12" x14ac:dyDescent="0.25">
      <c r="A526" s="2" t="s">
        <v>661</v>
      </c>
      <c r="B526" s="7">
        <v>-1.0070603688905888E-2</v>
      </c>
      <c r="C526" s="7">
        <v>3.7822504390112588E-3</v>
      </c>
      <c r="D526" s="7">
        <v>-2.0588235294117574E-2</v>
      </c>
      <c r="E526" s="7">
        <v>-2.0475020475021477E-3</v>
      </c>
      <c r="F526" s="7">
        <v>3.4794369209545373E-4</v>
      </c>
      <c r="G526" s="7"/>
      <c r="H526" s="7">
        <f t="shared" si="15"/>
        <v>-1.0418547381001342E-2</v>
      </c>
      <c r="I526" s="7">
        <f t="shared" si="15"/>
        <v>3.4343067469158051E-3</v>
      </c>
      <c r="J526" s="7">
        <f t="shared" si="15"/>
        <v>-2.0936178986213028E-2</v>
      </c>
      <c r="K526" s="7">
        <f t="shared" si="14"/>
        <v>-2.3954457395976014E-3</v>
      </c>
      <c r="L526" s="7"/>
    </row>
    <row r="527" spans="1:12" x14ac:dyDescent="0.25">
      <c r="A527" s="2" t="s">
        <v>662</v>
      </c>
      <c r="B527" s="7">
        <v>1.1235333185742657E-2</v>
      </c>
      <c r="C527" s="7">
        <v>5.5691388209724302E-3</v>
      </c>
      <c r="D527" s="7">
        <v>-1.1627906976744207E-2</v>
      </c>
      <c r="E527" s="7">
        <v>7.148748968930585E-3</v>
      </c>
      <c r="F527" s="7">
        <v>2.1122887309807714E-2</v>
      </c>
      <c r="G527" s="7"/>
      <c r="H527" s="7">
        <f t="shared" si="15"/>
        <v>-9.8875541240650566E-3</v>
      </c>
      <c r="I527" s="7">
        <f t="shared" si="15"/>
        <v>-1.5553748488835284E-2</v>
      </c>
      <c r="J527" s="7">
        <f t="shared" si="15"/>
        <v>-3.2750794286551921E-2</v>
      </c>
      <c r="K527" s="7">
        <f t="shared" si="14"/>
        <v>-1.3974138340877129E-2</v>
      </c>
      <c r="L527" s="7"/>
    </row>
    <row r="528" spans="1:12" x14ac:dyDescent="0.25">
      <c r="A528" s="2" t="s">
        <v>663</v>
      </c>
      <c r="B528" s="7">
        <v>4.2240995998221731E-3</v>
      </c>
      <c r="C528" s="7">
        <v>-1.0854816824965585E-3</v>
      </c>
      <c r="D528" s="7">
        <v>-8.6455331412104153E-3</v>
      </c>
      <c r="E528" s="7">
        <v>3.3385424065918379E-2</v>
      </c>
      <c r="F528" s="7">
        <v>1.2641920124771833E-3</v>
      </c>
      <c r="G528" s="7"/>
      <c r="H528" s="7">
        <f t="shared" si="15"/>
        <v>2.9599075873449898E-3</v>
      </c>
      <c r="I528" s="7">
        <f t="shared" si="15"/>
        <v>-2.3496736949737418E-3</v>
      </c>
      <c r="J528" s="7">
        <f t="shared" si="15"/>
        <v>-9.9097251536875985E-3</v>
      </c>
      <c r="K528" s="7">
        <f t="shared" si="14"/>
        <v>3.2121232053441195E-2</v>
      </c>
      <c r="L528" s="7"/>
    </row>
    <row r="529" spans="1:12" x14ac:dyDescent="0.25">
      <c r="A529" s="2" t="s">
        <v>664</v>
      </c>
      <c r="B529" s="7">
        <v>-4.1512149222339145E-3</v>
      </c>
      <c r="C529" s="7">
        <v>6.1433447098977467E-3</v>
      </c>
      <c r="D529" s="7">
        <v>-1.6997167138810054E-2</v>
      </c>
      <c r="E529" s="7">
        <v>-1.0542592071970724E-2</v>
      </c>
      <c r="F529" s="7">
        <v>-6.0053100845657292E-3</v>
      </c>
      <c r="G529" s="7"/>
      <c r="H529" s="7">
        <f t="shared" si="15"/>
        <v>1.8540951623318147E-3</v>
      </c>
      <c r="I529" s="7">
        <f t="shared" si="15"/>
        <v>1.2148654794463476E-2</v>
      </c>
      <c r="J529" s="7">
        <f t="shared" si="15"/>
        <v>-1.0991857054244325E-2</v>
      </c>
      <c r="K529" s="7">
        <f t="shared" si="14"/>
        <v>-4.5372819874049952E-3</v>
      </c>
      <c r="L529" s="7"/>
    </row>
    <row r="530" spans="1:12" x14ac:dyDescent="0.25">
      <c r="A530" s="2" t="s">
        <v>665</v>
      </c>
      <c r="B530" s="7">
        <v>-8.3973655323820173E-3</v>
      </c>
      <c r="C530" s="7">
        <v>-1.2137559002022957E-2</v>
      </c>
      <c r="D530" s="7">
        <v>-2.8248587570621764E-3</v>
      </c>
      <c r="E530" s="7">
        <v>1.266713581984602E-3</v>
      </c>
      <c r="F530" s="7">
        <v>-4.8034387531735723E-3</v>
      </c>
      <c r="G530" s="7"/>
      <c r="H530" s="7">
        <f t="shared" si="15"/>
        <v>-3.5939267792084451E-3</v>
      </c>
      <c r="I530" s="7">
        <f t="shared" si="15"/>
        <v>-7.3341202488493851E-3</v>
      </c>
      <c r="J530" s="7">
        <f t="shared" si="15"/>
        <v>1.9785799961113959E-3</v>
      </c>
      <c r="K530" s="7">
        <f t="shared" si="14"/>
        <v>6.0701523351581743E-3</v>
      </c>
      <c r="L530" s="7"/>
    </row>
    <row r="531" spans="1:12" x14ac:dyDescent="0.25">
      <c r="A531" s="2" t="s">
        <v>666</v>
      </c>
      <c r="B531" s="7">
        <v>-1.5891281714067729E-3</v>
      </c>
      <c r="C531" s="7">
        <v>1.617102919007829E-2</v>
      </c>
      <c r="D531" s="7">
        <v>2.9069767441860517E-2</v>
      </c>
      <c r="E531" s="7">
        <v>5.8040770101925876E-3</v>
      </c>
      <c r="F531" s="7">
        <v>5.8212781615079034E-3</v>
      </c>
      <c r="G531" s="7"/>
      <c r="H531" s="7">
        <f t="shared" si="15"/>
        <v>-7.4104063329146763E-3</v>
      </c>
      <c r="I531" s="7">
        <f t="shared" si="15"/>
        <v>1.0349751028570386E-2</v>
      </c>
      <c r="J531" s="7">
        <f t="shared" si="15"/>
        <v>2.3248489280352613E-2</v>
      </c>
      <c r="K531" s="7">
        <f t="shared" si="14"/>
        <v>-1.7201151315315855E-5</v>
      </c>
      <c r="L531" s="7"/>
    </row>
    <row r="532" spans="1:12" x14ac:dyDescent="0.25">
      <c r="A532" s="2" t="s">
        <v>667</v>
      </c>
      <c r="B532" s="7">
        <v>-4.7990401919615344E-3</v>
      </c>
      <c r="C532" s="7">
        <v>-2.5970475669764292E-3</v>
      </c>
      <c r="D532" s="7">
        <v>-5.7803468208093012E-3</v>
      </c>
      <c r="E532" s="7">
        <v>2.5105209693803587E-2</v>
      </c>
      <c r="F532" s="7">
        <v>9.5797236921002504E-3</v>
      </c>
      <c r="G532" s="7"/>
      <c r="H532" s="7">
        <f t="shared" si="15"/>
        <v>-1.4378763884061785E-2</v>
      </c>
      <c r="I532" s="7">
        <f t="shared" si="15"/>
        <v>-1.217677125907668E-2</v>
      </c>
      <c r="J532" s="7">
        <f t="shared" si="15"/>
        <v>-1.5360070512909552E-2</v>
      </c>
      <c r="K532" s="7">
        <f t="shared" si="14"/>
        <v>1.5525486001703337E-2</v>
      </c>
      <c r="L532" s="7"/>
    </row>
    <row r="533" spans="1:12" x14ac:dyDescent="0.25">
      <c r="A533" s="2" t="s">
        <v>668</v>
      </c>
      <c r="B533" s="7">
        <v>-1.1269276393831573E-2</v>
      </c>
      <c r="C533" s="7">
        <v>-2.0877944325481845E-2</v>
      </c>
      <c r="D533" s="7">
        <v>-1.7045454545454586E-2</v>
      </c>
      <c r="E533" s="7">
        <v>-2.1025713879812558E-2</v>
      </c>
      <c r="F533" s="7">
        <v>-1.3674270785210219E-2</v>
      </c>
      <c r="G533" s="7"/>
      <c r="H533" s="7">
        <f t="shared" si="15"/>
        <v>2.4049943913786453E-3</v>
      </c>
      <c r="I533" s="7">
        <f t="shared" si="15"/>
        <v>-7.2036735402716268E-3</v>
      </c>
      <c r="J533" s="7">
        <f t="shared" si="15"/>
        <v>-3.3711837602443673E-3</v>
      </c>
      <c r="K533" s="7">
        <f t="shared" si="14"/>
        <v>-7.351443094602339E-3</v>
      </c>
      <c r="L533" s="7"/>
    </row>
    <row r="534" spans="1:12" x14ac:dyDescent="0.25">
      <c r="A534" s="2" t="s">
        <v>106</v>
      </c>
      <c r="B534" s="7">
        <v>-9.0301896874165344E-3</v>
      </c>
      <c r="C534" s="7">
        <v>1.8677573278800264E-2</v>
      </c>
      <c r="D534" s="7">
        <v>1.1494252873563315E-2</v>
      </c>
      <c r="E534" s="7">
        <v>1.5435660703981613E-2</v>
      </c>
      <c r="F534" s="7">
        <v>-9.4894968975101079E-4</v>
      </c>
      <c r="G534" s="7"/>
      <c r="H534" s="7">
        <f t="shared" si="15"/>
        <v>-8.0812399976655236E-3</v>
      </c>
      <c r="I534" s="7">
        <f t="shared" si="15"/>
        <v>1.9626522968551274E-2</v>
      </c>
      <c r="J534" s="7">
        <f t="shared" si="15"/>
        <v>1.2443202563314326E-2</v>
      </c>
      <c r="K534" s="7">
        <f t="shared" si="14"/>
        <v>1.6384610393732624E-2</v>
      </c>
      <c r="L534" s="7"/>
    </row>
    <row r="535" spans="1:12" x14ac:dyDescent="0.25">
      <c r="A535" s="2" t="s">
        <v>669</v>
      </c>
      <c r="B535" s="7">
        <v>4.1313445648676339E-3</v>
      </c>
      <c r="C535" s="7">
        <v>-3.2613126783531676E-3</v>
      </c>
      <c r="D535" s="7">
        <v>2.8818443804032867E-3</v>
      </c>
      <c r="E535" s="7">
        <v>1.7615971814444853E-2</v>
      </c>
      <c r="F535" s="7">
        <v>5.7424003233350618E-3</v>
      </c>
      <c r="G535" s="7"/>
      <c r="H535" s="7">
        <f t="shared" si="15"/>
        <v>-1.6110557584674279E-3</v>
      </c>
      <c r="I535" s="7">
        <f t="shared" si="15"/>
        <v>-9.0037130016882294E-3</v>
      </c>
      <c r="J535" s="7">
        <f t="shared" si="15"/>
        <v>-2.8605559429317751E-3</v>
      </c>
      <c r="K535" s="7">
        <f t="shared" si="14"/>
        <v>1.1873571491109791E-2</v>
      </c>
      <c r="L535" s="7"/>
    </row>
    <row r="536" spans="1:12" x14ac:dyDescent="0.25">
      <c r="A536" s="2" t="s">
        <v>670</v>
      </c>
      <c r="B536" s="7">
        <v>-5.7612290622000017E-3</v>
      </c>
      <c r="C536" s="7">
        <v>-6.8825910931172851E-3</v>
      </c>
      <c r="D536" s="7">
        <v>2.8901734104047616E-3</v>
      </c>
      <c r="E536" s="7">
        <v>-3.8939051918735812E-2</v>
      </c>
      <c r="F536" s="7">
        <v>5.7056371695218822E-4</v>
      </c>
      <c r="G536" s="7"/>
      <c r="H536" s="7">
        <f t="shared" si="15"/>
        <v>-6.33179277915219E-3</v>
      </c>
      <c r="I536" s="7">
        <f t="shared" si="15"/>
        <v>-7.4531548100694733E-3</v>
      </c>
      <c r="J536" s="7">
        <f t="shared" si="15"/>
        <v>2.3196096934525734E-3</v>
      </c>
      <c r="K536" s="7">
        <f t="shared" si="14"/>
        <v>-3.9509615635688E-2</v>
      </c>
      <c r="L536" s="7"/>
    </row>
    <row r="537" spans="1:12" x14ac:dyDescent="0.25">
      <c r="A537" s="2" t="s">
        <v>671</v>
      </c>
      <c r="B537" s="7">
        <v>5.8713637576746081E-4</v>
      </c>
      <c r="C537" s="7">
        <v>9.4556260975275919E-4</v>
      </c>
      <c r="D537" s="7">
        <v>1.4662756598240456E-2</v>
      </c>
      <c r="E537" s="7">
        <v>-5.8573515739142157E-2</v>
      </c>
      <c r="F537" s="7">
        <v>8.2414421615468747E-3</v>
      </c>
      <c r="G537" s="7"/>
      <c r="H537" s="7">
        <f t="shared" si="15"/>
        <v>-7.6543057857794139E-3</v>
      </c>
      <c r="I537" s="7">
        <f t="shared" si="15"/>
        <v>-7.2958795517941155E-3</v>
      </c>
      <c r="J537" s="7">
        <f t="shared" si="15"/>
        <v>6.4213144366935815E-3</v>
      </c>
      <c r="K537" s="7">
        <f t="shared" si="14"/>
        <v>-6.6814957900689032E-2</v>
      </c>
      <c r="L537" s="7"/>
    </row>
    <row r="538" spans="1:12" x14ac:dyDescent="0.25">
      <c r="A538" s="2" t="s">
        <v>672</v>
      </c>
      <c r="B538" s="7">
        <v>8.6137281292057999E-3</v>
      </c>
      <c r="C538" s="7">
        <v>1.1062551215514915E-2</v>
      </c>
      <c r="D538" s="7">
        <v>2.9411764705882248E-3</v>
      </c>
      <c r="E538" s="7">
        <v>4.8169288598078897E-2</v>
      </c>
      <c r="F538" s="7">
        <v>2.310426660138587E-3</v>
      </c>
      <c r="G538" s="7"/>
      <c r="H538" s="7">
        <f t="shared" si="15"/>
        <v>6.3033014690672129E-3</v>
      </c>
      <c r="I538" s="7">
        <f t="shared" si="15"/>
        <v>8.7521245553763283E-3</v>
      </c>
      <c r="J538" s="7">
        <f t="shared" si="15"/>
        <v>6.3074981044963785E-4</v>
      </c>
      <c r="K538" s="7">
        <f t="shared" si="14"/>
        <v>4.585886193794031E-2</v>
      </c>
      <c r="L538" s="7"/>
    </row>
    <row r="539" spans="1:12" x14ac:dyDescent="0.25">
      <c r="A539" s="2" t="s">
        <v>107</v>
      </c>
      <c r="B539" s="7">
        <v>9.8401652712840626E-3</v>
      </c>
      <c r="C539" s="7">
        <v>-2.2560405820317708E-2</v>
      </c>
      <c r="D539" s="7">
        <v>-2.5787965616045905E-2</v>
      </c>
      <c r="E539" s="7">
        <v>3.8756326825740928E-2</v>
      </c>
      <c r="F539" s="7">
        <v>-3.18637682737688E-3</v>
      </c>
      <c r="G539" s="7"/>
      <c r="H539" s="7">
        <f t="shared" si="15"/>
        <v>1.3026542098660943E-2</v>
      </c>
      <c r="I539" s="7">
        <f t="shared" si="15"/>
        <v>-1.9374028992940828E-2</v>
      </c>
      <c r="J539" s="7">
        <f t="shared" si="15"/>
        <v>-2.2601588788669025E-2</v>
      </c>
      <c r="K539" s="7">
        <f t="shared" si="14"/>
        <v>4.1942703653117808E-2</v>
      </c>
      <c r="L539" s="7"/>
    </row>
    <row r="540" spans="1:12" x14ac:dyDescent="0.25">
      <c r="A540" s="2" t="s">
        <v>673</v>
      </c>
      <c r="B540" s="7">
        <v>-5.4071590786201051E-3</v>
      </c>
      <c r="C540" s="7">
        <v>-1.0827941370659011E-2</v>
      </c>
      <c r="D540" s="7">
        <v>-1.412429378531066E-2</v>
      </c>
      <c r="E540" s="7">
        <v>-8.4599942644104642E-3</v>
      </c>
      <c r="F540" s="7">
        <v>1.0684461873673889E-2</v>
      </c>
      <c r="G540" s="7"/>
      <c r="H540" s="7">
        <f t="shared" si="15"/>
        <v>-1.6091620952293995E-2</v>
      </c>
      <c r="I540" s="7">
        <f t="shared" si="15"/>
        <v>-2.1512403244332901E-2</v>
      </c>
      <c r="J540" s="7">
        <f t="shared" si="15"/>
        <v>-2.4808755658984549E-2</v>
      </c>
      <c r="K540" s="7">
        <f t="shared" si="14"/>
        <v>-1.9144456138084354E-2</v>
      </c>
      <c r="L540" s="7"/>
    </row>
    <row r="541" spans="1:12" x14ac:dyDescent="0.25">
      <c r="A541" s="2" t="s">
        <v>674</v>
      </c>
      <c r="B541" s="7">
        <v>1.3369863013698691E-2</v>
      </c>
      <c r="C541" s="7">
        <v>1.6510067114094085E-2</v>
      </c>
      <c r="D541" s="7">
        <v>-3.8043478260869623E-2</v>
      </c>
      <c r="E541" s="7">
        <v>4.0310970342642971E-3</v>
      </c>
      <c r="F541" s="7">
        <v>1.2493679898465615E-2</v>
      </c>
      <c r="G541" s="7"/>
      <c r="H541" s="7">
        <f t="shared" si="15"/>
        <v>8.7618311523307568E-4</v>
      </c>
      <c r="I541" s="7">
        <f t="shared" si="15"/>
        <v>4.0163872156284697E-3</v>
      </c>
      <c r="J541" s="7">
        <f t="shared" si="15"/>
        <v>-5.0537158159335238E-2</v>
      </c>
      <c r="K541" s="7">
        <f t="shared" si="14"/>
        <v>-8.4625828642013179E-3</v>
      </c>
      <c r="L541" s="7"/>
    </row>
    <row r="542" spans="1:12" x14ac:dyDescent="0.25">
      <c r="A542" s="2" t="s">
        <v>675</v>
      </c>
      <c r="B542" s="7">
        <v>-1.9397130729138734E-2</v>
      </c>
      <c r="C542" s="7">
        <v>-1.4550264550264425E-2</v>
      </c>
      <c r="D542" s="7">
        <v>8.2191780821918581E-3</v>
      </c>
      <c r="E542" s="7">
        <v>-2.1548628070680031E-3</v>
      </c>
      <c r="F542" s="7">
        <v>-1.6105681862021659E-2</v>
      </c>
      <c r="G542" s="7"/>
      <c r="H542" s="7">
        <f t="shared" si="15"/>
        <v>-3.291448867117075E-3</v>
      </c>
      <c r="I542" s="7">
        <f t="shared" si="15"/>
        <v>1.5554173117572345E-3</v>
      </c>
      <c r="J542" s="7">
        <f t="shared" si="15"/>
        <v>2.4324859944213517E-2</v>
      </c>
      <c r="K542" s="7">
        <f t="shared" si="14"/>
        <v>1.3950819054953656E-2</v>
      </c>
      <c r="L542" s="7"/>
    </row>
    <row r="543" spans="1:12" x14ac:dyDescent="0.25">
      <c r="A543" s="2" t="s">
        <v>676</v>
      </c>
      <c r="B543" s="7">
        <v>-1.923482293423262E-2</v>
      </c>
      <c r="C543" s="7">
        <v>-6.5703022339027584E-3</v>
      </c>
      <c r="D543" s="7">
        <v>-5.4495912806539204E-3</v>
      </c>
      <c r="E543" s="7">
        <v>-1.7085569048291394E-2</v>
      </c>
      <c r="F543" s="7">
        <v>-6.0065788272156695E-4</v>
      </c>
      <c r="G543" s="7"/>
      <c r="H543" s="7">
        <f t="shared" si="15"/>
        <v>-1.8634165051511054E-2</v>
      </c>
      <c r="I543" s="7">
        <f t="shared" si="15"/>
        <v>-5.9696443511811914E-3</v>
      </c>
      <c r="J543" s="7">
        <f t="shared" si="15"/>
        <v>-4.8489333979323535E-3</v>
      </c>
      <c r="K543" s="7">
        <f t="shared" si="14"/>
        <v>-1.6484911165569827E-2</v>
      </c>
      <c r="L543" s="7"/>
    </row>
    <row r="544" spans="1:12" x14ac:dyDescent="0.25">
      <c r="A544" s="2" t="s">
        <v>108</v>
      </c>
      <c r="B544" s="7">
        <v>-3.5706784289015747E-3</v>
      </c>
      <c r="C544" s="7">
        <v>4.0902493732681844E-3</v>
      </c>
      <c r="D544" s="7">
        <v>-1.3440860215053863E-2</v>
      </c>
      <c r="E544" s="7">
        <v>-5.7560016846835982E-3</v>
      </c>
      <c r="F544" s="7">
        <v>7.5567832147815928E-3</v>
      </c>
      <c r="G544" s="7"/>
      <c r="H544" s="7">
        <f t="shared" si="15"/>
        <v>-1.1127461643683167E-2</v>
      </c>
      <c r="I544" s="7">
        <f t="shared" si="15"/>
        <v>-3.4665338415134084E-3</v>
      </c>
      <c r="J544" s="7">
        <f t="shared" si="15"/>
        <v>-2.0997643429835455E-2</v>
      </c>
      <c r="K544" s="7">
        <f t="shared" si="14"/>
        <v>-1.3312784899465191E-2</v>
      </c>
      <c r="L544" s="7"/>
    </row>
    <row r="545" spans="1:12" x14ac:dyDescent="0.25">
      <c r="A545" s="2" t="s">
        <v>677</v>
      </c>
      <c r="B545" s="7">
        <v>-9.0024457511578282E-3</v>
      </c>
      <c r="C545" s="7">
        <v>0</v>
      </c>
      <c r="D545" s="7">
        <v>2.7624309392265234E-2</v>
      </c>
      <c r="E545" s="7">
        <v>2.1102982554868088E-3</v>
      </c>
      <c r="F545" s="7">
        <v>-6.517972440622799E-4</v>
      </c>
      <c r="G545" s="7"/>
      <c r="H545" s="7">
        <f t="shared" si="15"/>
        <v>-8.3506485070955483E-3</v>
      </c>
      <c r="I545" s="7">
        <f t="shared" si="15"/>
        <v>6.517972440622799E-4</v>
      </c>
      <c r="J545" s="7">
        <f t="shared" si="15"/>
        <v>2.8276106636327514E-2</v>
      </c>
      <c r="K545" s="7">
        <f t="shared" si="14"/>
        <v>2.7620954995490887E-3</v>
      </c>
      <c r="L545" s="7"/>
    </row>
    <row r="546" spans="1:12" x14ac:dyDescent="0.25">
      <c r="A546" s="2" t="s">
        <v>678</v>
      </c>
      <c r="B546" s="7">
        <v>-1.7142857142857792E-3</v>
      </c>
      <c r="C546" s="7">
        <v>2.9475685954903685E-2</v>
      </c>
      <c r="D546" s="7">
        <v>-1.0928961748633892E-2</v>
      </c>
      <c r="E546" s="7">
        <v>-1.7960762641613615E-2</v>
      </c>
      <c r="F546" s="7">
        <v>5.2602931057501578E-3</v>
      </c>
      <c r="G546" s="7"/>
      <c r="H546" s="7">
        <f t="shared" si="15"/>
        <v>-6.9745788200359371E-3</v>
      </c>
      <c r="I546" s="7">
        <f t="shared" si="15"/>
        <v>2.4215392849153528E-2</v>
      </c>
      <c r="J546" s="7">
        <f t="shared" si="15"/>
        <v>-1.618925485438405E-2</v>
      </c>
      <c r="K546" s="7">
        <f t="shared" si="14"/>
        <v>-2.3221055747363772E-2</v>
      </c>
      <c r="L546" s="7"/>
    </row>
    <row r="547" spans="1:12" x14ac:dyDescent="0.25">
      <c r="A547" s="2" t="s">
        <v>679</v>
      </c>
      <c r="B547" s="7">
        <v>-3.4684474814928867E-3</v>
      </c>
      <c r="C547" s="7">
        <v>-2.9783869267263952E-2</v>
      </c>
      <c r="D547" s="7">
        <v>3.6827195467422191E-2</v>
      </c>
      <c r="E547" s="7">
        <v>1.6002245929253256E-2</v>
      </c>
      <c r="F547" s="7">
        <v>8.1198865271558951E-4</v>
      </c>
      <c r="G547" s="7"/>
      <c r="H547" s="7">
        <f t="shared" si="15"/>
        <v>-4.2804361342084762E-3</v>
      </c>
      <c r="I547" s="7">
        <f t="shared" si="15"/>
        <v>-3.0595857919979541E-2</v>
      </c>
      <c r="J547" s="7">
        <f t="shared" si="15"/>
        <v>3.6015206814706602E-2</v>
      </c>
      <c r="K547" s="7">
        <f t="shared" si="14"/>
        <v>1.5190257276537666E-2</v>
      </c>
      <c r="L547" s="7"/>
    </row>
    <row r="548" spans="1:12" x14ac:dyDescent="0.25">
      <c r="A548" s="2" t="s">
        <v>680</v>
      </c>
      <c r="B548" s="7">
        <v>6.6180302240750333E-3</v>
      </c>
      <c r="C548" s="7">
        <v>-0.11032946418102951</v>
      </c>
      <c r="D548" s="7">
        <v>-1.1204481792717047E-2</v>
      </c>
      <c r="E548" s="7">
        <v>7.8576835730507222E-2</v>
      </c>
      <c r="F548" s="7">
        <v>2.9213904746590025E-3</v>
      </c>
      <c r="G548" s="7"/>
      <c r="H548" s="7">
        <f t="shared" si="15"/>
        <v>3.6966397494160308E-3</v>
      </c>
      <c r="I548" s="7">
        <f t="shared" si="15"/>
        <v>-0.11325085465568852</v>
      </c>
      <c r="J548" s="7">
        <f t="shared" si="15"/>
        <v>-1.412587226737605E-2</v>
      </c>
      <c r="K548" s="7">
        <f t="shared" si="14"/>
        <v>7.5655445255848219E-2</v>
      </c>
      <c r="L548" s="7"/>
    </row>
    <row r="549" spans="1:12" x14ac:dyDescent="0.25">
      <c r="A549" s="2" t="s">
        <v>109</v>
      </c>
      <c r="B549" s="7">
        <v>1.2184186929690366E-2</v>
      </c>
      <c r="C549" s="7">
        <v>2.3504524620989731E-3</v>
      </c>
      <c r="D549" s="7">
        <v>-2.7247956403269824E-2</v>
      </c>
      <c r="E549" s="7">
        <v>-1.1375542583445641E-2</v>
      </c>
      <c r="F549" s="7">
        <v>2.194301015948863E-3</v>
      </c>
      <c r="G549" s="7"/>
      <c r="H549" s="7">
        <f t="shared" si="15"/>
        <v>9.989885913741503E-3</v>
      </c>
      <c r="I549" s="7">
        <f t="shared" si="15"/>
        <v>1.5615144615011012E-4</v>
      </c>
      <c r="J549" s="7">
        <f t="shared" si="15"/>
        <v>-2.9442257419218687E-2</v>
      </c>
      <c r="K549" s="7">
        <f t="shared" si="14"/>
        <v>-1.3569843599394504E-2</v>
      </c>
      <c r="L549" s="7"/>
    </row>
    <row r="550" spans="1:12" x14ac:dyDescent="0.25">
      <c r="A550" s="2" t="s">
        <v>681</v>
      </c>
      <c r="B550" s="7">
        <v>1.5533772564143788E-2</v>
      </c>
      <c r="C550" s="7">
        <v>1.2494050452165562E-2</v>
      </c>
      <c r="D550" s="7">
        <v>-2.7173913043478937E-3</v>
      </c>
      <c r="E550" s="7">
        <v>2.0000000000000018E-2</v>
      </c>
      <c r="F550" s="7">
        <v>1.2313478102632613E-2</v>
      </c>
      <c r="G550" s="7"/>
      <c r="H550" s="7">
        <f t="shared" si="15"/>
        <v>3.220294461511175E-3</v>
      </c>
      <c r="I550" s="7">
        <f t="shared" si="15"/>
        <v>1.805723495329481E-4</v>
      </c>
      <c r="J550" s="7">
        <f t="shared" si="15"/>
        <v>-1.5030869406980507E-2</v>
      </c>
      <c r="K550" s="7">
        <f t="shared" si="14"/>
        <v>7.6865218973674043E-3</v>
      </c>
      <c r="L550" s="7"/>
    </row>
    <row r="551" spans="1:12" x14ac:dyDescent="0.25">
      <c r="A551" s="2" t="s">
        <v>682</v>
      </c>
      <c r="B551" s="7">
        <v>3.2577433628318442E-2</v>
      </c>
      <c r="C551" s="7">
        <v>3.3428844317096029E-3</v>
      </c>
      <c r="D551" s="7">
        <v>-1.0752688172043001E-2</v>
      </c>
      <c r="E551" s="7">
        <v>-1.2662044015676832E-2</v>
      </c>
      <c r="F551" s="7">
        <v>8.8052650125229892E-3</v>
      </c>
      <c r="G551" s="7"/>
      <c r="H551" s="7">
        <f t="shared" si="15"/>
        <v>2.3772168615795453E-2</v>
      </c>
      <c r="I551" s="7">
        <f t="shared" si="15"/>
        <v>-5.4623805808133863E-3</v>
      </c>
      <c r="J551" s="7">
        <f t="shared" si="15"/>
        <v>-1.955795318456599E-2</v>
      </c>
      <c r="K551" s="7">
        <f t="shared" si="14"/>
        <v>-2.1467309028199821E-2</v>
      </c>
      <c r="L551" s="7"/>
    </row>
    <row r="552" spans="1:12" x14ac:dyDescent="0.25">
      <c r="A552" s="2" t="s">
        <v>683</v>
      </c>
      <c r="B552" s="7">
        <v>-5.1722240563442101E-3</v>
      </c>
      <c r="C552" s="7">
        <v>-1.4472290857747816E-2</v>
      </c>
      <c r="D552" s="7">
        <v>5.4054054054053502E-3</v>
      </c>
      <c r="E552" s="7">
        <v>-7.629020194465097E-3</v>
      </c>
      <c r="F552" s="7">
        <v>-5.6168930629166836E-3</v>
      </c>
      <c r="G552" s="7"/>
      <c r="H552" s="7">
        <f t="shared" si="15"/>
        <v>4.4466900657247344E-4</v>
      </c>
      <c r="I552" s="7">
        <f t="shared" si="15"/>
        <v>-8.8553977948311324E-3</v>
      </c>
      <c r="J552" s="7">
        <f t="shared" si="15"/>
        <v>1.1022298468322034E-2</v>
      </c>
      <c r="K552" s="7">
        <f t="shared" si="14"/>
        <v>-2.0121271315484135E-3</v>
      </c>
      <c r="L552" s="7"/>
    </row>
    <row r="553" spans="1:12" x14ac:dyDescent="0.25">
      <c r="A553" s="2" t="s">
        <v>684</v>
      </c>
      <c r="B553" s="7">
        <v>-1.2336286071409019E-2</v>
      </c>
      <c r="C553" s="7">
        <v>-4.4512123696850425E-3</v>
      </c>
      <c r="D553" s="7">
        <v>2.7100271002711285E-3</v>
      </c>
      <c r="E553" s="7">
        <v>-3.3121203355510609E-2</v>
      </c>
      <c r="F553" s="7">
        <v>-3.7313198838587747E-3</v>
      </c>
      <c r="G553" s="7"/>
      <c r="H553" s="7">
        <f t="shared" si="15"/>
        <v>-8.6049661875502448E-3</v>
      </c>
      <c r="I553" s="7">
        <f t="shared" si="15"/>
        <v>-7.1989248582626786E-4</v>
      </c>
      <c r="J553" s="7">
        <f t="shared" si="15"/>
        <v>6.4413469841299031E-3</v>
      </c>
      <c r="K553" s="7">
        <f t="shared" si="14"/>
        <v>-2.9389883471651834E-2</v>
      </c>
      <c r="L553" s="7"/>
    </row>
    <row r="554" spans="1:12" x14ac:dyDescent="0.25">
      <c r="A554" s="2" t="s">
        <v>685</v>
      </c>
      <c r="B554" s="7">
        <v>1.7966027874563029E-3</v>
      </c>
      <c r="C554" s="7">
        <v>-7.3255813953487792E-3</v>
      </c>
      <c r="D554" s="7">
        <v>2.4999999999999911E-2</v>
      </c>
      <c r="E554" s="7">
        <v>-7.4648291702554825E-3</v>
      </c>
      <c r="F554" s="7">
        <v>7.5100831757413111E-4</v>
      </c>
      <c r="G554" s="7"/>
      <c r="H554" s="7">
        <f t="shared" si="15"/>
        <v>1.0455944698821718E-3</v>
      </c>
      <c r="I554" s="7">
        <f t="shared" si="15"/>
        <v>-8.0765897129229103E-3</v>
      </c>
      <c r="J554" s="7">
        <f t="shared" si="15"/>
        <v>2.424899168242578E-2</v>
      </c>
      <c r="K554" s="7">
        <f t="shared" si="14"/>
        <v>-8.2158374878296137E-3</v>
      </c>
      <c r="L554" s="7"/>
    </row>
    <row r="555" spans="1:12" x14ac:dyDescent="0.25">
      <c r="A555" s="2" t="s">
        <v>686</v>
      </c>
      <c r="B555" s="7">
        <v>-3.2559149120903186E-3</v>
      </c>
      <c r="C555" s="7">
        <v>5.7303239387205274E-3</v>
      </c>
      <c r="D555" s="7">
        <v>-1.098901098901095E-2</v>
      </c>
      <c r="E555" s="7">
        <v>1.3531209079004736E-2</v>
      </c>
      <c r="F555" s="7">
        <v>-6.7106377196379796E-4</v>
      </c>
      <c r="G555" s="7"/>
      <c r="H555" s="7">
        <f t="shared" si="15"/>
        <v>-2.5848511401265206E-3</v>
      </c>
      <c r="I555" s="7">
        <f t="shared" si="15"/>
        <v>6.4013877106843253E-3</v>
      </c>
      <c r="J555" s="7">
        <f t="shared" si="15"/>
        <v>-1.0317947217047152E-2</v>
      </c>
      <c r="K555" s="7">
        <f t="shared" si="14"/>
        <v>1.4202272850968534E-2</v>
      </c>
      <c r="L555" s="7"/>
    </row>
    <row r="556" spans="1:12" x14ac:dyDescent="0.25">
      <c r="A556" s="2" t="s">
        <v>687</v>
      </c>
      <c r="B556" s="7">
        <v>5.6756166775813188E-3</v>
      </c>
      <c r="C556" s="7">
        <v>-7.3136754121198022E-3</v>
      </c>
      <c r="D556" s="7">
        <v>-1.0869565217391353E-2</v>
      </c>
      <c r="E556" s="7">
        <v>-8.5112521638774918E-3</v>
      </c>
      <c r="F556" s="7">
        <v>5.6659308314936929E-3</v>
      </c>
      <c r="G556" s="7"/>
      <c r="H556" s="7">
        <f t="shared" si="15"/>
        <v>9.6858460876259045E-6</v>
      </c>
      <c r="I556" s="7">
        <f t="shared" si="15"/>
        <v>-1.2979606243613495E-2</v>
      </c>
      <c r="J556" s="7">
        <f t="shared" si="15"/>
        <v>-1.6535496048885046E-2</v>
      </c>
      <c r="K556" s="7">
        <f t="shared" si="14"/>
        <v>-1.4177182995371185E-2</v>
      </c>
      <c r="L556" s="7"/>
    </row>
    <row r="557" spans="1:12" x14ac:dyDescent="0.25">
      <c r="A557" s="2" t="s">
        <v>688</v>
      </c>
      <c r="B557" s="7">
        <v>-2.2325074870678252E-3</v>
      </c>
      <c r="C557" s="7">
        <v>2.2105875509017547E-3</v>
      </c>
      <c r="D557" s="7">
        <v>-5.4054054054054612E-3</v>
      </c>
      <c r="E557" s="7">
        <v>-1.1690903906472871E-2</v>
      </c>
      <c r="F557" s="7">
        <v>-1.4778924917183689E-3</v>
      </c>
      <c r="G557" s="7"/>
      <c r="H557" s="7">
        <f t="shared" si="15"/>
        <v>-7.5461499534945631E-4</v>
      </c>
      <c r="I557" s="7">
        <f t="shared" si="15"/>
        <v>3.6884800426201236E-3</v>
      </c>
      <c r="J557" s="7">
        <f t="shared" si="15"/>
        <v>-3.9275129136870923E-3</v>
      </c>
      <c r="K557" s="7">
        <f t="shared" si="14"/>
        <v>-1.0213011414754503E-2</v>
      </c>
      <c r="L557" s="7"/>
    </row>
    <row r="558" spans="1:12" x14ac:dyDescent="0.25">
      <c r="A558" s="2" t="s">
        <v>110</v>
      </c>
      <c r="B558" s="7">
        <v>2.4146776712023366E-2</v>
      </c>
      <c r="C558" s="7">
        <v>2.4492652204339826E-3</v>
      </c>
      <c r="D558" s="7">
        <v>-1.8567639257294433E-2</v>
      </c>
      <c r="E558" s="7">
        <v>-1.8500071154119446E-3</v>
      </c>
      <c r="F558" s="7">
        <v>1.4114671594383177E-2</v>
      </c>
      <c r="G558" s="7"/>
      <c r="H558" s="7">
        <f t="shared" si="15"/>
        <v>1.0032105117640189E-2</v>
      </c>
      <c r="I558" s="7">
        <f t="shared" si="15"/>
        <v>-1.1665406373949194E-2</v>
      </c>
      <c r="J558" s="7">
        <f t="shared" si="15"/>
        <v>-3.268231085167761E-2</v>
      </c>
      <c r="K558" s="7">
        <f t="shared" si="14"/>
        <v>-1.5964678709795121E-2</v>
      </c>
      <c r="L558" s="7"/>
    </row>
    <row r="559" spans="1:12" x14ac:dyDescent="0.25">
      <c r="A559" s="2" t="s">
        <v>689</v>
      </c>
      <c r="B559" s="7">
        <v>-3.9991113085980912E-3</v>
      </c>
      <c r="C559" s="7">
        <v>3.8637161924832686E-3</v>
      </c>
      <c r="D559" s="7">
        <v>3.287671232876721E-2</v>
      </c>
      <c r="E559" s="7">
        <v>-2.2126356804898495E-2</v>
      </c>
      <c r="F559" s="7">
        <v>1.8256737503945519E-3</v>
      </c>
      <c r="G559" s="7"/>
      <c r="H559" s="7">
        <f t="shared" si="15"/>
        <v>-5.8247850589926431E-3</v>
      </c>
      <c r="I559" s="7">
        <f t="shared" si="15"/>
        <v>2.0380424420887167E-3</v>
      </c>
      <c r="J559" s="7">
        <f t="shared" si="15"/>
        <v>3.1051038578372658E-2</v>
      </c>
      <c r="K559" s="7">
        <f t="shared" si="14"/>
        <v>-2.3952030555293047E-2</v>
      </c>
      <c r="L559" s="7"/>
    </row>
    <row r="560" spans="1:12" x14ac:dyDescent="0.25">
      <c r="A560" s="2" t="s">
        <v>690</v>
      </c>
      <c r="B560" s="7">
        <v>-1.2722088177231972E-2</v>
      </c>
      <c r="C560" s="7">
        <v>3.5248501938667243E-3</v>
      </c>
      <c r="D560" s="7">
        <v>-1.084010840108407E-2</v>
      </c>
      <c r="E560" s="7">
        <v>-2.5098358431691725E-2</v>
      </c>
      <c r="F560" s="7">
        <v>-3.4284062480738342E-3</v>
      </c>
      <c r="G560" s="7"/>
      <c r="H560" s="7">
        <f t="shared" si="15"/>
        <v>-9.2936819291581374E-3</v>
      </c>
      <c r="I560" s="7">
        <f t="shared" si="15"/>
        <v>6.9532564419405585E-3</v>
      </c>
      <c r="J560" s="7">
        <f t="shared" si="15"/>
        <v>-7.4117021530102356E-3</v>
      </c>
      <c r="K560" s="7">
        <f t="shared" si="14"/>
        <v>-2.1669952183617891E-2</v>
      </c>
      <c r="L560" s="7"/>
    </row>
    <row r="561" spans="1:12" x14ac:dyDescent="0.25">
      <c r="A561" s="2" t="s">
        <v>691</v>
      </c>
      <c r="B561" s="7">
        <v>-7.4565939149837668E-3</v>
      </c>
      <c r="C561" s="7">
        <v>-2.0147363573566612E-2</v>
      </c>
      <c r="D561" s="7">
        <v>3.9436619718309807E-2</v>
      </c>
      <c r="E561" s="7">
        <v>2.4461431549687163E-2</v>
      </c>
      <c r="F561" s="7">
        <v>-8.0163109367190621E-3</v>
      </c>
      <c r="G561" s="7"/>
      <c r="H561" s="7">
        <f t="shared" si="15"/>
        <v>5.5971702173529536E-4</v>
      </c>
      <c r="I561" s="7">
        <f t="shared" si="15"/>
        <v>-1.213105263684755E-2</v>
      </c>
      <c r="J561" s="7">
        <f t="shared" si="15"/>
        <v>4.7452930655028869E-2</v>
      </c>
      <c r="K561" s="7">
        <f t="shared" si="14"/>
        <v>3.2477742486406225E-2</v>
      </c>
      <c r="L561" s="7"/>
    </row>
    <row r="562" spans="1:12" x14ac:dyDescent="0.25">
      <c r="A562" s="2" t="s">
        <v>692</v>
      </c>
      <c r="B562" s="7">
        <v>-3.5791130936762117E-2</v>
      </c>
      <c r="C562" s="7">
        <v>6.2557924003707743E-3</v>
      </c>
      <c r="D562" s="7">
        <v>2.0114942528735691E-2</v>
      </c>
      <c r="E562" s="7">
        <v>-3.5522788203753208E-2</v>
      </c>
      <c r="F562" s="7">
        <v>-5.6605790982068305E-3</v>
      </c>
      <c r="G562" s="7"/>
      <c r="H562" s="7">
        <f t="shared" si="15"/>
        <v>-3.0130551838555286E-2</v>
      </c>
      <c r="I562" s="7">
        <f t="shared" si="15"/>
        <v>1.1916371498577605E-2</v>
      </c>
      <c r="J562" s="7">
        <f t="shared" si="15"/>
        <v>2.5775521626942521E-2</v>
      </c>
      <c r="K562" s="7">
        <f t="shared" si="14"/>
        <v>-2.9862209105546378E-2</v>
      </c>
      <c r="L562" s="7"/>
    </row>
    <row r="563" spans="1:12" x14ac:dyDescent="0.25">
      <c r="A563" s="2" t="s">
        <v>693</v>
      </c>
      <c r="B563" s="7">
        <v>-5.4282582598256246E-3</v>
      </c>
      <c r="C563" s="7">
        <v>-3.3483431474425895E-3</v>
      </c>
      <c r="D563" s="7">
        <v>-5.7142857142856718E-3</v>
      </c>
      <c r="E563" s="7">
        <v>3.4974441754100916E-3</v>
      </c>
      <c r="F563" s="7">
        <v>-2.8264709879060046E-3</v>
      </c>
      <c r="G563" s="7"/>
      <c r="H563" s="7">
        <f t="shared" si="15"/>
        <v>-2.60178727191962E-3</v>
      </c>
      <c r="I563" s="7">
        <f t="shared" si="15"/>
        <v>-5.2187215953658495E-4</v>
      </c>
      <c r="J563" s="7">
        <f t="shared" si="15"/>
        <v>-2.8878147263796672E-3</v>
      </c>
      <c r="K563" s="7">
        <f t="shared" si="14"/>
        <v>6.3239151633160962E-3</v>
      </c>
      <c r="L563" s="7"/>
    </row>
    <row r="564" spans="1:12" x14ac:dyDescent="0.25">
      <c r="A564" s="2" t="s">
        <v>694</v>
      </c>
      <c r="B564" s="7">
        <v>2.2494245658086776E-3</v>
      </c>
      <c r="C564" s="7">
        <v>8.7351502445842666E-3</v>
      </c>
      <c r="D564" s="7">
        <v>-2.777777777777779E-2</v>
      </c>
      <c r="E564" s="7">
        <v>1.4880546075085377E-2</v>
      </c>
      <c r="F564" s="7">
        <v>3.7017052940679918E-4</v>
      </c>
      <c r="G564" s="7"/>
      <c r="H564" s="7">
        <f t="shared" si="15"/>
        <v>1.8792540364018784E-3</v>
      </c>
      <c r="I564" s="7">
        <f t="shared" si="15"/>
        <v>8.3649797151774674E-3</v>
      </c>
      <c r="J564" s="7">
        <f t="shared" si="15"/>
        <v>-2.8147948307184589E-2</v>
      </c>
      <c r="K564" s="7">
        <f t="shared" si="14"/>
        <v>1.4510375545678578E-2</v>
      </c>
      <c r="L564" s="7"/>
    </row>
    <row r="565" spans="1:12" x14ac:dyDescent="0.25">
      <c r="A565" s="2" t="s">
        <v>695</v>
      </c>
      <c r="B565" s="7">
        <v>4.7103155911454309E-4</v>
      </c>
      <c r="C565" s="7">
        <v>5.8575445173383311E-3</v>
      </c>
      <c r="D565" s="7">
        <v>-2.7700831024930483E-3</v>
      </c>
      <c r="E565" s="7">
        <v>3.424657534246478E-3</v>
      </c>
      <c r="F565" s="7">
        <v>1.430441384365766E-3</v>
      </c>
      <c r="G565" s="7"/>
      <c r="H565" s="7">
        <f t="shared" si="15"/>
        <v>-9.5940982525122287E-4</v>
      </c>
      <c r="I565" s="7">
        <f t="shared" si="15"/>
        <v>4.4271031329725652E-3</v>
      </c>
      <c r="J565" s="7">
        <f t="shared" si="15"/>
        <v>-4.2005244868588143E-3</v>
      </c>
      <c r="K565" s="7">
        <f t="shared" si="14"/>
        <v>1.9942161498807121E-3</v>
      </c>
      <c r="L565" s="7"/>
    </row>
    <row r="566" spans="1:12" x14ac:dyDescent="0.25">
      <c r="A566" s="2" t="s">
        <v>696</v>
      </c>
      <c r="B566" s="7">
        <v>-2.8182245185534027E-3</v>
      </c>
      <c r="C566" s="7">
        <v>1.6674606955693339E-2</v>
      </c>
      <c r="D566" s="7">
        <v>-3.9893617021276584E-2</v>
      </c>
      <c r="E566" s="7">
        <v>7.5914423740510717E-3</v>
      </c>
      <c r="F566" s="7">
        <v>4.2316647141837915E-3</v>
      </c>
      <c r="G566" s="7"/>
      <c r="H566" s="7">
        <f t="shared" si="15"/>
        <v>-7.0498892327371943E-3</v>
      </c>
      <c r="I566" s="7">
        <f t="shared" si="15"/>
        <v>1.2442942241509547E-2</v>
      </c>
      <c r="J566" s="7">
        <f t="shared" si="15"/>
        <v>-4.4125281735460375E-2</v>
      </c>
      <c r="K566" s="7">
        <f t="shared" si="14"/>
        <v>3.3597776598672802E-3</v>
      </c>
      <c r="L566" s="7"/>
    </row>
    <row r="567" spans="1:12" x14ac:dyDescent="0.25">
      <c r="A567" s="2" t="s">
        <v>697</v>
      </c>
      <c r="B567" s="7">
        <v>-5.553248910109998E-3</v>
      </c>
      <c r="C567" s="7">
        <v>7.3185362927414843E-3</v>
      </c>
      <c r="D567" s="7">
        <v>4.1551246537396169E-2</v>
      </c>
      <c r="E567" s="7">
        <v>-1.2942779291553186E-2</v>
      </c>
      <c r="F567" s="7">
        <v>1.6600832148312428E-3</v>
      </c>
      <c r="G567" s="7"/>
      <c r="H567" s="7">
        <f t="shared" si="15"/>
        <v>-7.2133321249412408E-3</v>
      </c>
      <c r="I567" s="7">
        <f t="shared" si="15"/>
        <v>5.6584530779102415E-3</v>
      </c>
      <c r="J567" s="7">
        <f t="shared" si="15"/>
        <v>3.9891163322564926E-2</v>
      </c>
      <c r="K567" s="7">
        <f t="shared" si="14"/>
        <v>-1.4602862506384429E-2</v>
      </c>
      <c r="L567" s="7"/>
    </row>
    <row r="568" spans="1:12" x14ac:dyDescent="0.25">
      <c r="A568" s="2" t="s">
        <v>698</v>
      </c>
      <c r="B568" s="7">
        <v>-7.778872582067109E-4</v>
      </c>
      <c r="C568" s="7">
        <v>1.8201807964817851E-2</v>
      </c>
      <c r="D568" s="7">
        <v>1.1204481792717047E-2</v>
      </c>
      <c r="E568" s="7">
        <v>3.9660056657224052E-2</v>
      </c>
      <c r="F568" s="7">
        <v>1.030148882054327E-2</v>
      </c>
      <c r="G568" s="7"/>
      <c r="H568" s="7">
        <f t="shared" si="15"/>
        <v>-1.1079376078749981E-2</v>
      </c>
      <c r="I568" s="7">
        <f t="shared" si="15"/>
        <v>7.9003191442745813E-3</v>
      </c>
      <c r="J568" s="7">
        <f t="shared" si="15"/>
        <v>9.0299297217377728E-4</v>
      </c>
      <c r="K568" s="7">
        <f t="shared" si="14"/>
        <v>2.9358567836680782E-2</v>
      </c>
      <c r="L568" s="7"/>
    </row>
    <row r="569" spans="1:12" x14ac:dyDescent="0.25">
      <c r="A569" s="2" t="s">
        <v>699</v>
      </c>
      <c r="B569" s="7">
        <v>-1.0722347629796736E-2</v>
      </c>
      <c r="C569" s="7">
        <v>-2.4198354988675619E-2</v>
      </c>
      <c r="D569" s="7">
        <v>2.8089887640447841E-3</v>
      </c>
      <c r="E569" s="7">
        <v>-1.3966480446927387E-2</v>
      </c>
      <c r="F569" s="7">
        <v>-1.4684263175886003E-2</v>
      </c>
      <c r="G569" s="7"/>
      <c r="H569" s="7">
        <f t="shared" si="15"/>
        <v>3.9619155460892674E-3</v>
      </c>
      <c r="I569" s="7">
        <f t="shared" si="15"/>
        <v>-9.5140918127896157E-3</v>
      </c>
      <c r="J569" s="7">
        <f t="shared" si="15"/>
        <v>1.7493251939930787E-2</v>
      </c>
      <c r="K569" s="7">
        <f t="shared" si="14"/>
        <v>7.1778272895861583E-4</v>
      </c>
      <c r="L569" s="7"/>
    </row>
    <row r="570" spans="1:12" x14ac:dyDescent="0.25">
      <c r="A570" s="2" t="s">
        <v>700</v>
      </c>
      <c r="B570" s="7">
        <v>5.3641427687229903E-3</v>
      </c>
      <c r="C570" s="7">
        <v>3.5889460461777656E-3</v>
      </c>
      <c r="D570" s="7">
        <v>3.790087463556846E-2</v>
      </c>
      <c r="E570" s="7">
        <v>2.0961072294310545E-2</v>
      </c>
      <c r="F570" s="7">
        <v>5.8663955313296157E-3</v>
      </c>
      <c r="G570" s="7"/>
      <c r="H570" s="7">
        <f t="shared" si="15"/>
        <v>-5.0225276260662532E-4</v>
      </c>
      <c r="I570" s="7">
        <f t="shared" si="15"/>
        <v>-2.2774494851518501E-3</v>
      </c>
      <c r="J570" s="7">
        <f t="shared" si="15"/>
        <v>3.2034479104238844E-2</v>
      </c>
      <c r="K570" s="7">
        <f t="shared" si="14"/>
        <v>1.509467676298093E-2</v>
      </c>
      <c r="L570" s="7"/>
    </row>
    <row r="571" spans="1:12" x14ac:dyDescent="0.25">
      <c r="A571" s="2" t="s">
        <v>111</v>
      </c>
      <c r="B571" s="7">
        <v>-8.4893116497902765E-3</v>
      </c>
      <c r="C571" s="7">
        <v>-1.0417899846099199E-2</v>
      </c>
      <c r="D571" s="7">
        <v>1.7804154302670572E-2</v>
      </c>
      <c r="E571" s="7">
        <v>-8.9033352176371983E-3</v>
      </c>
      <c r="F571" s="7">
        <v>4.5283194785548098E-3</v>
      </c>
      <c r="G571" s="7"/>
      <c r="H571" s="7">
        <f t="shared" si="15"/>
        <v>-1.3017631128345086E-2</v>
      </c>
      <c r="I571" s="7">
        <f t="shared" si="15"/>
        <v>-1.4946219324654009E-2</v>
      </c>
      <c r="J571" s="7">
        <f t="shared" si="15"/>
        <v>1.3275834824115762E-2</v>
      </c>
      <c r="K571" s="7">
        <f t="shared" si="14"/>
        <v>-1.3431654696192008E-2</v>
      </c>
      <c r="L571" s="7"/>
    </row>
    <row r="572" spans="1:12" x14ac:dyDescent="0.25">
      <c r="A572" s="2" t="s">
        <v>701</v>
      </c>
      <c r="B572" s="7">
        <v>-2.7031162339981041E-3</v>
      </c>
      <c r="C572" s="7">
        <v>-5.915759583530189E-4</v>
      </c>
      <c r="D572" s="7">
        <v>8.0128205128205066E-2</v>
      </c>
      <c r="E572" s="7">
        <v>2.7592216090618793E-2</v>
      </c>
      <c r="F572" s="7">
        <v>-7.6278458751466438E-5</v>
      </c>
      <c r="G572" s="7"/>
      <c r="H572" s="7">
        <f t="shared" si="15"/>
        <v>-2.6268377752466376E-3</v>
      </c>
      <c r="I572" s="7">
        <f t="shared" si="15"/>
        <v>-5.1529749960155247E-4</v>
      </c>
      <c r="J572" s="7">
        <f t="shared" si="15"/>
        <v>8.0204483586956532E-2</v>
      </c>
      <c r="K572" s="7">
        <f t="shared" si="14"/>
        <v>2.7668494549370259E-2</v>
      </c>
      <c r="L572" s="7"/>
    </row>
    <row r="573" spans="1:12" x14ac:dyDescent="0.25">
      <c r="A573" s="2" t="s">
        <v>702</v>
      </c>
      <c r="B573" s="7">
        <v>7.6561861984481006E-4</v>
      </c>
      <c r="C573" s="7">
        <v>2.7348972894129187E-2</v>
      </c>
      <c r="D573" s="7">
        <v>0</v>
      </c>
      <c r="E573" s="7">
        <v>1.4586709886547755E-2</v>
      </c>
      <c r="F573" s="7">
        <v>2.6470706954828671E-3</v>
      </c>
      <c r="G573" s="7"/>
      <c r="H573" s="7">
        <f t="shared" si="15"/>
        <v>-1.8814520756380571E-3</v>
      </c>
      <c r="I573" s="7">
        <f t="shared" si="15"/>
        <v>2.4701902198646319E-2</v>
      </c>
      <c r="J573" s="7">
        <f t="shared" si="15"/>
        <v>-2.6470706954828671E-3</v>
      </c>
      <c r="K573" s="7">
        <f t="shared" si="14"/>
        <v>1.1939639191064888E-2</v>
      </c>
      <c r="L573" s="7"/>
    </row>
    <row r="574" spans="1:12" x14ac:dyDescent="0.25">
      <c r="A574" s="2" t="s">
        <v>703</v>
      </c>
      <c r="B574" s="7">
        <v>1.6657153235431377E-2</v>
      </c>
      <c r="C574" s="7">
        <v>1.5929859224499854E-2</v>
      </c>
      <c r="D574" s="7">
        <v>9.7087378640776656E-3</v>
      </c>
      <c r="E574" s="7">
        <v>1.0324483775812077E-3</v>
      </c>
      <c r="F574" s="7">
        <v>1.3650752632599072E-2</v>
      </c>
      <c r="G574" s="7"/>
      <c r="H574" s="7">
        <f t="shared" si="15"/>
        <v>3.0064006028323043E-3</v>
      </c>
      <c r="I574" s="7">
        <f t="shared" si="15"/>
        <v>2.2791065919007814E-3</v>
      </c>
      <c r="J574" s="7">
        <f t="shared" si="15"/>
        <v>-3.9420147685214069E-3</v>
      </c>
      <c r="K574" s="7">
        <f t="shared" si="14"/>
        <v>-1.2618304255017865E-2</v>
      </c>
      <c r="L574" s="7"/>
    </row>
    <row r="575" spans="1:12" x14ac:dyDescent="0.25">
      <c r="A575" s="2" t="s">
        <v>704</v>
      </c>
      <c r="B575" s="7">
        <v>7.9502066007637318E-3</v>
      </c>
      <c r="C575" s="7">
        <v>-5.7704112952731146E-3</v>
      </c>
      <c r="D575" s="7">
        <v>-1.2779552715655007E-2</v>
      </c>
      <c r="E575" s="7">
        <v>2.9507229271175106E-4</v>
      </c>
      <c r="F575" s="7">
        <v>4.599302532861449E-3</v>
      </c>
      <c r="G575" s="7"/>
      <c r="H575" s="7">
        <f t="shared" si="15"/>
        <v>3.3509040679022828E-3</v>
      </c>
      <c r="I575" s="7">
        <f t="shared" si="15"/>
        <v>-1.0369713828134564E-2</v>
      </c>
      <c r="J575" s="7">
        <f t="shared" si="15"/>
        <v>-1.7378855248516456E-2</v>
      </c>
      <c r="K575" s="7">
        <f t="shared" si="14"/>
        <v>-4.3042302401496979E-3</v>
      </c>
      <c r="L575" s="7"/>
    </row>
    <row r="576" spans="1:12" x14ac:dyDescent="0.25">
      <c r="A576" s="2" t="s">
        <v>112</v>
      </c>
      <c r="B576" s="7">
        <v>-1.2958182756840464E-2</v>
      </c>
      <c r="C576" s="7">
        <v>-2.0828228375397995E-3</v>
      </c>
      <c r="D576" s="7">
        <v>-9.493670886076E-3</v>
      </c>
      <c r="E576" s="7">
        <v>-1.065537877682099E-2</v>
      </c>
      <c r="F576" s="7">
        <v>3.9245325636296791E-3</v>
      </c>
      <c r="G576" s="7"/>
      <c r="H576" s="7">
        <f t="shared" si="15"/>
        <v>-1.6882715320470143E-2</v>
      </c>
      <c r="I576" s="7">
        <f t="shared" si="15"/>
        <v>-6.0073554011694785E-3</v>
      </c>
      <c r="J576" s="7">
        <f t="shared" si="15"/>
        <v>-1.3418203449705679E-2</v>
      </c>
      <c r="K576" s="7">
        <f t="shared" si="14"/>
        <v>-1.4579911340450669E-2</v>
      </c>
      <c r="L576" s="7"/>
    </row>
    <row r="577" spans="1:12" x14ac:dyDescent="0.25">
      <c r="A577" s="2" t="s">
        <v>705</v>
      </c>
      <c r="B577" s="7">
        <v>7.4374577417173349E-3</v>
      </c>
      <c r="C577" s="7">
        <v>8.5836909871250811E-4</v>
      </c>
      <c r="D577" s="7">
        <v>-1.2499999999999956E-2</v>
      </c>
      <c r="E577" s="7">
        <v>-2.6204687727470199E-3</v>
      </c>
      <c r="F577" s="7">
        <v>4.0954381006588214E-3</v>
      </c>
      <c r="G577" s="7"/>
      <c r="H577" s="7">
        <f t="shared" si="15"/>
        <v>3.3420196410585135E-3</v>
      </c>
      <c r="I577" s="7">
        <f t="shared" si="15"/>
        <v>-3.2370690019463133E-3</v>
      </c>
      <c r="J577" s="7">
        <f t="shared" si="15"/>
        <v>-1.6595438100658777E-2</v>
      </c>
      <c r="K577" s="7">
        <f t="shared" si="14"/>
        <v>-6.7159068734058414E-3</v>
      </c>
      <c r="L577" s="7"/>
    </row>
    <row r="578" spans="1:12" x14ac:dyDescent="0.25">
      <c r="A578" s="2" t="s">
        <v>706</v>
      </c>
      <c r="B578" s="7">
        <v>1.0139749921193708E-2</v>
      </c>
      <c r="C578" s="7">
        <v>4.8053228191227149E-3</v>
      </c>
      <c r="D578" s="7">
        <v>3.1347962382446415E-3</v>
      </c>
      <c r="E578" s="7">
        <v>1.1783767859773198E-2</v>
      </c>
      <c r="F578" s="7">
        <v>7.9681887922204986E-3</v>
      </c>
      <c r="G578" s="7"/>
      <c r="H578" s="7">
        <f t="shared" si="15"/>
        <v>2.1715611289732095E-3</v>
      </c>
      <c r="I578" s="7">
        <f t="shared" si="15"/>
        <v>-3.1628659730977837E-3</v>
      </c>
      <c r="J578" s="7">
        <f t="shared" si="15"/>
        <v>-4.8333925539758571E-3</v>
      </c>
      <c r="K578" s="7">
        <f t="shared" si="15"/>
        <v>3.815579067552699E-3</v>
      </c>
      <c r="L578" s="7"/>
    </row>
    <row r="579" spans="1:12" x14ac:dyDescent="0.25">
      <c r="A579" s="2" t="s">
        <v>707</v>
      </c>
      <c r="B579" s="7">
        <v>-5.6939873583032874E-3</v>
      </c>
      <c r="C579" s="7">
        <v>1.0835720513139746E-2</v>
      </c>
      <c r="D579" s="7">
        <v>0</v>
      </c>
      <c r="E579" s="7">
        <v>-1.2365434972359535E-2</v>
      </c>
      <c r="F579" s="7">
        <v>-3.9061302598102365E-3</v>
      </c>
      <c r="G579" s="7"/>
      <c r="H579" s="7">
        <f t="shared" ref="H579:K642" si="16">B579-$F579</f>
        <v>-1.7878570984930509E-3</v>
      </c>
      <c r="I579" s="7">
        <f t="shared" si="16"/>
        <v>1.4741850772949983E-2</v>
      </c>
      <c r="J579" s="7">
        <f t="shared" si="16"/>
        <v>3.9061302598102365E-3</v>
      </c>
      <c r="K579" s="7">
        <f t="shared" si="16"/>
        <v>-8.4593047125492982E-3</v>
      </c>
      <c r="L579" s="7"/>
    </row>
    <row r="580" spans="1:12" x14ac:dyDescent="0.25">
      <c r="A580" s="2" t="s">
        <v>708</v>
      </c>
      <c r="B580" s="7">
        <v>2.1068914017495333E-2</v>
      </c>
      <c r="C580" s="7">
        <v>-1.7017629774730647E-2</v>
      </c>
      <c r="D580" s="7">
        <v>-1.8461538461538529E-2</v>
      </c>
      <c r="E580" s="7">
        <v>-8.9388696655133826E-3</v>
      </c>
      <c r="F580" s="7">
        <v>-5.6895517946142782E-4</v>
      </c>
      <c r="G580" s="7"/>
      <c r="H580" s="7">
        <f t="shared" si="16"/>
        <v>2.163786919695676E-2</v>
      </c>
      <c r="I580" s="7">
        <f t="shared" si="16"/>
        <v>-1.6448674595269219E-2</v>
      </c>
      <c r="J580" s="7">
        <f t="shared" si="16"/>
        <v>-1.7892583282077101E-2</v>
      </c>
      <c r="K580" s="7">
        <f t="shared" si="16"/>
        <v>-8.3699144860519548E-3</v>
      </c>
      <c r="L580" s="7"/>
    </row>
    <row r="581" spans="1:12" x14ac:dyDescent="0.25">
      <c r="A581" s="2" t="s">
        <v>113</v>
      </c>
      <c r="B581" s="7">
        <v>-9.4573889153062307E-3</v>
      </c>
      <c r="C581" s="7">
        <v>3.6022323693556624E-2</v>
      </c>
      <c r="D581" s="7">
        <v>-1.812688821752273E-2</v>
      </c>
      <c r="E581" s="7">
        <v>-1.2950049807883834E-2</v>
      </c>
      <c r="F581" s="7">
        <v>-5.4084877345945692E-3</v>
      </c>
      <c r="G581" s="7"/>
      <c r="H581" s="7">
        <f t="shared" si="16"/>
        <v>-4.0489011807116615E-3</v>
      </c>
      <c r="I581" s="7">
        <f t="shared" si="16"/>
        <v>4.1430811428151193E-2</v>
      </c>
      <c r="J581" s="7">
        <f t="shared" si="16"/>
        <v>-1.271840048292816E-2</v>
      </c>
      <c r="K581" s="7">
        <f t="shared" si="16"/>
        <v>-7.5415620732892652E-3</v>
      </c>
      <c r="L581" s="7"/>
    </row>
    <row r="582" spans="1:12" x14ac:dyDescent="0.25">
      <c r="A582" s="2" t="s">
        <v>709</v>
      </c>
      <c r="B582" s="7">
        <v>6.7553191489362341E-3</v>
      </c>
      <c r="C582" s="7">
        <v>7.9263615443621038E-3</v>
      </c>
      <c r="D582" s="7">
        <v>4.7468354430379778E-2</v>
      </c>
      <c r="E582" s="7">
        <v>-1.1812684573196508E-2</v>
      </c>
      <c r="F582" s="7">
        <v>5.873724769035471E-3</v>
      </c>
      <c r="G582" s="7"/>
      <c r="H582" s="7">
        <f t="shared" si="16"/>
        <v>8.8159437990076306E-4</v>
      </c>
      <c r="I582" s="7">
        <f t="shared" si="16"/>
        <v>2.0526367753266328E-3</v>
      </c>
      <c r="J582" s="7">
        <f t="shared" si="16"/>
        <v>4.1594629661344307E-2</v>
      </c>
      <c r="K582" s="7">
        <f t="shared" si="16"/>
        <v>-1.7686409342231979E-2</v>
      </c>
      <c r="L582" s="7"/>
    </row>
    <row r="583" spans="1:12" x14ac:dyDescent="0.25">
      <c r="A583" s="2" t="s">
        <v>710</v>
      </c>
      <c r="B583" s="7">
        <v>3.0946537189200374E-3</v>
      </c>
      <c r="C583" s="7">
        <v>6.0450160771703398E-3</v>
      </c>
      <c r="D583" s="7">
        <v>-1.2499999999999956E-2</v>
      </c>
      <c r="E583" s="7">
        <v>2.8204766605557374E-3</v>
      </c>
      <c r="F583" s="7">
        <v>3.7841330116161753E-3</v>
      </c>
      <c r="G583" s="7"/>
      <c r="H583" s="7">
        <f t="shared" si="16"/>
        <v>-6.8947929269613795E-4</v>
      </c>
      <c r="I583" s="7">
        <f t="shared" si="16"/>
        <v>2.2608830655541645E-3</v>
      </c>
      <c r="J583" s="7">
        <f t="shared" si="16"/>
        <v>-1.6284133011616131E-2</v>
      </c>
      <c r="K583" s="7">
        <f t="shared" si="16"/>
        <v>-9.636563510604379E-4</v>
      </c>
      <c r="L583" s="7"/>
    </row>
    <row r="584" spans="1:12" x14ac:dyDescent="0.25">
      <c r="A584" s="2" t="s">
        <v>711</v>
      </c>
      <c r="B584" s="7">
        <v>-5.4128635109319534E-3</v>
      </c>
      <c r="C584" s="7">
        <v>-3.8570326562104018E-4</v>
      </c>
      <c r="D584" s="7">
        <v>-8.3094555873925557E-2</v>
      </c>
      <c r="E584" s="7">
        <v>-2.7030735455543353E-2</v>
      </c>
      <c r="F584" s="7">
        <v>-9.4623580371877569E-4</v>
      </c>
      <c r="G584" s="7"/>
      <c r="H584" s="7">
        <f t="shared" si="16"/>
        <v>-4.4666277072131777E-3</v>
      </c>
      <c r="I584" s="7">
        <f t="shared" si="16"/>
        <v>5.6053253809773551E-4</v>
      </c>
      <c r="J584" s="7">
        <f t="shared" si="16"/>
        <v>-8.2148320070206782E-2</v>
      </c>
      <c r="K584" s="7">
        <f t="shared" si="16"/>
        <v>-2.6084499651824578E-2</v>
      </c>
      <c r="L584" s="7"/>
    </row>
    <row r="585" spans="1:12" x14ac:dyDescent="0.25">
      <c r="A585" s="2" t="s">
        <v>712</v>
      </c>
      <c r="B585" s="7">
        <v>3.1942078364566306E-3</v>
      </c>
      <c r="C585" s="7">
        <v>1.4742335290280462E-2</v>
      </c>
      <c r="D585" s="7">
        <v>-2.5139664804469275E-2</v>
      </c>
      <c r="E585" s="7">
        <v>-1.018606546244738E-2</v>
      </c>
      <c r="F585" s="7">
        <v>9.801271528184774E-4</v>
      </c>
      <c r="G585" s="7"/>
      <c r="H585" s="7">
        <f t="shared" si="16"/>
        <v>2.2140806836381532E-3</v>
      </c>
      <c r="I585" s="7">
        <f t="shared" si="16"/>
        <v>1.3762208137461984E-2</v>
      </c>
      <c r="J585" s="7">
        <f t="shared" si="16"/>
        <v>-2.6119791957287752E-2</v>
      </c>
      <c r="K585" s="7">
        <f t="shared" si="16"/>
        <v>-1.1166192615265857E-2</v>
      </c>
      <c r="L585" s="7"/>
    </row>
    <row r="586" spans="1:12" x14ac:dyDescent="0.25">
      <c r="A586" s="2" t="s">
        <v>114</v>
      </c>
      <c r="B586" s="7">
        <v>-9.573449633017983E-4</v>
      </c>
      <c r="C586" s="7">
        <v>1.1747624076029473E-2</v>
      </c>
      <c r="D586" s="7">
        <v>-1.1049723756906049E-2</v>
      </c>
      <c r="E586" s="7">
        <v>-1.2208210356855487E-2</v>
      </c>
      <c r="F586" s="7">
        <v>-1.9542302175314941E-3</v>
      </c>
      <c r="G586" s="7"/>
      <c r="H586" s="7">
        <f t="shared" si="16"/>
        <v>9.9688525422969576E-4</v>
      </c>
      <c r="I586" s="7">
        <f t="shared" si="16"/>
        <v>1.3701854293560967E-2</v>
      </c>
      <c r="J586" s="7">
        <f t="shared" si="16"/>
        <v>-9.0954935393745551E-3</v>
      </c>
      <c r="K586" s="7">
        <f t="shared" si="16"/>
        <v>-1.0253980139323993E-2</v>
      </c>
      <c r="L586" s="7"/>
    </row>
    <row r="587" spans="1:12" x14ac:dyDescent="0.25">
      <c r="A587" s="2" t="s">
        <v>713</v>
      </c>
      <c r="B587" s="7">
        <v>-6.9715855075525024E-3</v>
      </c>
      <c r="C587" s="7">
        <v>6.1088977423640056E-3</v>
      </c>
      <c r="D587" s="7">
        <v>5.5555555555555358E-3</v>
      </c>
      <c r="E587" s="7">
        <v>-6.0008001066806926E-3</v>
      </c>
      <c r="F587" s="7">
        <v>5.9693369207880487E-4</v>
      </c>
      <c r="G587" s="7"/>
      <c r="H587" s="7">
        <f t="shared" si="16"/>
        <v>-7.5685191996313073E-3</v>
      </c>
      <c r="I587" s="7">
        <f t="shared" si="16"/>
        <v>5.5119640502852008E-3</v>
      </c>
      <c r="J587" s="7">
        <f t="shared" si="16"/>
        <v>4.958621863476731E-3</v>
      </c>
      <c r="K587" s="7">
        <f t="shared" si="16"/>
        <v>-6.5977337987594975E-3</v>
      </c>
      <c r="L587" s="7"/>
    </row>
    <row r="588" spans="1:12" x14ac:dyDescent="0.25">
      <c r="A588" s="2" t="s">
        <v>714</v>
      </c>
      <c r="B588" s="7">
        <v>3.4979860080559533E-3</v>
      </c>
      <c r="C588" s="7">
        <v>1.4688047432960483E-2</v>
      </c>
      <c r="D588" s="7">
        <v>1.1235955056179803E-2</v>
      </c>
      <c r="E588" s="7">
        <v>2.6677337601710427E-4</v>
      </c>
      <c r="F588" s="7">
        <v>4.0610904347329058E-3</v>
      </c>
      <c r="G588" s="7"/>
      <c r="H588" s="7">
        <f t="shared" si="16"/>
        <v>-5.6310442667695249E-4</v>
      </c>
      <c r="I588" s="7">
        <f t="shared" si="16"/>
        <v>1.0626956998227577E-2</v>
      </c>
      <c r="J588" s="7">
        <f t="shared" si="16"/>
        <v>7.174864621446897E-3</v>
      </c>
      <c r="K588" s="7">
        <f t="shared" si="16"/>
        <v>-3.7943170587158015E-3</v>
      </c>
      <c r="L588" s="7"/>
    </row>
    <row r="589" spans="1:12" x14ac:dyDescent="0.25">
      <c r="A589" s="2" t="s">
        <v>715</v>
      </c>
      <c r="B589" s="7">
        <v>-4.2220814861726463E-3</v>
      </c>
      <c r="C589" s="7">
        <v>-1.0533333333333394E-2</v>
      </c>
      <c r="D589" s="7">
        <v>-2.8011204481792618E-3</v>
      </c>
      <c r="E589" s="7">
        <v>6.1736679640316261E-3</v>
      </c>
      <c r="F589" s="7">
        <v>-2.020943928152108E-3</v>
      </c>
      <c r="G589" s="7"/>
      <c r="H589" s="7">
        <f t="shared" si="16"/>
        <v>-2.2011375580205383E-3</v>
      </c>
      <c r="I589" s="7">
        <f t="shared" si="16"/>
        <v>-8.5123894051812865E-3</v>
      </c>
      <c r="J589" s="7">
        <f t="shared" si="16"/>
        <v>-7.8017652002715376E-4</v>
      </c>
      <c r="K589" s="7">
        <f t="shared" si="16"/>
        <v>8.1946118921837341E-3</v>
      </c>
      <c r="L589" s="7"/>
    </row>
    <row r="590" spans="1:12" x14ac:dyDescent="0.25">
      <c r="A590" s="2" t="s">
        <v>115</v>
      </c>
      <c r="B590" s="7">
        <v>9.2681367849152263E-3</v>
      </c>
      <c r="C590" s="7">
        <v>-3.7194473963868546E-3</v>
      </c>
      <c r="D590" s="7">
        <v>0</v>
      </c>
      <c r="E590" s="7">
        <v>1.0990502035278293E-2</v>
      </c>
      <c r="F590" s="7">
        <v>7.3903084168878141E-3</v>
      </c>
      <c r="G590" s="7"/>
      <c r="H590" s="7">
        <f t="shared" si="16"/>
        <v>1.8778283680274122E-3</v>
      </c>
      <c r="I590" s="7">
        <f t="shared" si="16"/>
        <v>-1.1109755813274669E-2</v>
      </c>
      <c r="J590" s="7">
        <f t="shared" si="16"/>
        <v>-7.3903084168878141E-3</v>
      </c>
      <c r="K590" s="7">
        <f t="shared" si="16"/>
        <v>3.6001936183904792E-3</v>
      </c>
      <c r="L590" s="7"/>
    </row>
    <row r="591" spans="1:12" x14ac:dyDescent="0.25">
      <c r="A591" s="2" t="s">
        <v>716</v>
      </c>
      <c r="B591" s="7">
        <v>-1.065189603748351E-4</v>
      </c>
      <c r="C591" s="7">
        <v>-3.8375016540954654E-3</v>
      </c>
      <c r="D591" s="7">
        <v>1.1331444759206777E-2</v>
      </c>
      <c r="E591" s="7">
        <v>-1.9033674963396696E-2</v>
      </c>
      <c r="F591" s="7">
        <v>1.2820967827800178E-3</v>
      </c>
      <c r="G591" s="7"/>
      <c r="H591" s="7">
        <f t="shared" si="16"/>
        <v>-1.3886157431548529E-3</v>
      </c>
      <c r="I591" s="7">
        <f t="shared" si="16"/>
        <v>-5.1195984368754832E-3</v>
      </c>
      <c r="J591" s="7">
        <f t="shared" si="16"/>
        <v>1.0049347976426759E-2</v>
      </c>
      <c r="K591" s="7">
        <f t="shared" si="16"/>
        <v>-2.0315771746176714E-2</v>
      </c>
      <c r="L591" s="7"/>
    </row>
    <row r="592" spans="1:12" x14ac:dyDescent="0.25">
      <c r="A592" s="2" t="s">
        <v>717</v>
      </c>
      <c r="B592" s="7">
        <v>9.0283748925192864E-3</v>
      </c>
      <c r="C592" s="7">
        <v>4.1190539463191733E-3</v>
      </c>
      <c r="D592" s="7">
        <v>-1.6713091922005541E-2</v>
      </c>
      <c r="E592" s="7">
        <v>-9.1425807231829803E-2</v>
      </c>
      <c r="F592" s="7">
        <v>1.1903492875668942E-3</v>
      </c>
      <c r="G592" s="7"/>
      <c r="H592" s="7">
        <f t="shared" si="16"/>
        <v>7.8380256049523922E-3</v>
      </c>
      <c r="I592" s="7">
        <f t="shared" si="16"/>
        <v>2.9287046587522791E-3</v>
      </c>
      <c r="J592" s="7">
        <f t="shared" si="16"/>
        <v>-1.7903441209572435E-2</v>
      </c>
      <c r="K592" s="7">
        <f t="shared" si="16"/>
        <v>-9.2616156519396697E-2</v>
      </c>
      <c r="L592" s="7"/>
    </row>
    <row r="593" spans="1:12" x14ac:dyDescent="0.25">
      <c r="A593" s="2" t="s">
        <v>718</v>
      </c>
      <c r="B593" s="7">
        <v>3.0726106409360021E-3</v>
      </c>
      <c r="C593" s="7">
        <v>1.9368820262765984E-2</v>
      </c>
      <c r="D593" s="7">
        <v>-1.9125683060109422E-2</v>
      </c>
      <c r="E593" s="7">
        <v>3.8166980539861894E-2</v>
      </c>
      <c r="F593" s="7">
        <v>1.597081655804411E-3</v>
      </c>
      <c r="G593" s="7"/>
      <c r="H593" s="7">
        <f t="shared" si="16"/>
        <v>1.4755289851315911E-3</v>
      </c>
      <c r="I593" s="7">
        <f t="shared" si="16"/>
        <v>1.7771738606961573E-2</v>
      </c>
      <c r="J593" s="7">
        <f t="shared" si="16"/>
        <v>-2.0722764715913833E-2</v>
      </c>
      <c r="K593" s="7">
        <f t="shared" si="16"/>
        <v>3.6569898884057483E-2</v>
      </c>
      <c r="L593" s="7"/>
    </row>
    <row r="594" spans="1:12" x14ac:dyDescent="0.25">
      <c r="A594" s="2" t="s">
        <v>719</v>
      </c>
      <c r="B594" s="7">
        <v>1.4270092946965462E-2</v>
      </c>
      <c r="C594" s="7">
        <v>2.4705065926440062E-2</v>
      </c>
      <c r="D594" s="7">
        <v>-2.6595744680851019E-2</v>
      </c>
      <c r="E594" s="7">
        <v>1.9585253456221308E-2</v>
      </c>
      <c r="F594" s="7">
        <v>1.9074928313177919E-2</v>
      </c>
      <c r="G594" s="7"/>
      <c r="H594" s="7">
        <f t="shared" si="16"/>
        <v>-4.8048353662124565E-3</v>
      </c>
      <c r="I594" s="7">
        <f t="shared" si="16"/>
        <v>5.6301376132621428E-3</v>
      </c>
      <c r="J594" s="7">
        <f t="shared" si="16"/>
        <v>-4.5670672994028938E-2</v>
      </c>
      <c r="K594" s="7">
        <f t="shared" si="16"/>
        <v>5.1032514304338861E-4</v>
      </c>
      <c r="L594" s="7"/>
    </row>
    <row r="595" spans="1:12" x14ac:dyDescent="0.25">
      <c r="A595" s="2" t="s">
        <v>116</v>
      </c>
      <c r="B595" s="7">
        <v>-8.5646140503035095E-3</v>
      </c>
      <c r="C595" s="7">
        <v>-1.3860013860015341E-3</v>
      </c>
      <c r="D595" s="7">
        <v>5.3475935828874999E-3</v>
      </c>
      <c r="E595" s="7">
        <v>-5.9804046316325188E-3</v>
      </c>
      <c r="F595" s="7">
        <v>-8.3574165843747217E-4</v>
      </c>
      <c r="G595" s="7"/>
      <c r="H595" s="7">
        <f t="shared" si="16"/>
        <v>-7.7288723918660374E-3</v>
      </c>
      <c r="I595" s="7">
        <f t="shared" si="16"/>
        <v>-5.5025972756406194E-4</v>
      </c>
      <c r="J595" s="7">
        <f t="shared" si="16"/>
        <v>6.183335241324972E-3</v>
      </c>
      <c r="K595" s="7">
        <f t="shared" si="16"/>
        <v>-5.1446629731950466E-3</v>
      </c>
      <c r="L595" s="7"/>
    </row>
    <row r="596" spans="1:12" x14ac:dyDescent="0.25">
      <c r="A596" s="2" t="s">
        <v>720</v>
      </c>
      <c r="B596" s="7">
        <v>2.3183582917359891E-2</v>
      </c>
      <c r="C596" s="7">
        <v>1.220538720538733E-2</v>
      </c>
      <c r="D596" s="7">
        <v>2.6809651474530849E-3</v>
      </c>
      <c r="E596" s="7">
        <v>2.5455008272889934E-4</v>
      </c>
      <c r="F596" s="7">
        <v>1.5616409996894509E-2</v>
      </c>
      <c r="G596" s="7"/>
      <c r="H596" s="7">
        <f t="shared" si="16"/>
        <v>7.5671729204653815E-3</v>
      </c>
      <c r="I596" s="7">
        <f t="shared" si="16"/>
        <v>-3.4110227915071789E-3</v>
      </c>
      <c r="J596" s="7">
        <f t="shared" si="16"/>
        <v>-1.2935444849441424E-2</v>
      </c>
      <c r="K596" s="7">
        <f t="shared" si="16"/>
        <v>-1.536185991416561E-2</v>
      </c>
      <c r="L596" s="7"/>
    </row>
    <row r="597" spans="1:12" x14ac:dyDescent="0.25">
      <c r="A597" s="2" t="s">
        <v>721</v>
      </c>
      <c r="B597" s="7">
        <v>-2.5999889362172679E-3</v>
      </c>
      <c r="C597" s="7">
        <v>-6.8273651943708824E-3</v>
      </c>
      <c r="D597" s="7">
        <v>8.1081081081080253E-3</v>
      </c>
      <c r="E597" s="7">
        <v>-2.4338755743201435E-2</v>
      </c>
      <c r="F597" s="7">
        <v>-8.0839102122395312E-3</v>
      </c>
      <c r="G597" s="7"/>
      <c r="H597" s="7">
        <f t="shared" si="16"/>
        <v>5.4839212760222633E-3</v>
      </c>
      <c r="I597" s="7">
        <f t="shared" si="16"/>
        <v>1.2565450178686488E-3</v>
      </c>
      <c r="J597" s="7">
        <f t="shared" si="16"/>
        <v>1.6192018320347557E-2</v>
      </c>
      <c r="K597" s="7">
        <f t="shared" si="16"/>
        <v>-1.6254845530961903E-2</v>
      </c>
      <c r="L597" s="7"/>
    </row>
    <row r="598" spans="1:12" x14ac:dyDescent="0.25">
      <c r="A598" s="2" t="s">
        <v>722</v>
      </c>
      <c r="B598" s="7">
        <v>5.8983918535417956E-3</v>
      </c>
      <c r="C598" s="7">
        <v>-8.8385582101919713E-3</v>
      </c>
      <c r="D598" s="7">
        <v>-2.1164021164021052E-2</v>
      </c>
      <c r="E598" s="7">
        <v>-7.1507828874367574E-3</v>
      </c>
      <c r="F598" s="7">
        <v>1.0049378994057001E-3</v>
      </c>
      <c r="G598" s="7"/>
      <c r="H598" s="7">
        <f t="shared" si="16"/>
        <v>4.8934539541360955E-3</v>
      </c>
      <c r="I598" s="7">
        <f t="shared" si="16"/>
        <v>-9.8434961095976714E-3</v>
      </c>
      <c r="J598" s="7">
        <f t="shared" si="16"/>
        <v>-2.2168959063426752E-2</v>
      </c>
      <c r="K598" s="7">
        <f t="shared" si="16"/>
        <v>-8.1557207868424575E-3</v>
      </c>
      <c r="L598" s="7"/>
    </row>
    <row r="599" spans="1:12" x14ac:dyDescent="0.25">
      <c r="A599" s="2" t="s">
        <v>723</v>
      </c>
      <c r="B599" s="7">
        <v>1.4451030200395065E-2</v>
      </c>
      <c r="C599" s="7">
        <v>-3.9889958734525832E-3</v>
      </c>
      <c r="D599" s="7">
        <v>-7.8740157480315931E-3</v>
      </c>
      <c r="E599" s="7">
        <v>4.9340076477122352E-4</v>
      </c>
      <c r="F599" s="7">
        <v>2.8401412741241305E-3</v>
      </c>
      <c r="G599" s="7"/>
      <c r="H599" s="7">
        <f t="shared" si="16"/>
        <v>1.1610888926270935E-2</v>
      </c>
      <c r="I599" s="7">
        <f t="shared" si="16"/>
        <v>-6.8291371475767138E-3</v>
      </c>
      <c r="J599" s="7">
        <f t="shared" si="16"/>
        <v>-1.0714157022155724E-2</v>
      </c>
      <c r="K599" s="7">
        <f t="shared" si="16"/>
        <v>-2.346740509352907E-3</v>
      </c>
      <c r="L599" s="7"/>
    </row>
    <row r="600" spans="1:12" x14ac:dyDescent="0.25">
      <c r="A600" s="2" t="s">
        <v>117</v>
      </c>
      <c r="B600" s="7">
        <v>1.4604810996563744E-2</v>
      </c>
      <c r="C600" s="7">
        <v>-3.5635964912279494E-3</v>
      </c>
      <c r="D600" s="7">
        <v>0</v>
      </c>
      <c r="E600" s="7">
        <v>6.1713157245124606E-4</v>
      </c>
      <c r="F600" s="7">
        <v>1.7529609897344312E-3</v>
      </c>
      <c r="G600" s="7"/>
      <c r="H600" s="7">
        <f t="shared" si="16"/>
        <v>1.2851850006829313E-2</v>
      </c>
      <c r="I600" s="7">
        <f t="shared" si="16"/>
        <v>-5.3165574809623806E-3</v>
      </c>
      <c r="J600" s="7">
        <f t="shared" si="16"/>
        <v>-1.7529609897344312E-3</v>
      </c>
      <c r="K600" s="7">
        <f t="shared" si="16"/>
        <v>-1.1358294172831851E-3</v>
      </c>
      <c r="L600" s="7"/>
    </row>
    <row r="601" spans="1:12" x14ac:dyDescent="0.25">
      <c r="A601" s="2" t="s">
        <v>724</v>
      </c>
      <c r="B601" s="7">
        <v>-5.1848897498717461E-3</v>
      </c>
      <c r="C601" s="7">
        <v>1.672240802675562E-2</v>
      </c>
      <c r="D601" s="7">
        <v>7.9365079365079083E-3</v>
      </c>
      <c r="E601" s="7">
        <v>2.2850650170433084E-2</v>
      </c>
      <c r="F601" s="7">
        <v>9.3937162152772924E-3</v>
      </c>
      <c r="G601" s="7"/>
      <c r="H601" s="7">
        <f t="shared" si="16"/>
        <v>-1.4578605965149039E-2</v>
      </c>
      <c r="I601" s="7">
        <f t="shared" si="16"/>
        <v>7.3286918114783273E-3</v>
      </c>
      <c r="J601" s="7">
        <f t="shared" si="16"/>
        <v>-1.4572082787693841E-3</v>
      </c>
      <c r="K601" s="7">
        <f t="shared" si="16"/>
        <v>1.3456933955155792E-2</v>
      </c>
      <c r="L601" s="7"/>
    </row>
    <row r="602" spans="1:12" x14ac:dyDescent="0.25">
      <c r="A602" s="2" t="s">
        <v>725</v>
      </c>
      <c r="B602" s="7">
        <v>2.0703692933992546E-2</v>
      </c>
      <c r="C602" s="7">
        <v>1.931818181818179E-2</v>
      </c>
      <c r="D602" s="7">
        <v>-1.3054830287206332E-2</v>
      </c>
      <c r="E602" s="7">
        <v>1.1234520617898536E-2</v>
      </c>
      <c r="F602" s="7">
        <v>1.8858574846738696E-2</v>
      </c>
      <c r="G602" s="7"/>
      <c r="H602" s="7">
        <f t="shared" si="16"/>
        <v>1.8451180872538497E-3</v>
      </c>
      <c r="I602" s="7">
        <f t="shared" si="16"/>
        <v>4.5960697144309393E-4</v>
      </c>
      <c r="J602" s="7">
        <f t="shared" si="16"/>
        <v>-3.1913405133945028E-2</v>
      </c>
      <c r="K602" s="7">
        <f t="shared" si="16"/>
        <v>-7.6240542288401603E-3</v>
      </c>
      <c r="L602" s="7"/>
    </row>
    <row r="603" spans="1:12" x14ac:dyDescent="0.25">
      <c r="A603" s="2" t="s">
        <v>726</v>
      </c>
      <c r="B603" s="7">
        <v>1.8721488239824557E-2</v>
      </c>
      <c r="C603" s="7">
        <v>-4.2432814710041677E-3</v>
      </c>
      <c r="D603" s="7">
        <v>2.4064171122994527E-2</v>
      </c>
      <c r="E603" s="7">
        <v>-7.6540375047839948E-4</v>
      </c>
      <c r="F603" s="7">
        <v>1.0505985025513809E-2</v>
      </c>
      <c r="G603" s="7"/>
      <c r="H603" s="7">
        <f t="shared" si="16"/>
        <v>8.2155032143107487E-3</v>
      </c>
      <c r="I603" s="7">
        <f t="shared" si="16"/>
        <v>-1.4749266496517976E-2</v>
      </c>
      <c r="J603" s="7">
        <f t="shared" si="16"/>
        <v>1.3558186097480718E-2</v>
      </c>
      <c r="K603" s="7">
        <f t="shared" si="16"/>
        <v>-1.1271388775992208E-2</v>
      </c>
      <c r="L603" s="7"/>
    </row>
    <row r="604" spans="1:12" x14ac:dyDescent="0.25">
      <c r="A604" s="2" t="s">
        <v>727</v>
      </c>
      <c r="B604" s="7">
        <v>2.7923003802281521E-3</v>
      </c>
      <c r="C604" s="7">
        <v>1.5950567610288902E-2</v>
      </c>
      <c r="D604" s="7">
        <v>0</v>
      </c>
      <c r="E604" s="7">
        <v>-7.2188449848022973E-3</v>
      </c>
      <c r="F604" s="7">
        <v>6.4749617214088229E-3</v>
      </c>
      <c r="G604" s="7"/>
      <c r="H604" s="7">
        <f t="shared" si="16"/>
        <v>-3.6826613411806708E-3</v>
      </c>
      <c r="I604" s="7">
        <f t="shared" si="16"/>
        <v>9.4756058888800787E-3</v>
      </c>
      <c r="J604" s="7">
        <f t="shared" si="16"/>
        <v>-6.4749617214088229E-3</v>
      </c>
      <c r="K604" s="7">
        <f t="shared" si="16"/>
        <v>-1.369380670621112E-2</v>
      </c>
      <c r="L604" s="7"/>
    </row>
    <row r="605" spans="1:12" x14ac:dyDescent="0.25">
      <c r="A605" s="2" t="s">
        <v>118</v>
      </c>
      <c r="B605" s="7">
        <v>1.2329343838335172E-2</v>
      </c>
      <c r="C605" s="7">
        <v>2.2931059826547084E-2</v>
      </c>
      <c r="D605" s="7">
        <v>-3.8560411311053922E-2</v>
      </c>
      <c r="E605" s="7">
        <v>3.9415130324220726E-3</v>
      </c>
      <c r="F605" s="7">
        <v>1.2010093822027113E-2</v>
      </c>
      <c r="G605" s="7"/>
      <c r="H605" s="7">
        <f t="shared" si="16"/>
        <v>3.1925001630805916E-4</v>
      </c>
      <c r="I605" s="7">
        <f t="shared" si="16"/>
        <v>1.0920966004519972E-2</v>
      </c>
      <c r="J605" s="7">
        <f t="shared" si="16"/>
        <v>-5.0570505133081034E-2</v>
      </c>
      <c r="K605" s="7">
        <f t="shared" si="16"/>
        <v>-8.0685807896050399E-3</v>
      </c>
      <c r="L605" s="7"/>
    </row>
    <row r="606" spans="1:12" x14ac:dyDescent="0.25">
      <c r="A606" s="2" t="s">
        <v>728</v>
      </c>
      <c r="B606" s="7">
        <v>7.9413191076624923E-3</v>
      </c>
      <c r="C606" s="7">
        <v>-1.277028007546066E-2</v>
      </c>
      <c r="D606" s="7">
        <v>1.3020833333333481E-2</v>
      </c>
      <c r="E606" s="7">
        <v>3.7008677896885889E-3</v>
      </c>
      <c r="F606" s="7">
        <v>-4.8003132530701764E-3</v>
      </c>
      <c r="G606" s="7"/>
      <c r="H606" s="7">
        <f t="shared" si="16"/>
        <v>1.2741632360732669E-2</v>
      </c>
      <c r="I606" s="7">
        <f t="shared" si="16"/>
        <v>-7.969966822390484E-3</v>
      </c>
      <c r="J606" s="7">
        <f t="shared" si="16"/>
        <v>1.7821146586403658E-2</v>
      </c>
      <c r="K606" s="7">
        <f t="shared" si="16"/>
        <v>8.5011810427587653E-3</v>
      </c>
      <c r="L606" s="7"/>
    </row>
    <row r="607" spans="1:12" x14ac:dyDescent="0.25">
      <c r="A607" s="2" t="s">
        <v>729</v>
      </c>
      <c r="B607" s="7">
        <v>-2.4597918637653704E-2</v>
      </c>
      <c r="C607" s="7">
        <v>-8.3465246798100079E-3</v>
      </c>
      <c r="D607" s="7">
        <v>2.9490616621983934E-2</v>
      </c>
      <c r="E607" s="7">
        <v>1.8323586744639409E-2</v>
      </c>
      <c r="F607" s="7">
        <v>-1.183251050332379E-2</v>
      </c>
      <c r="G607" s="7"/>
      <c r="H607" s="7">
        <f t="shared" si="16"/>
        <v>-1.2765408134329914E-2</v>
      </c>
      <c r="I607" s="7">
        <f t="shared" si="16"/>
        <v>3.4859858235137819E-3</v>
      </c>
      <c r="J607" s="7">
        <f t="shared" si="16"/>
        <v>4.1323127125307724E-2</v>
      </c>
      <c r="K607" s="7">
        <f t="shared" si="16"/>
        <v>3.0156097247963198E-2</v>
      </c>
      <c r="L607" s="7"/>
    </row>
    <row r="608" spans="1:12" x14ac:dyDescent="0.25">
      <c r="A608" s="2" t="s">
        <v>730</v>
      </c>
      <c r="B608" s="7">
        <v>-1.3474887709269079E-2</v>
      </c>
      <c r="C608" s="7">
        <v>-8.1358835284043307E-3</v>
      </c>
      <c r="D608" s="7">
        <v>6.876790830945545E-2</v>
      </c>
      <c r="E608" s="7">
        <v>-2.2236340533672183E-2</v>
      </c>
      <c r="F608" s="7">
        <v>-1.4339592436341642E-2</v>
      </c>
      <c r="G608" s="7"/>
      <c r="H608" s="7">
        <f t="shared" si="16"/>
        <v>8.6470472707256274E-4</v>
      </c>
      <c r="I608" s="7">
        <f t="shared" si="16"/>
        <v>6.2037089079373109E-3</v>
      </c>
      <c r="J608" s="7">
        <f t="shared" si="16"/>
        <v>8.3107500745797092E-2</v>
      </c>
      <c r="K608" s="7">
        <f t="shared" si="16"/>
        <v>-7.8967480973305415E-3</v>
      </c>
      <c r="L608" s="7"/>
    </row>
    <row r="609" spans="1:12" x14ac:dyDescent="0.25">
      <c r="A609" s="2" t="s">
        <v>731</v>
      </c>
      <c r="B609" s="7">
        <v>2.5146198830410249E-3</v>
      </c>
      <c r="C609" s="7">
        <v>5.2900510970844472E-2</v>
      </c>
      <c r="D609" s="7">
        <v>3.2544378698224907E-2</v>
      </c>
      <c r="E609" s="7">
        <v>2.9296364111954132E-2</v>
      </c>
      <c r="F609" s="7">
        <v>7.2657598694820802E-3</v>
      </c>
      <c r="G609" s="7"/>
      <c r="H609" s="7">
        <f t="shared" si="16"/>
        <v>-4.7511399864410553E-3</v>
      </c>
      <c r="I609" s="7">
        <f t="shared" si="16"/>
        <v>4.5634751101362392E-2</v>
      </c>
      <c r="J609" s="7">
        <f t="shared" si="16"/>
        <v>2.5278618828742827E-2</v>
      </c>
      <c r="K609" s="7">
        <f t="shared" si="16"/>
        <v>2.2030604242472052E-2</v>
      </c>
      <c r="L609" s="7"/>
    </row>
    <row r="610" spans="1:12" x14ac:dyDescent="0.25">
      <c r="A610" s="2" t="s">
        <v>119</v>
      </c>
      <c r="B610" s="7">
        <v>7.0224719101119604E-4</v>
      </c>
      <c r="C610" s="7">
        <v>-1.0998810939357839E-2</v>
      </c>
      <c r="D610" s="7">
        <v>5.9523809523809312E-3</v>
      </c>
      <c r="E610" s="7">
        <v>7.1127502634351636E-3</v>
      </c>
      <c r="F610" s="7">
        <v>-1.685542214310054E-3</v>
      </c>
      <c r="G610" s="7"/>
      <c r="H610" s="7">
        <f t="shared" si="16"/>
        <v>2.3877894053212501E-3</v>
      </c>
      <c r="I610" s="7">
        <f t="shared" si="16"/>
        <v>-9.3132687250477852E-3</v>
      </c>
      <c r="J610" s="7">
        <f t="shared" si="16"/>
        <v>7.6379231666909853E-3</v>
      </c>
      <c r="K610" s="7">
        <f t="shared" si="16"/>
        <v>8.7982924777452176E-3</v>
      </c>
      <c r="L610" s="7"/>
    </row>
    <row r="611" spans="1:12" x14ac:dyDescent="0.25">
      <c r="A611" s="2" t="s">
        <v>732</v>
      </c>
      <c r="B611" s="7">
        <v>-1.4703338522746967E-2</v>
      </c>
      <c r="C611" s="7">
        <v>-5.9101654846336338E-3</v>
      </c>
      <c r="D611" s="7">
        <v>-5.9171597633136397E-3</v>
      </c>
      <c r="E611" s="7">
        <v>-2.0387096774193481E-2</v>
      </c>
      <c r="F611" s="7">
        <v>-1.2585320243104325E-2</v>
      </c>
      <c r="G611" s="7"/>
      <c r="H611" s="7">
        <f t="shared" si="16"/>
        <v>-2.1180182796426417E-3</v>
      </c>
      <c r="I611" s="7">
        <f t="shared" si="16"/>
        <v>6.6751547584706916E-3</v>
      </c>
      <c r="J611" s="7">
        <f t="shared" si="16"/>
        <v>6.6681604797906857E-3</v>
      </c>
      <c r="K611" s="7">
        <f t="shared" si="16"/>
        <v>-7.8017765310891551E-3</v>
      </c>
      <c r="L611" s="7"/>
    </row>
    <row r="612" spans="1:12" x14ac:dyDescent="0.25">
      <c r="A612" s="2" t="s">
        <v>733</v>
      </c>
      <c r="B612" s="7">
        <v>-2.1288837744534161E-3</v>
      </c>
      <c r="C612" s="7">
        <v>-1.5133876600698426E-2</v>
      </c>
      <c r="D612" s="7">
        <v>-1.4577259475218707E-2</v>
      </c>
      <c r="E612" s="7">
        <v>-1.6871749334009922E-2</v>
      </c>
      <c r="F612" s="7">
        <v>-8.4828257544152796E-3</v>
      </c>
      <c r="G612" s="7"/>
      <c r="H612" s="7">
        <f t="shared" si="16"/>
        <v>6.3539419799618635E-3</v>
      </c>
      <c r="I612" s="7">
        <f t="shared" si="16"/>
        <v>-6.6510508462831464E-3</v>
      </c>
      <c r="J612" s="7">
        <f t="shared" si="16"/>
        <v>-6.0944337208034272E-3</v>
      </c>
      <c r="K612" s="7">
        <f t="shared" si="16"/>
        <v>-8.3889235795946426E-3</v>
      </c>
      <c r="L612" s="7"/>
    </row>
    <row r="613" spans="1:12" x14ac:dyDescent="0.25">
      <c r="A613" s="2" t="s">
        <v>734</v>
      </c>
      <c r="B613" s="7">
        <v>-7.424328954882875E-3</v>
      </c>
      <c r="C613" s="7">
        <v>-2.3724960931950534E-2</v>
      </c>
      <c r="D613" s="7">
        <v>2.9239766081872176E-3</v>
      </c>
      <c r="E613" s="7">
        <v>-1.0791818295896594E-2</v>
      </c>
      <c r="F613" s="7">
        <v>-1.3399798774352711E-2</v>
      </c>
      <c r="G613" s="7"/>
      <c r="H613" s="7">
        <f t="shared" si="16"/>
        <v>5.9754698194698364E-3</v>
      </c>
      <c r="I613" s="7">
        <f t="shared" si="16"/>
        <v>-1.0325162157597823E-2</v>
      </c>
      <c r="J613" s="7">
        <f t="shared" si="16"/>
        <v>1.6323775382539929E-2</v>
      </c>
      <c r="K613" s="7">
        <f t="shared" si="16"/>
        <v>2.6079804784561178E-3</v>
      </c>
      <c r="L613" s="7"/>
    </row>
    <row r="614" spans="1:12" x14ac:dyDescent="0.25">
      <c r="A614" s="2" t="s">
        <v>735</v>
      </c>
      <c r="B614" s="7">
        <v>-8.7744126804416567E-3</v>
      </c>
      <c r="C614" s="7">
        <v>6.7219679633867546E-3</v>
      </c>
      <c r="D614" s="7">
        <v>-2.9154518950438302E-3</v>
      </c>
      <c r="E614" s="7">
        <v>-4.7458473835393367E-3</v>
      </c>
      <c r="F614" s="7">
        <v>-9.831650139591197E-5</v>
      </c>
      <c r="G614" s="7"/>
      <c r="H614" s="7">
        <f t="shared" si="16"/>
        <v>-8.6760961790457447E-3</v>
      </c>
      <c r="I614" s="7">
        <f t="shared" si="16"/>
        <v>6.8202844647826666E-3</v>
      </c>
      <c r="J614" s="7">
        <f t="shared" si="16"/>
        <v>-2.8171353936479182E-3</v>
      </c>
      <c r="K614" s="7">
        <f t="shared" si="16"/>
        <v>-4.6475308821434247E-3</v>
      </c>
      <c r="L614" s="7"/>
    </row>
    <row r="615" spans="1:12" x14ac:dyDescent="0.25">
      <c r="A615" s="2" t="s">
        <v>120</v>
      </c>
      <c r="B615" s="7">
        <v>-7.3537730512496235E-4</v>
      </c>
      <c r="C615" s="7">
        <v>1.4215259646069178E-2</v>
      </c>
      <c r="D615" s="7">
        <v>8.8235294117646745E-3</v>
      </c>
      <c r="E615" s="7">
        <v>3.5092116806616502E-3</v>
      </c>
      <c r="F615" s="7">
        <v>1.0594346293018697E-2</v>
      </c>
      <c r="G615" s="7"/>
      <c r="H615" s="7">
        <f t="shared" si="16"/>
        <v>-1.1329723598143659E-2</v>
      </c>
      <c r="I615" s="7">
        <f t="shared" si="16"/>
        <v>3.6209133530504811E-3</v>
      </c>
      <c r="J615" s="7">
        <f t="shared" si="16"/>
        <v>-1.7708168812540226E-3</v>
      </c>
      <c r="K615" s="7">
        <f t="shared" si="16"/>
        <v>-7.0851346123570469E-3</v>
      </c>
      <c r="L615" s="7"/>
    </row>
    <row r="616" spans="1:12" x14ac:dyDescent="0.25">
      <c r="A616" s="2" t="s">
        <v>736</v>
      </c>
      <c r="B616" s="7">
        <v>-1.0301198074123885E-2</v>
      </c>
      <c r="C616" s="7">
        <v>-3.7572254335260791E-3</v>
      </c>
      <c r="D616" s="7">
        <v>1.4925373134328401E-2</v>
      </c>
      <c r="E616" s="7">
        <v>-5.8559681036630673E-3</v>
      </c>
      <c r="F616" s="7">
        <v>-5.0188407696322157E-3</v>
      </c>
      <c r="G616" s="7"/>
      <c r="H616" s="7">
        <f t="shared" si="16"/>
        <v>-5.2823573044916694E-3</v>
      </c>
      <c r="I616" s="7">
        <f t="shared" si="16"/>
        <v>1.2616153361061366E-3</v>
      </c>
      <c r="J616" s="7">
        <f t="shared" si="16"/>
        <v>1.9944213903960617E-2</v>
      </c>
      <c r="K616" s="7">
        <f t="shared" si="16"/>
        <v>-8.371273340308516E-4</v>
      </c>
      <c r="L616" s="7"/>
    </row>
    <row r="617" spans="1:12" x14ac:dyDescent="0.25">
      <c r="A617" s="2" t="s">
        <v>737</v>
      </c>
      <c r="B617" s="7">
        <v>5.0641458474003365E-3</v>
      </c>
      <c r="C617" s="7">
        <v>-1.5226981642237014E-2</v>
      </c>
      <c r="D617" s="7">
        <v>6.0060060060060927E-3</v>
      </c>
      <c r="E617" s="7">
        <v>-3.718809980806137E-2</v>
      </c>
      <c r="F617" s="7">
        <v>-6.2463587658072584E-3</v>
      </c>
      <c r="G617" s="7"/>
      <c r="H617" s="7">
        <f t="shared" si="16"/>
        <v>1.1310504613207595E-2</v>
      </c>
      <c r="I617" s="7">
        <f t="shared" si="16"/>
        <v>-8.9806228764297558E-3</v>
      </c>
      <c r="J617" s="7">
        <f t="shared" si="16"/>
        <v>1.2252364771813351E-2</v>
      </c>
      <c r="K617" s="7">
        <f t="shared" si="16"/>
        <v>-3.0941741042254112E-2</v>
      </c>
      <c r="L617" s="7"/>
    </row>
    <row r="618" spans="1:12" x14ac:dyDescent="0.25">
      <c r="A618" s="2" t="s">
        <v>738</v>
      </c>
      <c r="B618" s="7">
        <v>7.9401088929220709E-3</v>
      </c>
      <c r="C618" s="7">
        <v>-2.6965654271926542E-3</v>
      </c>
      <c r="D618" s="7">
        <v>6.0422960725075026E-3</v>
      </c>
      <c r="E618" s="7">
        <v>7.0065233148102202E-3</v>
      </c>
      <c r="F618" s="7">
        <v>4.2930173648079162E-3</v>
      </c>
      <c r="G618" s="7"/>
      <c r="H618" s="7">
        <f t="shared" si="16"/>
        <v>3.6470915281141547E-3</v>
      </c>
      <c r="I618" s="7">
        <f t="shared" si="16"/>
        <v>-6.9895827920005704E-3</v>
      </c>
      <c r="J618" s="7">
        <f t="shared" si="16"/>
        <v>1.7492787076995864E-3</v>
      </c>
      <c r="K618" s="7">
        <f t="shared" si="16"/>
        <v>2.713505950002304E-3</v>
      </c>
      <c r="L618" s="7"/>
    </row>
    <row r="619" spans="1:12" x14ac:dyDescent="0.25">
      <c r="A619" s="2" t="s">
        <v>739</v>
      </c>
      <c r="B619" s="7">
        <v>-3.3913633280578948E-3</v>
      </c>
      <c r="C619" s="7">
        <v>1.7913897717422689E-2</v>
      </c>
      <c r="D619" s="7">
        <v>-8.9820359281436168E-3</v>
      </c>
      <c r="E619" s="7">
        <v>2.7302060064532174E-2</v>
      </c>
      <c r="F619" s="7">
        <v>5.2079729499083793E-3</v>
      </c>
      <c r="G619" s="7"/>
      <c r="H619" s="7">
        <f t="shared" si="16"/>
        <v>-8.5993362779662741E-3</v>
      </c>
      <c r="I619" s="7">
        <f t="shared" si="16"/>
        <v>1.2705924767514309E-2</v>
      </c>
      <c r="J619" s="7">
        <f t="shared" si="16"/>
        <v>-1.4190008878051996E-2</v>
      </c>
      <c r="K619" s="7">
        <f t="shared" si="16"/>
        <v>2.2094087114623795E-2</v>
      </c>
      <c r="L619" s="7"/>
    </row>
    <row r="620" spans="1:12" x14ac:dyDescent="0.25">
      <c r="A620" s="2" t="s">
        <v>121</v>
      </c>
      <c r="B620" s="7">
        <v>8.493416177392632E-3</v>
      </c>
      <c r="C620" s="7">
        <v>7.2759022118742411E-3</v>
      </c>
      <c r="D620" s="7">
        <v>1.2121212121212199E-2</v>
      </c>
      <c r="E620" s="7">
        <v>-1.4070720665606329E-2</v>
      </c>
      <c r="F620" s="7">
        <v>6.3038180341186134E-3</v>
      </c>
      <c r="G620" s="7"/>
      <c r="H620" s="7">
        <f t="shared" si="16"/>
        <v>2.1895981432740186E-3</v>
      </c>
      <c r="I620" s="7">
        <f t="shared" si="16"/>
        <v>9.7208417775562772E-4</v>
      </c>
      <c r="J620" s="7">
        <f t="shared" si="16"/>
        <v>5.8173940870935859E-3</v>
      </c>
      <c r="K620" s="7">
        <f t="shared" si="16"/>
        <v>-2.0374538699724942E-2</v>
      </c>
      <c r="L620" s="7"/>
    </row>
    <row r="621" spans="1:12" x14ac:dyDescent="0.25">
      <c r="A621" s="2" t="s">
        <v>740</v>
      </c>
      <c r="B621" s="7">
        <v>1.4750115687181875E-2</v>
      </c>
      <c r="C621" s="7">
        <v>6.444053895723556E-3</v>
      </c>
      <c r="D621" s="7">
        <v>1.2269938650306678E-2</v>
      </c>
      <c r="E621" s="7">
        <v>2.8567832871885246E-2</v>
      </c>
      <c r="F621" s="7">
        <v>1.1814879091820885E-2</v>
      </c>
      <c r="G621" s="7"/>
      <c r="H621" s="7">
        <f t="shared" si="16"/>
        <v>2.9352365953609905E-3</v>
      </c>
      <c r="I621" s="7">
        <f t="shared" si="16"/>
        <v>-5.3708251960973286E-3</v>
      </c>
      <c r="J621" s="7">
        <f t="shared" si="16"/>
        <v>4.5505955848579305E-4</v>
      </c>
      <c r="K621" s="7">
        <f t="shared" si="16"/>
        <v>1.6752953780064361E-2</v>
      </c>
      <c r="L621" s="7"/>
    </row>
    <row r="622" spans="1:12" x14ac:dyDescent="0.25">
      <c r="A622" s="2" t="s">
        <v>741</v>
      </c>
      <c r="B622" s="7">
        <v>7.1657442470141053E-3</v>
      </c>
      <c r="C622" s="7">
        <v>-2.0461853259281515E-3</v>
      </c>
      <c r="D622" s="7">
        <v>3.8216560509554132E-2</v>
      </c>
      <c r="E622" s="7">
        <v>-4.8841577958672611E-3</v>
      </c>
      <c r="F622" s="7">
        <v>-1.3040164174730196E-3</v>
      </c>
      <c r="G622" s="7"/>
      <c r="H622" s="7">
        <f t="shared" si="16"/>
        <v>8.4697606644871248E-3</v>
      </c>
      <c r="I622" s="7">
        <f t="shared" si="16"/>
        <v>-7.4216890845513195E-4</v>
      </c>
      <c r="J622" s="7">
        <f t="shared" si="16"/>
        <v>3.9520576927027151E-2</v>
      </c>
      <c r="K622" s="7">
        <f t="shared" si="16"/>
        <v>-3.5801413783942415E-3</v>
      </c>
      <c r="L622" s="7"/>
    </row>
    <row r="623" spans="1:12" x14ac:dyDescent="0.25">
      <c r="A623" s="2" t="s">
        <v>742</v>
      </c>
      <c r="B623" s="7">
        <v>7.3356807511737454E-3</v>
      </c>
      <c r="C623" s="7">
        <v>-8.6931324253838316E-3</v>
      </c>
      <c r="D623" s="7">
        <v>-1.5673981191222541E-2</v>
      </c>
      <c r="E623" s="7">
        <v>-5.4801345123927092E-3</v>
      </c>
      <c r="F623" s="7">
        <v>8.1098015108347354E-3</v>
      </c>
      <c r="G623" s="7"/>
      <c r="H623" s="7">
        <f t="shared" si="16"/>
        <v>-7.7412075966099003E-4</v>
      </c>
      <c r="I623" s="7">
        <f t="shared" si="16"/>
        <v>-1.6802933936218567E-2</v>
      </c>
      <c r="J623" s="7">
        <f t="shared" si="16"/>
        <v>-2.3783782702057277E-2</v>
      </c>
      <c r="K623" s="7">
        <f t="shared" si="16"/>
        <v>-1.3589936023227445E-2</v>
      </c>
      <c r="L623" s="7"/>
    </row>
    <row r="624" spans="1:12" x14ac:dyDescent="0.25">
      <c r="A624" s="2" t="s">
        <v>743</v>
      </c>
      <c r="B624" s="7">
        <v>-7.8024921392803037E-3</v>
      </c>
      <c r="C624" s="7">
        <v>-1.5827748467132419E-2</v>
      </c>
      <c r="D624" s="7">
        <v>-6.230529595015577E-3</v>
      </c>
      <c r="E624" s="7">
        <v>-2.2998296422487186E-2</v>
      </c>
      <c r="F624" s="7">
        <v>-1.374408577578079E-2</v>
      </c>
      <c r="G624" s="7"/>
      <c r="H624" s="7">
        <f t="shared" si="16"/>
        <v>5.9415936365004862E-3</v>
      </c>
      <c r="I624" s="7">
        <f t="shared" si="16"/>
        <v>-2.0836626913516287E-3</v>
      </c>
      <c r="J624" s="7">
        <f t="shared" si="16"/>
        <v>7.5135561807652129E-3</v>
      </c>
      <c r="K624" s="7">
        <f t="shared" si="16"/>
        <v>-9.2542106467063956E-3</v>
      </c>
      <c r="L624" s="7"/>
    </row>
    <row r="625" spans="1:12" x14ac:dyDescent="0.25">
      <c r="A625" s="2" t="s">
        <v>122</v>
      </c>
      <c r="B625" s="7">
        <v>1.483188559948001E-2</v>
      </c>
      <c r="C625" s="7">
        <v>-3.6411101951085545E-2</v>
      </c>
      <c r="D625" s="7">
        <v>-4.4642857142857095E-2</v>
      </c>
      <c r="E625" s="7">
        <v>-2.4277737314880588E-3</v>
      </c>
      <c r="F625" s="7">
        <v>7.9290120217789806E-5</v>
      </c>
      <c r="G625" s="7"/>
      <c r="H625" s="7">
        <f t="shared" si="16"/>
        <v>1.475259547926222E-2</v>
      </c>
      <c r="I625" s="7">
        <f t="shared" si="16"/>
        <v>-3.6490392071303335E-2</v>
      </c>
      <c r="J625" s="7">
        <f t="shared" si="16"/>
        <v>-4.4722147263074885E-2</v>
      </c>
      <c r="K625" s="7">
        <f t="shared" si="16"/>
        <v>-2.5070638517058486E-3</v>
      </c>
      <c r="L625" s="7"/>
    </row>
    <row r="626" spans="1:12" x14ac:dyDescent="0.25">
      <c r="A626" s="2" t="s">
        <v>744</v>
      </c>
      <c r="B626" s="7">
        <v>3.0822120799003372E-3</v>
      </c>
      <c r="C626" s="7">
        <v>3.862068965517329E-3</v>
      </c>
      <c r="D626" s="7">
        <v>1.8181818181818299E-2</v>
      </c>
      <c r="E626" s="7">
        <v>1.4032496307237796E-2</v>
      </c>
      <c r="F626" s="7">
        <v>-2.7094913598622039E-3</v>
      </c>
      <c r="G626" s="7"/>
      <c r="H626" s="7">
        <f t="shared" si="16"/>
        <v>5.7917034397625411E-3</v>
      </c>
      <c r="I626" s="7">
        <f t="shared" si="16"/>
        <v>6.5715603253795329E-3</v>
      </c>
      <c r="J626" s="7">
        <f t="shared" si="16"/>
        <v>2.0891309541680503E-2</v>
      </c>
      <c r="K626" s="7">
        <f t="shared" si="16"/>
        <v>1.67419876671E-2</v>
      </c>
      <c r="L626" s="7"/>
    </row>
    <row r="627" spans="1:12" x14ac:dyDescent="0.25">
      <c r="A627" s="2" t="s">
        <v>745</v>
      </c>
      <c r="B627" s="7">
        <v>1.4840318176421174E-3</v>
      </c>
      <c r="C627" s="7">
        <v>-2.0646937370957241E-3</v>
      </c>
      <c r="D627" s="7">
        <v>6.0975609756097615E-3</v>
      </c>
      <c r="E627" s="7">
        <v>-7.4526572999389362E-3</v>
      </c>
      <c r="F627" s="7">
        <v>5.8930731241708667E-3</v>
      </c>
      <c r="G627" s="7"/>
      <c r="H627" s="7">
        <f t="shared" si="16"/>
        <v>-4.4090413065287493E-3</v>
      </c>
      <c r="I627" s="7">
        <f t="shared" si="16"/>
        <v>-7.9577668612665908E-3</v>
      </c>
      <c r="J627" s="7">
        <f t="shared" si="16"/>
        <v>2.0448785143889481E-4</v>
      </c>
      <c r="K627" s="7">
        <f t="shared" si="16"/>
        <v>-1.3345730424109803E-2</v>
      </c>
      <c r="L627" s="7"/>
    </row>
    <row r="628" spans="1:12" x14ac:dyDescent="0.25">
      <c r="A628" s="2" t="s">
        <v>746</v>
      </c>
      <c r="B628" s="7">
        <v>-8.8839206918867042E-3</v>
      </c>
      <c r="C628" s="7">
        <v>-4.5217867909015386E-3</v>
      </c>
      <c r="D628" s="7">
        <v>6.1349693251533388E-3</v>
      </c>
      <c r="E628" s="7">
        <v>3.186665032479441E-3</v>
      </c>
      <c r="F628" s="7">
        <v>2.2931861950192811E-4</v>
      </c>
      <c r="G628" s="7"/>
      <c r="H628" s="7">
        <f t="shared" si="16"/>
        <v>-9.1132393113886323E-3</v>
      </c>
      <c r="I628" s="7">
        <f t="shared" si="16"/>
        <v>-4.7511054104034667E-3</v>
      </c>
      <c r="J628" s="7">
        <f t="shared" si="16"/>
        <v>5.9056507056514107E-3</v>
      </c>
      <c r="K628" s="7">
        <f t="shared" si="16"/>
        <v>2.9573464129775129E-3</v>
      </c>
      <c r="L628" s="7"/>
    </row>
    <row r="629" spans="1:12" x14ac:dyDescent="0.25">
      <c r="A629" s="2" t="s">
        <v>747</v>
      </c>
      <c r="B629" s="7">
        <v>-2.3385428637094918E-2</v>
      </c>
      <c r="C629" s="7">
        <v>-9.6349572533586114E-3</v>
      </c>
      <c r="D629" s="7">
        <v>3.0769230769229772E-3</v>
      </c>
      <c r="E629" s="7">
        <v>-1.4970421344923324E-2</v>
      </c>
      <c r="F629" s="7">
        <v>-1.473449776826885E-2</v>
      </c>
      <c r="G629" s="7"/>
      <c r="H629" s="7">
        <f t="shared" si="16"/>
        <v>-8.6509308688260678E-3</v>
      </c>
      <c r="I629" s="7">
        <f t="shared" si="16"/>
        <v>5.0995405149102391E-3</v>
      </c>
      <c r="J629" s="7">
        <f t="shared" si="16"/>
        <v>1.7811420845191828E-2</v>
      </c>
      <c r="K629" s="7">
        <f t="shared" si="16"/>
        <v>-2.3592357665447317E-4</v>
      </c>
      <c r="L629" s="7"/>
    </row>
    <row r="630" spans="1:12" x14ac:dyDescent="0.25">
      <c r="A630" s="2" t="s">
        <v>123</v>
      </c>
      <c r="B630" s="7">
        <v>7.3508132198876197E-3</v>
      </c>
      <c r="C630" s="7">
        <v>-2.3067744929073486E-2</v>
      </c>
      <c r="D630" s="7">
        <v>9.3167701863352548E-3</v>
      </c>
      <c r="E630" s="7">
        <v>-1.2282375387550726E-2</v>
      </c>
      <c r="F630" s="7">
        <v>4.0230922718664797E-3</v>
      </c>
      <c r="G630" s="7"/>
      <c r="H630" s="7">
        <f t="shared" si="16"/>
        <v>3.32772094802114E-3</v>
      </c>
      <c r="I630" s="7">
        <f t="shared" si="16"/>
        <v>-2.7090837200939966E-2</v>
      </c>
      <c r="J630" s="7">
        <f t="shared" si="16"/>
        <v>5.2936779144687751E-3</v>
      </c>
      <c r="K630" s="7">
        <f t="shared" si="16"/>
        <v>-1.6305467659417205E-2</v>
      </c>
      <c r="L630" s="7"/>
    </row>
    <row r="631" spans="1:12" x14ac:dyDescent="0.25">
      <c r="A631" s="2" t="s">
        <v>748</v>
      </c>
      <c r="B631" s="7">
        <v>4.9441600744533076E-3</v>
      </c>
      <c r="C631" s="7">
        <v>-4.6186328846660185E-3</v>
      </c>
      <c r="D631" s="7">
        <v>2.2222222222222365E-2</v>
      </c>
      <c r="E631" s="7">
        <v>4.9824737105658601E-2</v>
      </c>
      <c r="F631" s="7">
        <v>-2.2956120092377796E-3</v>
      </c>
      <c r="G631" s="7"/>
      <c r="H631" s="7">
        <f t="shared" si="16"/>
        <v>7.2397720836910873E-3</v>
      </c>
      <c r="I631" s="7">
        <f t="shared" si="16"/>
        <v>-2.3230208754282389E-3</v>
      </c>
      <c r="J631" s="7">
        <f t="shared" si="16"/>
        <v>2.4517834231460145E-2</v>
      </c>
      <c r="K631" s="7">
        <f t="shared" si="16"/>
        <v>5.212034911489638E-2</v>
      </c>
      <c r="L631" s="7"/>
    </row>
    <row r="632" spans="1:12" x14ac:dyDescent="0.25">
      <c r="A632" s="2" t="s">
        <v>749</v>
      </c>
      <c r="B632" s="7">
        <v>-8.8781275221954115E-3</v>
      </c>
      <c r="C632" s="7">
        <v>-1.520467836257311E-2</v>
      </c>
      <c r="D632" s="7">
        <v>-3.1645569620254443E-3</v>
      </c>
      <c r="E632" s="7">
        <v>-1.9034753776249635E-2</v>
      </c>
      <c r="F632" s="7">
        <v>-1.6400890463858953E-2</v>
      </c>
      <c r="G632" s="7"/>
      <c r="H632" s="7">
        <f t="shared" si="16"/>
        <v>7.5227629416635411E-3</v>
      </c>
      <c r="I632" s="7">
        <f t="shared" si="16"/>
        <v>1.1962121012858429E-3</v>
      </c>
      <c r="J632" s="7">
        <f t="shared" si="16"/>
        <v>1.3236333501833508E-2</v>
      </c>
      <c r="K632" s="7">
        <f t="shared" si="16"/>
        <v>-2.6338633123906829E-3</v>
      </c>
      <c r="L632" s="7"/>
    </row>
    <row r="633" spans="1:12" x14ac:dyDescent="0.25">
      <c r="A633" s="2" t="s">
        <v>750</v>
      </c>
      <c r="B633" s="7">
        <v>-1.9999999999999907E-2</v>
      </c>
      <c r="C633" s="7">
        <v>-1.2321909896033767E-2</v>
      </c>
      <c r="D633" s="7">
        <v>-1.5576323987538832E-2</v>
      </c>
      <c r="E633" s="7">
        <v>-1.5713767677988599E-2</v>
      </c>
      <c r="F633" s="7">
        <v>-9.3947951709627553E-3</v>
      </c>
      <c r="G633" s="7"/>
      <c r="H633" s="7">
        <f t="shared" si="16"/>
        <v>-1.0605204829037151E-2</v>
      </c>
      <c r="I633" s="7">
        <f t="shared" si="16"/>
        <v>-2.9271147250710117E-3</v>
      </c>
      <c r="J633" s="7">
        <f t="shared" si="16"/>
        <v>-6.1815288165760762E-3</v>
      </c>
      <c r="K633" s="7">
        <f t="shared" si="16"/>
        <v>-6.318972507025844E-3</v>
      </c>
      <c r="L633" s="7"/>
    </row>
    <row r="634" spans="1:12" x14ac:dyDescent="0.25">
      <c r="A634" s="2" t="s">
        <v>751</v>
      </c>
      <c r="B634" s="7">
        <v>6.19635040645794E-3</v>
      </c>
      <c r="C634" s="7">
        <v>-8.0213903743316939E-3</v>
      </c>
      <c r="D634" s="7">
        <v>0</v>
      </c>
      <c r="E634" s="7">
        <v>1.0890609874152357E-3</v>
      </c>
      <c r="F634" s="7">
        <v>-2.1511026084926055E-3</v>
      </c>
      <c r="G634" s="7"/>
      <c r="H634" s="7">
        <f t="shared" si="16"/>
        <v>8.3474530149505455E-3</v>
      </c>
      <c r="I634" s="7">
        <f t="shared" si="16"/>
        <v>-5.8702877658390884E-3</v>
      </c>
      <c r="J634" s="7">
        <f t="shared" si="16"/>
        <v>2.1511026084926055E-3</v>
      </c>
      <c r="K634" s="7">
        <f t="shared" si="16"/>
        <v>3.2401635959078412E-3</v>
      </c>
      <c r="L634" s="7"/>
    </row>
    <row r="635" spans="1:12" x14ac:dyDescent="0.25">
      <c r="A635" s="2" t="s">
        <v>124</v>
      </c>
      <c r="B635" s="7">
        <v>1.6938374378540955E-2</v>
      </c>
      <c r="C635" s="7">
        <v>-2.5458248472498557E-4</v>
      </c>
      <c r="D635" s="7">
        <v>4.2207792207792139E-2</v>
      </c>
      <c r="E635" s="7">
        <v>-6.0466803724756879E-4</v>
      </c>
      <c r="F635" s="7">
        <v>7.2129644609830734E-4</v>
      </c>
      <c r="G635" s="7"/>
      <c r="H635" s="7">
        <f t="shared" si="16"/>
        <v>1.6217077932442647E-2</v>
      </c>
      <c r="I635" s="7">
        <f t="shared" si="16"/>
        <v>-9.7587893082329291E-4</v>
      </c>
      <c r="J635" s="7">
        <f t="shared" si="16"/>
        <v>4.1486495761693831E-2</v>
      </c>
      <c r="K635" s="7">
        <f t="shared" si="16"/>
        <v>-1.3259644833458761E-3</v>
      </c>
      <c r="L635" s="7"/>
    </row>
    <row r="636" spans="1:12" x14ac:dyDescent="0.25">
      <c r="A636" s="2" t="s">
        <v>752</v>
      </c>
      <c r="B636" s="7">
        <v>-4.1450777202072242E-3</v>
      </c>
      <c r="C636" s="7">
        <v>-1.2320844857933166E-2</v>
      </c>
      <c r="D636" s="7">
        <v>0</v>
      </c>
      <c r="E636" s="7">
        <v>-1.0530094531530421E-2</v>
      </c>
      <c r="F636" s="7">
        <v>-1.2159552507158722E-2</v>
      </c>
      <c r="G636" s="7"/>
      <c r="H636" s="7">
        <f t="shared" si="16"/>
        <v>8.0144747869514976E-3</v>
      </c>
      <c r="I636" s="7">
        <f t="shared" si="16"/>
        <v>-1.6129235077444459E-4</v>
      </c>
      <c r="J636" s="7">
        <f t="shared" si="16"/>
        <v>1.2159552507158722E-2</v>
      </c>
      <c r="K636" s="7">
        <f t="shared" si="16"/>
        <v>1.6294579756283012E-3</v>
      </c>
      <c r="L636" s="7"/>
    </row>
    <row r="637" spans="1:12" x14ac:dyDescent="0.25">
      <c r="A637" s="2" t="s">
        <v>753</v>
      </c>
      <c r="B637" s="7">
        <v>8.7693826586909829E-3</v>
      </c>
      <c r="C637" s="7">
        <v>1.2603437301082154E-2</v>
      </c>
      <c r="D637" s="7">
        <v>1.9867549668874274E-2</v>
      </c>
      <c r="E637" s="7">
        <v>4.0850654811965814E-3</v>
      </c>
      <c r="F637" s="7">
        <v>8.4298837813157057E-3</v>
      </c>
      <c r="G637" s="7"/>
      <c r="H637" s="7">
        <f t="shared" si="16"/>
        <v>3.3949887737527717E-4</v>
      </c>
      <c r="I637" s="7">
        <f t="shared" si="16"/>
        <v>4.1735535197664486E-3</v>
      </c>
      <c r="J637" s="7">
        <f t="shared" si="16"/>
        <v>1.1437665887558568E-2</v>
      </c>
      <c r="K637" s="7">
        <f t="shared" si="16"/>
        <v>-4.3448183001191243E-3</v>
      </c>
      <c r="L637" s="7"/>
    </row>
    <row r="638" spans="1:12" x14ac:dyDescent="0.25">
      <c r="A638" s="2" t="s">
        <v>754</v>
      </c>
      <c r="B638" s="7">
        <v>-1.1878801790428106E-2</v>
      </c>
      <c r="C638" s="7">
        <v>-5.7022809123649432E-2</v>
      </c>
      <c r="D638" s="7">
        <v>3.3222591362127574E-3</v>
      </c>
      <c r="E638" s="7">
        <v>-7.5125208681134925E-3</v>
      </c>
      <c r="F638" s="7">
        <v>1.2416235236110129E-3</v>
      </c>
      <c r="G638" s="7"/>
      <c r="H638" s="7">
        <f t="shared" si="16"/>
        <v>-1.3120425314039119E-2</v>
      </c>
      <c r="I638" s="7">
        <f t="shared" si="16"/>
        <v>-5.8264432647260445E-2</v>
      </c>
      <c r="J638" s="7">
        <f t="shared" si="16"/>
        <v>2.0806356126017445E-3</v>
      </c>
      <c r="K638" s="7">
        <f t="shared" si="16"/>
        <v>-8.7541443917245054E-3</v>
      </c>
      <c r="L638" s="7"/>
    </row>
    <row r="639" spans="1:12" x14ac:dyDescent="0.25">
      <c r="A639" s="2" t="s">
        <v>755</v>
      </c>
      <c r="B639" s="7">
        <v>-1.7035198555956699E-2</v>
      </c>
      <c r="C639" s="7">
        <v>-6.7962322642185491E-3</v>
      </c>
      <c r="D639" s="7">
        <v>-6.6006600660065695E-3</v>
      </c>
      <c r="E639" s="7">
        <v>-4.6290801186943398E-3</v>
      </c>
      <c r="F639" s="7">
        <v>-5.6958724980279429E-3</v>
      </c>
      <c r="G639" s="7"/>
      <c r="H639" s="7">
        <f t="shared" si="16"/>
        <v>-1.1339326057928756E-2</v>
      </c>
      <c r="I639" s="7">
        <f t="shared" si="16"/>
        <v>-1.1003597661906062E-3</v>
      </c>
      <c r="J639" s="7">
        <f t="shared" si="16"/>
        <v>-9.0478756797862658E-4</v>
      </c>
      <c r="K639" s="7">
        <f t="shared" si="16"/>
        <v>1.0667923793336032E-3</v>
      </c>
      <c r="L639" s="7"/>
    </row>
    <row r="640" spans="1:12" x14ac:dyDescent="0.25">
      <c r="A640" s="2" t="s">
        <v>125</v>
      </c>
      <c r="B640" s="7">
        <v>6.5864183511241681E-3</v>
      </c>
      <c r="C640" s="7">
        <v>1.5498244339508416E-2</v>
      </c>
      <c r="D640" s="7">
        <v>-1.9417475728155331E-2</v>
      </c>
      <c r="E640" s="7">
        <v>-1.4850327408793218E-2</v>
      </c>
      <c r="F640" s="7">
        <v>6.7235148031741243E-3</v>
      </c>
      <c r="G640" s="7"/>
      <c r="H640" s="7">
        <f t="shared" si="16"/>
        <v>-1.3709645204995624E-4</v>
      </c>
      <c r="I640" s="7">
        <f t="shared" si="16"/>
        <v>8.7747295363342914E-3</v>
      </c>
      <c r="J640" s="7">
        <f t="shared" si="16"/>
        <v>-2.6140990531329455E-2</v>
      </c>
      <c r="K640" s="7">
        <f t="shared" si="16"/>
        <v>-2.1573842211967342E-2</v>
      </c>
      <c r="L640" s="7"/>
    </row>
    <row r="641" spans="1:12" x14ac:dyDescent="0.25">
      <c r="A641" s="2" t="s">
        <v>756</v>
      </c>
      <c r="B641" s="7">
        <v>3.5327635327635498E-3</v>
      </c>
      <c r="C641" s="7">
        <v>2.7926177756192327E-3</v>
      </c>
      <c r="D641" s="7">
        <v>4.7457627118643986E-2</v>
      </c>
      <c r="E641" s="7">
        <v>9.3632958801492805E-4</v>
      </c>
      <c r="F641" s="7">
        <v>1.4266008258556617E-3</v>
      </c>
      <c r="G641" s="7"/>
      <c r="H641" s="7">
        <f t="shared" si="16"/>
        <v>2.1061627069078881E-3</v>
      </c>
      <c r="I641" s="7">
        <f t="shared" si="16"/>
        <v>1.366016949763571E-3</v>
      </c>
      <c r="J641" s="7">
        <f t="shared" si="16"/>
        <v>4.6031026292788324E-2</v>
      </c>
      <c r="K641" s="7">
        <f t="shared" si="16"/>
        <v>-4.9027123784073368E-4</v>
      </c>
      <c r="L641" s="7"/>
    </row>
    <row r="642" spans="1:12" x14ac:dyDescent="0.25">
      <c r="A642" s="2" t="s">
        <v>757</v>
      </c>
      <c r="B642" s="7">
        <v>-2.9260467946235935E-2</v>
      </c>
      <c r="C642" s="7">
        <v>-3.9908090458338208E-3</v>
      </c>
      <c r="D642" s="7">
        <v>-1.9933554817275656E-2</v>
      </c>
      <c r="E642" s="7">
        <v>-4.7491638795986724E-2</v>
      </c>
      <c r="F642" s="7">
        <v>-3.2113009127796577E-3</v>
      </c>
      <c r="G642" s="7"/>
      <c r="H642" s="7">
        <f t="shared" si="16"/>
        <v>-2.6049167033456277E-2</v>
      </c>
      <c r="I642" s="7">
        <f t="shared" si="16"/>
        <v>-7.7950813305416311E-4</v>
      </c>
      <c r="J642" s="7">
        <f t="shared" si="16"/>
        <v>-1.6722253904495998E-2</v>
      </c>
      <c r="K642" s="7">
        <f t="shared" ref="K642:K705" si="17">E642-$F642</f>
        <v>-4.4280337883207066E-2</v>
      </c>
      <c r="L642" s="7"/>
    </row>
    <row r="643" spans="1:12" x14ac:dyDescent="0.25">
      <c r="A643" s="2" t="s">
        <v>758</v>
      </c>
      <c r="B643" s="7">
        <v>-3.5786666666666744E-2</v>
      </c>
      <c r="C643" s="7">
        <v>-4.4546111244884168E-3</v>
      </c>
      <c r="D643" s="7">
        <v>3.3333333333331883E-3</v>
      </c>
      <c r="E643" s="7">
        <v>-2.1136945155189046E-3</v>
      </c>
      <c r="F643" s="7">
        <v>-6.9715777558858605E-3</v>
      </c>
      <c r="G643" s="7"/>
      <c r="H643" s="7">
        <f t="shared" ref="H643:K706" si="18">B643-$F643</f>
        <v>-2.8815088910780884E-2</v>
      </c>
      <c r="I643" s="7">
        <f t="shared" si="18"/>
        <v>2.5169666313974437E-3</v>
      </c>
      <c r="J643" s="7">
        <f t="shared" si="18"/>
        <v>1.0304911089219049E-2</v>
      </c>
      <c r="K643" s="7">
        <f t="shared" si="17"/>
        <v>4.8578832403669558E-3</v>
      </c>
      <c r="L643" s="7"/>
    </row>
    <row r="644" spans="1:12" x14ac:dyDescent="0.25">
      <c r="A644" s="2" t="s">
        <v>759</v>
      </c>
      <c r="B644" s="7">
        <v>1.2281732258236921E-3</v>
      </c>
      <c r="C644" s="7">
        <v>-9.6223237911952086E-4</v>
      </c>
      <c r="D644" s="7">
        <v>-2.9126213592232997E-2</v>
      </c>
      <c r="E644" s="7">
        <v>-3.7681480660534117E-3</v>
      </c>
      <c r="F644" s="7">
        <v>-4.1941905810084501E-3</v>
      </c>
      <c r="G644" s="7"/>
      <c r="H644" s="7">
        <f t="shared" si="18"/>
        <v>5.4223638068321423E-3</v>
      </c>
      <c r="I644" s="7">
        <f t="shared" si="18"/>
        <v>3.2319582018889292E-3</v>
      </c>
      <c r="J644" s="7">
        <f t="shared" si="18"/>
        <v>-2.4932023011224547E-2</v>
      </c>
      <c r="K644" s="7">
        <f t="shared" si="17"/>
        <v>4.2604251495503842E-4</v>
      </c>
      <c r="L644" s="7"/>
    </row>
    <row r="645" spans="1:12" x14ac:dyDescent="0.25">
      <c r="A645" s="2" t="s">
        <v>760</v>
      </c>
      <c r="B645" s="7">
        <v>8.5088049975767799E-3</v>
      </c>
      <c r="C645" s="7">
        <v>2.6531596719729933E-3</v>
      </c>
      <c r="D645" s="7">
        <v>3.2467532467532756E-3</v>
      </c>
      <c r="E645" s="7">
        <v>2.2668026748271508E-2</v>
      </c>
      <c r="F645" s="7">
        <v>1.7991596526802933E-3</v>
      </c>
      <c r="G645" s="7"/>
      <c r="H645" s="7">
        <f t="shared" si="18"/>
        <v>6.7096453448964866E-3</v>
      </c>
      <c r="I645" s="7">
        <f t="shared" si="18"/>
        <v>8.5400001929269997E-4</v>
      </c>
      <c r="J645" s="7">
        <f t="shared" si="18"/>
        <v>1.4475935940729823E-3</v>
      </c>
      <c r="K645" s="7">
        <f t="shared" si="17"/>
        <v>2.0868867095591215E-2</v>
      </c>
      <c r="L645" s="7"/>
    </row>
    <row r="646" spans="1:12" x14ac:dyDescent="0.25">
      <c r="A646" s="2" t="s">
        <v>761</v>
      </c>
      <c r="B646" s="7">
        <v>1.1321975415139462E-3</v>
      </c>
      <c r="C646" s="7">
        <v>2.118226600985218E-2</v>
      </c>
      <c r="D646" s="7">
        <v>-2.5316455696202556E-2</v>
      </c>
      <c r="E646" s="7">
        <v>-7.9829098268494603E-3</v>
      </c>
      <c r="F646" s="7">
        <v>-1.5969452055097921E-3</v>
      </c>
      <c r="G646" s="7"/>
      <c r="H646" s="7">
        <f t="shared" si="18"/>
        <v>2.7291427470237384E-3</v>
      </c>
      <c r="I646" s="7">
        <f t="shared" si="18"/>
        <v>2.2779211215361972E-2</v>
      </c>
      <c r="J646" s="7">
        <f t="shared" si="18"/>
        <v>-2.3719510490692763E-2</v>
      </c>
      <c r="K646" s="7">
        <f t="shared" si="17"/>
        <v>-6.3859646213396681E-3</v>
      </c>
      <c r="L646" s="7"/>
    </row>
    <row r="647" spans="1:12" x14ac:dyDescent="0.25">
      <c r="A647" s="2" t="s">
        <v>762</v>
      </c>
      <c r="B647" s="7">
        <v>1.9176877850431318E-2</v>
      </c>
      <c r="C647" s="7">
        <v>-1.0600706713780772E-2</v>
      </c>
      <c r="D647" s="7">
        <v>-2.7692307692307683E-2</v>
      </c>
      <c r="E647" s="7">
        <v>-4.0313549832027284E-3</v>
      </c>
      <c r="F647" s="7">
        <v>3.8331298928546698E-3</v>
      </c>
      <c r="G647" s="7"/>
      <c r="H647" s="7">
        <f t="shared" si="18"/>
        <v>1.5343747957576648E-2</v>
      </c>
      <c r="I647" s="7">
        <f t="shared" si="18"/>
        <v>-1.4433836606635442E-2</v>
      </c>
      <c r="J647" s="7">
        <f t="shared" si="18"/>
        <v>-3.1525437585162353E-2</v>
      </c>
      <c r="K647" s="7">
        <f t="shared" si="17"/>
        <v>-7.8644848760573982E-3</v>
      </c>
      <c r="L647" s="7"/>
    </row>
    <row r="648" spans="1:12" x14ac:dyDescent="0.25">
      <c r="A648" s="2" t="s">
        <v>763</v>
      </c>
      <c r="B648" s="7">
        <v>2.1841661987647365E-2</v>
      </c>
      <c r="C648" s="7">
        <v>1.3960958734865248E-2</v>
      </c>
      <c r="D648" s="7">
        <v>3.833865814696491E-2</v>
      </c>
      <c r="E648" s="7">
        <v>1.9406392694063967E-2</v>
      </c>
      <c r="F648" s="7">
        <v>1.4508347036412905E-2</v>
      </c>
      <c r="G648" s="7"/>
      <c r="H648" s="7">
        <f t="shared" si="18"/>
        <v>7.3333149512344598E-3</v>
      </c>
      <c r="I648" s="7">
        <f t="shared" si="18"/>
        <v>-5.4738830154765772E-4</v>
      </c>
      <c r="J648" s="7">
        <f t="shared" si="18"/>
        <v>2.3830311110552005E-2</v>
      </c>
      <c r="K648" s="7">
        <f t="shared" si="17"/>
        <v>4.8980456576510623E-3</v>
      </c>
      <c r="L648" s="7"/>
    </row>
    <row r="649" spans="1:12" x14ac:dyDescent="0.25">
      <c r="A649" s="2" t="s">
        <v>126</v>
      </c>
      <c r="B649" s="7">
        <v>8.8365243004417948E-3</v>
      </c>
      <c r="C649" s="7">
        <v>5.2262090483619295E-2</v>
      </c>
      <c r="D649" s="7">
        <v>-3.0959752321981449E-2</v>
      </c>
      <c r="E649" s="7">
        <v>2.6963657678780839E-2</v>
      </c>
      <c r="F649" s="7">
        <v>6.2645975336552695E-3</v>
      </c>
      <c r="G649" s="7"/>
      <c r="H649" s="7">
        <f t="shared" si="18"/>
        <v>2.5719267667865253E-3</v>
      </c>
      <c r="I649" s="7">
        <f t="shared" si="18"/>
        <v>4.5997492949964025E-2</v>
      </c>
      <c r="J649" s="7">
        <f t="shared" si="18"/>
        <v>-3.7224349855636718E-2</v>
      </c>
      <c r="K649" s="7">
        <f t="shared" si="17"/>
        <v>2.069906014512557E-2</v>
      </c>
      <c r="L649" s="7"/>
    </row>
    <row r="650" spans="1:12" x14ac:dyDescent="0.25">
      <c r="A650" s="2" t="s">
        <v>764</v>
      </c>
      <c r="B650" s="7">
        <v>1.261902030515083E-2</v>
      </c>
      <c r="C650" s="7">
        <v>4.5709808018807863E-3</v>
      </c>
      <c r="D650" s="7">
        <v>-2.4169184290030232E-2</v>
      </c>
      <c r="E650" s="7">
        <v>7.9168143684273939E-3</v>
      </c>
      <c r="F650" s="7">
        <v>6.7179884423178571E-3</v>
      </c>
      <c r="G650" s="7"/>
      <c r="H650" s="7">
        <f t="shared" si="18"/>
        <v>5.9010318628329728E-3</v>
      </c>
      <c r="I650" s="7">
        <f t="shared" si="18"/>
        <v>-2.1470076404370708E-3</v>
      </c>
      <c r="J650" s="7">
        <f t="shared" si="18"/>
        <v>-3.0887172732348089E-2</v>
      </c>
      <c r="K650" s="7">
        <f t="shared" si="17"/>
        <v>1.1988259261095369E-3</v>
      </c>
      <c r="L650" s="7"/>
    </row>
    <row r="651" spans="1:12" x14ac:dyDescent="0.25">
      <c r="A651" s="2" t="s">
        <v>765</v>
      </c>
      <c r="B651" s="7">
        <v>-2.6142330465869779E-2</v>
      </c>
      <c r="C651" s="7">
        <v>-1.1489801187709814E-2</v>
      </c>
      <c r="D651" s="7">
        <v>-3.0120481927710108E-3</v>
      </c>
      <c r="E651" s="7">
        <v>-8.0872011251758025E-3</v>
      </c>
      <c r="F651" s="7">
        <v>-1.3458039995401183E-2</v>
      </c>
      <c r="G651" s="7"/>
      <c r="H651" s="7">
        <f t="shared" si="18"/>
        <v>-1.2684290470468595E-2</v>
      </c>
      <c r="I651" s="7">
        <f t="shared" si="18"/>
        <v>1.9682388076913693E-3</v>
      </c>
      <c r="J651" s="7">
        <f t="shared" si="18"/>
        <v>1.0445991802630172E-2</v>
      </c>
      <c r="K651" s="7">
        <f t="shared" si="17"/>
        <v>5.3708388702253806E-3</v>
      </c>
      <c r="L651" s="7"/>
    </row>
    <row r="652" spans="1:12" x14ac:dyDescent="0.25">
      <c r="A652" s="2" t="s">
        <v>766</v>
      </c>
      <c r="B652" s="7">
        <v>2.1920310537732579E-2</v>
      </c>
      <c r="C652" s="7">
        <v>1.1491250979367873E-2</v>
      </c>
      <c r="D652" s="7">
        <v>6.0606060606060996E-3</v>
      </c>
      <c r="E652" s="7">
        <v>1.9964136282127676E-2</v>
      </c>
      <c r="F652" s="7">
        <v>1.1044888377340412E-2</v>
      </c>
      <c r="G652" s="7"/>
      <c r="H652" s="7">
        <f t="shared" si="18"/>
        <v>1.0875422160392167E-2</v>
      </c>
      <c r="I652" s="7">
        <f t="shared" si="18"/>
        <v>4.4636260202746136E-4</v>
      </c>
      <c r="J652" s="7">
        <f t="shared" si="18"/>
        <v>-4.984282316734312E-3</v>
      </c>
      <c r="K652" s="7">
        <f t="shared" si="17"/>
        <v>8.9192479047872641E-3</v>
      </c>
      <c r="L652" s="7"/>
    </row>
    <row r="653" spans="1:12" x14ac:dyDescent="0.25">
      <c r="A653" s="2" t="s">
        <v>767</v>
      </c>
      <c r="B653" s="7">
        <v>7.9401611047180687E-3</v>
      </c>
      <c r="C653" s="7">
        <v>-6.8732978861366645E-3</v>
      </c>
      <c r="D653" s="7">
        <v>6.0975609756097615E-3</v>
      </c>
      <c r="E653" s="7">
        <v>-5.4690286529543997E-3</v>
      </c>
      <c r="F653" s="7">
        <v>-2.7774179104816943E-3</v>
      </c>
      <c r="G653" s="7"/>
      <c r="H653" s="7">
        <f t="shared" si="18"/>
        <v>1.0717579015199763E-2</v>
      </c>
      <c r="I653" s="7">
        <f t="shared" si="18"/>
        <v>-4.0958799756549702E-3</v>
      </c>
      <c r="J653" s="7">
        <f t="shared" si="18"/>
        <v>8.8749788860914558E-3</v>
      </c>
      <c r="K653" s="7">
        <f t="shared" si="17"/>
        <v>-2.6916107424727054E-3</v>
      </c>
      <c r="L653" s="7"/>
    </row>
    <row r="654" spans="1:12" x14ac:dyDescent="0.25">
      <c r="A654" s="2" t="s">
        <v>127</v>
      </c>
      <c r="B654" s="7">
        <v>7.7114860555460574E-3</v>
      </c>
      <c r="C654" s="7">
        <v>-8.1039361975816515E-3</v>
      </c>
      <c r="D654" s="7">
        <v>-3.0395136778116338E-3</v>
      </c>
      <c r="E654" s="7">
        <v>6.1004784688996061E-3</v>
      </c>
      <c r="F654" s="7">
        <v>6.8791750482297687E-3</v>
      </c>
      <c r="G654" s="7"/>
      <c r="H654" s="7">
        <f t="shared" si="18"/>
        <v>8.3231100731628871E-4</v>
      </c>
      <c r="I654" s="7">
        <f t="shared" si="18"/>
        <v>-1.498311124581142E-2</v>
      </c>
      <c r="J654" s="7">
        <f t="shared" si="18"/>
        <v>-9.9186887260414025E-3</v>
      </c>
      <c r="K654" s="7">
        <f t="shared" si="17"/>
        <v>-7.7869657933016256E-4</v>
      </c>
      <c r="L654" s="7"/>
    </row>
    <row r="655" spans="1:12" x14ac:dyDescent="0.25">
      <c r="A655" s="2" t="s">
        <v>768</v>
      </c>
      <c r="B655" s="7">
        <v>2.8491685079661266E-3</v>
      </c>
      <c r="C655" s="7">
        <v>-2.9498525073746729E-3</v>
      </c>
      <c r="D655" s="7">
        <v>9.2024539877302303E-3</v>
      </c>
      <c r="E655" s="7">
        <v>-2.8923219886165752E-2</v>
      </c>
      <c r="F655" s="7">
        <v>-1.4872916647590273E-4</v>
      </c>
      <c r="G655" s="7"/>
      <c r="H655" s="7">
        <f t="shared" si="18"/>
        <v>2.9978976744420294E-3</v>
      </c>
      <c r="I655" s="7">
        <f t="shared" si="18"/>
        <v>-2.8011233408987701E-3</v>
      </c>
      <c r="J655" s="7">
        <f t="shared" si="18"/>
        <v>9.351183154206133E-3</v>
      </c>
      <c r="K655" s="7">
        <f t="shared" si="17"/>
        <v>-2.8774490719689849E-2</v>
      </c>
      <c r="L655" s="7"/>
    </row>
    <row r="656" spans="1:12" x14ac:dyDescent="0.25">
      <c r="A656" s="2" t="s">
        <v>769</v>
      </c>
      <c r="B656" s="7">
        <v>-1.4554205821682431E-2</v>
      </c>
      <c r="C656" s="7">
        <v>9.9740932642486957E-3</v>
      </c>
      <c r="D656" s="7">
        <v>3.0769230769229772E-3</v>
      </c>
      <c r="E656" s="7">
        <v>1.7131379962192828E-2</v>
      </c>
      <c r="F656" s="7">
        <v>-7.7128643857296009E-3</v>
      </c>
      <c r="G656" s="7"/>
      <c r="H656" s="7">
        <f t="shared" si="18"/>
        <v>-6.8413414359528302E-3</v>
      </c>
      <c r="I656" s="7">
        <f t="shared" si="18"/>
        <v>1.7686957649978297E-2</v>
      </c>
      <c r="J656" s="7">
        <f t="shared" si="18"/>
        <v>1.0789787462652578E-2</v>
      </c>
      <c r="K656" s="7">
        <f t="shared" si="17"/>
        <v>2.4844244347922428E-2</v>
      </c>
      <c r="L656" s="7"/>
    </row>
    <row r="657" spans="1:12" x14ac:dyDescent="0.25">
      <c r="A657" s="2" t="s">
        <v>770</v>
      </c>
      <c r="B657" s="7">
        <v>-4.9603740236043858E-3</v>
      </c>
      <c r="C657" s="7">
        <v>-3.3565711334880843E-3</v>
      </c>
      <c r="D657" s="7">
        <v>0</v>
      </c>
      <c r="E657" s="7">
        <v>-2.6902736261209537E-2</v>
      </c>
      <c r="F657" s="7">
        <v>-7.5554433893813E-3</v>
      </c>
      <c r="G657" s="7"/>
      <c r="H657" s="7">
        <f t="shared" si="18"/>
        <v>2.5950693657769142E-3</v>
      </c>
      <c r="I657" s="7">
        <f t="shared" si="18"/>
        <v>4.1988722558932157E-3</v>
      </c>
      <c r="J657" s="7">
        <f t="shared" si="18"/>
        <v>7.5554433893813E-3</v>
      </c>
      <c r="K657" s="7">
        <f t="shared" si="17"/>
        <v>-1.9347292871828237E-2</v>
      </c>
      <c r="L657" s="7"/>
    </row>
    <row r="658" spans="1:12" x14ac:dyDescent="0.25">
      <c r="A658" s="2" t="s">
        <v>771</v>
      </c>
      <c r="B658" s="7">
        <v>-1.1218852181756778E-2</v>
      </c>
      <c r="C658" s="7">
        <v>-2.2093170054286126E-2</v>
      </c>
      <c r="D658" s="7">
        <v>0</v>
      </c>
      <c r="E658" s="7">
        <v>-2.0054078413699883E-2</v>
      </c>
      <c r="F658" s="7">
        <v>-1.1550831677699436E-2</v>
      </c>
      <c r="G658" s="7"/>
      <c r="H658" s="7">
        <f t="shared" si="18"/>
        <v>3.3197949594265808E-4</v>
      </c>
      <c r="I658" s="7">
        <f t="shared" si="18"/>
        <v>-1.0542338376586691E-2</v>
      </c>
      <c r="J658" s="7">
        <f t="shared" si="18"/>
        <v>1.1550831677699436E-2</v>
      </c>
      <c r="K658" s="7">
        <f t="shared" si="17"/>
        <v>-8.5032467360004471E-3</v>
      </c>
      <c r="L658" s="7"/>
    </row>
    <row r="659" spans="1:12" x14ac:dyDescent="0.25">
      <c r="A659" s="2" t="s">
        <v>128</v>
      </c>
      <c r="B659" s="7">
        <v>9.3894041996245292E-3</v>
      </c>
      <c r="C659" s="7">
        <v>-1.0864135864135926E-2</v>
      </c>
      <c r="D659" s="7">
        <v>0</v>
      </c>
      <c r="E659" s="7">
        <v>-2.3542354235423502E-2</v>
      </c>
      <c r="F659" s="7">
        <v>5.7503836202552616E-3</v>
      </c>
      <c r="G659" s="7"/>
      <c r="H659" s="7">
        <f t="shared" si="18"/>
        <v>3.6390205793692676E-3</v>
      </c>
      <c r="I659" s="7">
        <f t="shared" si="18"/>
        <v>-1.6614519484391188E-2</v>
      </c>
      <c r="J659" s="7">
        <f t="shared" si="18"/>
        <v>-5.7503836202552616E-3</v>
      </c>
      <c r="K659" s="7">
        <f t="shared" si="17"/>
        <v>-2.9292737855678763E-2</v>
      </c>
      <c r="L659" s="7"/>
    </row>
    <row r="660" spans="1:12" x14ac:dyDescent="0.25">
      <c r="A660" s="2" t="s">
        <v>772</v>
      </c>
      <c r="B660" s="7">
        <v>3.4154949621445496E-4</v>
      </c>
      <c r="C660" s="7">
        <v>6.2829856747925739E-3</v>
      </c>
      <c r="D660" s="7">
        <v>-6.6091954022988508E-2</v>
      </c>
      <c r="E660" s="7">
        <v>-3.5236680110379837E-2</v>
      </c>
      <c r="F660" s="7">
        <v>-1.0696312010077813E-3</v>
      </c>
      <c r="G660" s="7"/>
      <c r="H660" s="7">
        <f t="shared" si="18"/>
        <v>1.4111806972222363E-3</v>
      </c>
      <c r="I660" s="7">
        <f t="shared" si="18"/>
        <v>7.3526168758003552E-3</v>
      </c>
      <c r="J660" s="7">
        <f t="shared" si="18"/>
        <v>-6.5022322821980727E-2</v>
      </c>
      <c r="K660" s="7">
        <f t="shared" si="17"/>
        <v>-3.4167048909372055E-2</v>
      </c>
      <c r="L660" s="7"/>
    </row>
    <row r="661" spans="1:12" x14ac:dyDescent="0.25">
      <c r="A661" s="2" t="s">
        <v>773</v>
      </c>
      <c r="B661" s="7">
        <v>-1.2507817385866149E-3</v>
      </c>
      <c r="C661" s="7">
        <v>1.8884552436106983E-3</v>
      </c>
      <c r="D661" s="7">
        <v>-2.8653295128940881E-3</v>
      </c>
      <c r="E661" s="7">
        <v>4.5959147424511571E-2</v>
      </c>
      <c r="F661" s="7">
        <v>2.5068771249703303E-4</v>
      </c>
      <c r="G661" s="7"/>
      <c r="H661" s="7">
        <f t="shared" si="18"/>
        <v>-1.5014694510836479E-3</v>
      </c>
      <c r="I661" s="7">
        <f t="shared" si="18"/>
        <v>1.6377675311136652E-3</v>
      </c>
      <c r="J661" s="7">
        <f t="shared" si="18"/>
        <v>-3.1160172253911211E-3</v>
      </c>
      <c r="K661" s="7">
        <f t="shared" si="17"/>
        <v>4.5708459712014538E-2</v>
      </c>
      <c r="L661" s="7"/>
    </row>
    <row r="662" spans="1:12" x14ac:dyDescent="0.25">
      <c r="A662" s="2" t="s">
        <v>774</v>
      </c>
      <c r="B662" s="7">
        <v>-8.9587559161595776E-3</v>
      </c>
      <c r="C662" s="7">
        <v>-4.0125391849529235E-3</v>
      </c>
      <c r="D662" s="7">
        <v>2.9498525073746285E-2</v>
      </c>
      <c r="E662" s="7">
        <v>6.7054090299507596E-3</v>
      </c>
      <c r="F662" s="7">
        <v>-7.0387475607750494E-3</v>
      </c>
      <c r="G662" s="7"/>
      <c r="H662" s="7">
        <f t="shared" si="18"/>
        <v>-1.9200083553845282E-3</v>
      </c>
      <c r="I662" s="7">
        <f t="shared" si="18"/>
        <v>3.0262083758221259E-3</v>
      </c>
      <c r="J662" s="7">
        <f t="shared" si="18"/>
        <v>3.6537272634521334E-2</v>
      </c>
      <c r="K662" s="7">
        <f t="shared" si="17"/>
        <v>1.3744156590725809E-2</v>
      </c>
      <c r="L662" s="7"/>
    </row>
    <row r="663" spans="1:12" x14ac:dyDescent="0.25">
      <c r="A663" s="2" t="s">
        <v>775</v>
      </c>
      <c r="B663" s="7">
        <v>5.3245723348815943E-3</v>
      </c>
      <c r="C663" s="7">
        <v>-1.0545905707195935E-2</v>
      </c>
      <c r="D663" s="7">
        <v>-8.7719298245613198E-3</v>
      </c>
      <c r="E663" s="7">
        <v>-2.4209378407851645E-2</v>
      </c>
      <c r="F663" s="7">
        <v>-4.2182700223970526E-3</v>
      </c>
      <c r="G663" s="7"/>
      <c r="H663" s="7">
        <f t="shared" si="18"/>
        <v>9.5428423572786469E-3</v>
      </c>
      <c r="I663" s="7">
        <f t="shared" si="18"/>
        <v>-6.3276356847988824E-3</v>
      </c>
      <c r="J663" s="7">
        <f t="shared" si="18"/>
        <v>-4.5536598021642671E-3</v>
      </c>
      <c r="K663" s="7">
        <f t="shared" si="17"/>
        <v>-1.9991108385454592E-2</v>
      </c>
      <c r="L663" s="7"/>
    </row>
    <row r="664" spans="1:12" x14ac:dyDescent="0.25">
      <c r="A664" s="2" t="s">
        <v>129</v>
      </c>
      <c r="B664" s="7">
        <v>-1.7256735693609415E-2</v>
      </c>
      <c r="C664" s="7">
        <v>-2.598688281153394E-3</v>
      </c>
      <c r="D664" s="7">
        <v>2.9325513196480912E-3</v>
      </c>
      <c r="E664" s="7">
        <v>-3.5857872432901727E-3</v>
      </c>
      <c r="F664" s="7">
        <v>9.02405745383561E-3</v>
      </c>
      <c r="G664" s="7"/>
      <c r="H664" s="7">
        <f t="shared" si="18"/>
        <v>-2.6280793147445025E-2</v>
      </c>
      <c r="I664" s="7">
        <f t="shared" si="18"/>
        <v>-1.1622745734989004E-2</v>
      </c>
      <c r="J664" s="7">
        <f t="shared" si="18"/>
        <v>-6.0915061341875187E-3</v>
      </c>
      <c r="K664" s="7">
        <f t="shared" si="17"/>
        <v>-1.2609844697125783E-2</v>
      </c>
      <c r="L664" s="7"/>
    </row>
    <row r="665" spans="1:12" x14ac:dyDescent="0.25">
      <c r="A665" s="2" t="s">
        <v>776</v>
      </c>
      <c r="B665" s="7">
        <v>-4.8012718600953908E-2</v>
      </c>
      <c r="C665" s="7">
        <v>-1.5712545676004774E-2</v>
      </c>
      <c r="D665" s="7">
        <v>-1.729106628242072E-2</v>
      </c>
      <c r="E665" s="7">
        <v>-6.9062263947340385E-3</v>
      </c>
      <c r="F665" s="7">
        <v>-5.2999962238083898E-3</v>
      </c>
      <c r="G665" s="7"/>
      <c r="H665" s="7">
        <f t="shared" si="18"/>
        <v>-4.2712722377145518E-2</v>
      </c>
      <c r="I665" s="7">
        <f t="shared" si="18"/>
        <v>-1.0412549452196385E-2</v>
      </c>
      <c r="J665" s="7">
        <f t="shared" si="18"/>
        <v>-1.199107005861233E-2</v>
      </c>
      <c r="K665" s="7">
        <f t="shared" si="17"/>
        <v>-1.6062301709256488E-3</v>
      </c>
      <c r="L665" s="7"/>
    </row>
    <row r="666" spans="1:12" x14ac:dyDescent="0.25">
      <c r="A666" s="2" t="s">
        <v>777</v>
      </c>
      <c r="B666" s="7">
        <v>-7.3123257404388298E-3</v>
      </c>
      <c r="C666" s="7">
        <v>-1.5705550893178266E-2</v>
      </c>
      <c r="D666" s="7">
        <v>2.0588235294117796E-2</v>
      </c>
      <c r="E666" s="7">
        <v>2.6359508251190489E-2</v>
      </c>
      <c r="F666" s="7">
        <v>-2.5479739176096361E-3</v>
      </c>
      <c r="G666" s="7"/>
      <c r="H666" s="7">
        <f t="shared" si="18"/>
        <v>-4.7643518228291937E-3</v>
      </c>
      <c r="I666" s="7">
        <f t="shared" si="18"/>
        <v>-1.315757697556863E-2</v>
      </c>
      <c r="J666" s="7">
        <f t="shared" si="18"/>
        <v>2.3136209211727432E-2</v>
      </c>
      <c r="K666" s="7">
        <f t="shared" si="17"/>
        <v>2.8907482168800125E-2</v>
      </c>
      <c r="L666" s="7"/>
    </row>
    <row r="667" spans="1:12" x14ac:dyDescent="0.25">
      <c r="A667" s="2" t="s">
        <v>778</v>
      </c>
      <c r="B667" s="7">
        <v>-1.5485808991091865E-2</v>
      </c>
      <c r="C667" s="7">
        <v>-1.4997638167217886E-2</v>
      </c>
      <c r="D667" s="7">
        <v>-1.1627906976744207E-2</v>
      </c>
      <c r="E667" s="7">
        <v>-5.0178834420366081E-2</v>
      </c>
      <c r="F667" s="7">
        <v>-1.383957541738301E-2</v>
      </c>
      <c r="G667" s="7"/>
      <c r="H667" s="7">
        <f t="shared" si="18"/>
        <v>-1.6462335737088551E-3</v>
      </c>
      <c r="I667" s="7">
        <f t="shared" si="18"/>
        <v>-1.1580627498348761E-3</v>
      </c>
      <c r="J667" s="7">
        <f t="shared" si="18"/>
        <v>2.2116684406388032E-3</v>
      </c>
      <c r="K667" s="7">
        <f t="shared" si="17"/>
        <v>-3.6339259002983071E-2</v>
      </c>
      <c r="L667" s="7"/>
    </row>
    <row r="668" spans="1:12" x14ac:dyDescent="0.25">
      <c r="A668" s="2" t="s">
        <v>779</v>
      </c>
      <c r="B668" s="7">
        <v>-4.2803362384610244E-3</v>
      </c>
      <c r="C668" s="7">
        <v>-8.4309133489460786E-3</v>
      </c>
      <c r="D668" s="7">
        <v>-5.7803468208093012E-3</v>
      </c>
      <c r="E668" s="7">
        <v>-2.020202020202011E-2</v>
      </c>
      <c r="F668" s="7">
        <v>-2.6650918726683903E-3</v>
      </c>
      <c r="G668" s="7"/>
      <c r="H668" s="7">
        <f t="shared" si="18"/>
        <v>-1.6152443657926341E-3</v>
      </c>
      <c r="I668" s="7">
        <f t="shared" si="18"/>
        <v>-5.7658214762776883E-3</v>
      </c>
      <c r="J668" s="7">
        <f t="shared" si="18"/>
        <v>-3.1152549481409109E-3</v>
      </c>
      <c r="K668" s="7">
        <f t="shared" si="17"/>
        <v>-1.753692832935172E-2</v>
      </c>
      <c r="L668" s="7"/>
    </row>
    <row r="669" spans="1:12" x14ac:dyDescent="0.25">
      <c r="A669" s="2" t="s">
        <v>130</v>
      </c>
      <c r="B669" s="7">
        <v>3.155716502845296E-3</v>
      </c>
      <c r="C669" s="7">
        <v>-3.3842922161277933E-3</v>
      </c>
      <c r="D669" s="7">
        <v>3.2835820895522394E-2</v>
      </c>
      <c r="E669" s="7">
        <v>1.6022620169651391E-2</v>
      </c>
      <c r="F669" s="7">
        <v>1.4687171966489831E-3</v>
      </c>
      <c r="G669" s="7"/>
      <c r="H669" s="7">
        <f t="shared" si="18"/>
        <v>1.6869993061963129E-3</v>
      </c>
      <c r="I669" s="7">
        <f t="shared" si="18"/>
        <v>-4.8530094127767764E-3</v>
      </c>
      <c r="J669" s="7">
        <f t="shared" si="18"/>
        <v>3.1367103698873411E-2</v>
      </c>
      <c r="K669" s="7">
        <f t="shared" si="17"/>
        <v>1.4553902973002408E-2</v>
      </c>
      <c r="L669" s="7"/>
    </row>
    <row r="670" spans="1:12" x14ac:dyDescent="0.25">
      <c r="A670" s="2" t="s">
        <v>780</v>
      </c>
      <c r="B670" s="7">
        <v>1.3527684563758413E-2</v>
      </c>
      <c r="C670" s="7">
        <v>6.2235791451386024E-3</v>
      </c>
      <c r="D670" s="7">
        <v>3.7151702786377694E-2</v>
      </c>
      <c r="E670" s="7">
        <v>5.3508384819064281E-2</v>
      </c>
      <c r="F670" s="7">
        <v>9.8778818753428865E-3</v>
      </c>
      <c r="G670" s="7"/>
      <c r="H670" s="7">
        <f t="shared" si="18"/>
        <v>3.6498026884155266E-3</v>
      </c>
      <c r="I670" s="7">
        <f t="shared" si="18"/>
        <v>-3.6543027302042841E-3</v>
      </c>
      <c r="J670" s="7">
        <f t="shared" si="18"/>
        <v>2.7273820911034807E-2</v>
      </c>
      <c r="K670" s="7">
        <f t="shared" si="17"/>
        <v>4.3630502943721394E-2</v>
      </c>
      <c r="L670" s="7"/>
    </row>
    <row r="671" spans="1:12" x14ac:dyDescent="0.25">
      <c r="A671" s="2" t="s">
        <v>781</v>
      </c>
      <c r="B671" s="7">
        <v>-6.6149278608261808E-3</v>
      </c>
      <c r="C671" s="7">
        <v>-1.2866581662223209E-2</v>
      </c>
      <c r="D671" s="7">
        <v>6.230529595015577E-3</v>
      </c>
      <c r="E671" s="7">
        <v>-1.7452574525745224E-2</v>
      </c>
      <c r="F671" s="7">
        <v>-6.4247002791920638E-3</v>
      </c>
      <c r="G671" s="7"/>
      <c r="H671" s="7">
        <f t="shared" si="18"/>
        <v>-1.9022758163411702E-4</v>
      </c>
      <c r="I671" s="7">
        <f t="shared" si="18"/>
        <v>-6.441881383031145E-3</v>
      </c>
      <c r="J671" s="7">
        <f t="shared" si="18"/>
        <v>1.2655229874207641E-2</v>
      </c>
      <c r="K671" s="7">
        <f t="shared" si="17"/>
        <v>-1.102787424655316E-2</v>
      </c>
      <c r="L671" s="7"/>
    </row>
    <row r="672" spans="1:12" x14ac:dyDescent="0.25">
      <c r="A672" s="2" t="s">
        <v>782</v>
      </c>
      <c r="B672" s="7">
        <v>4.5521138551696261E-3</v>
      </c>
      <c r="C672" s="7">
        <v>2.5558725630052237E-2</v>
      </c>
      <c r="D672" s="7">
        <v>6.2695924764890609E-3</v>
      </c>
      <c r="E672" s="7">
        <v>2.2727272727272707E-2</v>
      </c>
      <c r="F672" s="7">
        <v>-1.5544744781559316E-4</v>
      </c>
      <c r="G672" s="7"/>
      <c r="H672" s="7">
        <f t="shared" si="18"/>
        <v>4.7075613029852192E-3</v>
      </c>
      <c r="I672" s="7">
        <f t="shared" si="18"/>
        <v>2.571417307786783E-2</v>
      </c>
      <c r="J672" s="7">
        <f t="shared" si="18"/>
        <v>6.4250399243046541E-3</v>
      </c>
      <c r="K672" s="7">
        <f t="shared" si="17"/>
        <v>2.28827201750883E-2</v>
      </c>
      <c r="L672" s="7"/>
    </row>
    <row r="673" spans="1:12" x14ac:dyDescent="0.25">
      <c r="A673" s="2" t="s">
        <v>783</v>
      </c>
      <c r="B673" s="7">
        <v>4.5201303479449617E-3</v>
      </c>
      <c r="C673" s="7">
        <v>5.3343350864011985E-2</v>
      </c>
      <c r="D673" s="7">
        <v>1.2698412698412653E-2</v>
      </c>
      <c r="E673" s="7">
        <v>-1.4207650273224015E-2</v>
      </c>
      <c r="F673" s="7">
        <v>2.8147120299297779E-3</v>
      </c>
      <c r="G673" s="7"/>
      <c r="H673" s="7">
        <f t="shared" si="18"/>
        <v>1.7054183180151838E-3</v>
      </c>
      <c r="I673" s="7">
        <f t="shared" si="18"/>
        <v>5.0528638834082207E-2</v>
      </c>
      <c r="J673" s="7">
        <f t="shared" si="18"/>
        <v>9.8837006684828754E-3</v>
      </c>
      <c r="K673" s="7">
        <f t="shared" si="17"/>
        <v>-1.7022362303153793E-2</v>
      </c>
      <c r="L673" s="7"/>
    </row>
    <row r="674" spans="1:12" x14ac:dyDescent="0.25">
      <c r="A674" s="2" t="s">
        <v>131</v>
      </c>
      <c r="B674" s="7">
        <v>4.2225271825186983E-3</v>
      </c>
      <c r="C674" s="7">
        <v>-6.2570391690652816E-4</v>
      </c>
      <c r="D674" s="7">
        <v>3.9603960396039639E-2</v>
      </c>
      <c r="E674" s="7">
        <v>4.5355877984690984E-2</v>
      </c>
      <c r="F674" s="7">
        <v>4.0340891555747938E-3</v>
      </c>
      <c r="G674" s="7"/>
      <c r="H674" s="7">
        <f t="shared" si="18"/>
        <v>1.8843802694390455E-4</v>
      </c>
      <c r="I674" s="7">
        <f t="shared" si="18"/>
        <v>-4.6597930724813219E-3</v>
      </c>
      <c r="J674" s="7">
        <f t="shared" si="18"/>
        <v>3.5569871240464845E-2</v>
      </c>
      <c r="K674" s="7">
        <f t="shared" si="17"/>
        <v>4.1321788829116191E-2</v>
      </c>
      <c r="L674" s="7"/>
    </row>
    <row r="675" spans="1:12" x14ac:dyDescent="0.25">
      <c r="A675" s="2" t="s">
        <v>784</v>
      </c>
      <c r="B675" s="7">
        <v>-6.1896768778848532E-3</v>
      </c>
      <c r="C675" s="7">
        <v>3.7556334501753774E-4</v>
      </c>
      <c r="D675" s="7">
        <v>1.6778523489932917E-2</v>
      </c>
      <c r="E675" s="7">
        <v>2.8643446379468251E-3</v>
      </c>
      <c r="F675" s="7">
        <v>3.2415482692993436E-4</v>
      </c>
      <c r="G675" s="7"/>
      <c r="H675" s="7">
        <f t="shared" si="18"/>
        <v>-6.5138317048147876E-3</v>
      </c>
      <c r="I675" s="7">
        <f t="shared" si="18"/>
        <v>5.1408518087603383E-5</v>
      </c>
      <c r="J675" s="7">
        <f t="shared" si="18"/>
        <v>1.6454368663002983E-2</v>
      </c>
      <c r="K675" s="7">
        <f t="shared" si="17"/>
        <v>2.5401898110168908E-3</v>
      </c>
      <c r="L675" s="7"/>
    </row>
    <row r="676" spans="1:12" x14ac:dyDescent="0.25">
      <c r="A676" s="2" t="s">
        <v>785</v>
      </c>
      <c r="B676" s="7">
        <v>-1.0073735590404143E-2</v>
      </c>
      <c r="C676" s="7">
        <v>7.8223568004036625E-3</v>
      </c>
      <c r="D676" s="7">
        <v>3.3670033670032407E-3</v>
      </c>
      <c r="E676" s="7">
        <v>-2.0580836954035009E-3</v>
      </c>
      <c r="F676" s="7">
        <v>-6.7568751478409572E-3</v>
      </c>
      <c r="G676" s="7"/>
      <c r="H676" s="7">
        <f t="shared" si="18"/>
        <v>-3.3168604425631854E-3</v>
      </c>
      <c r="I676" s="7">
        <f t="shared" si="18"/>
        <v>1.457923194824462E-2</v>
      </c>
      <c r="J676" s="7">
        <f t="shared" si="18"/>
        <v>1.0123878514844198E-2</v>
      </c>
      <c r="K676" s="7">
        <f t="shared" si="17"/>
        <v>4.6987914524374563E-3</v>
      </c>
      <c r="L676" s="7"/>
    </row>
    <row r="677" spans="1:12" x14ac:dyDescent="0.25">
      <c r="A677" s="2" t="s">
        <v>786</v>
      </c>
      <c r="B677" s="7">
        <v>7.0595617842390546E-3</v>
      </c>
      <c r="C677" s="7">
        <v>4.5627376425856347E-3</v>
      </c>
      <c r="D677" s="7">
        <v>3.3783783783785104E-3</v>
      </c>
      <c r="E677" s="7">
        <v>9.8141092252626017E-3</v>
      </c>
      <c r="F677" s="7">
        <v>2.3578588709500803E-3</v>
      </c>
      <c r="G677" s="7"/>
      <c r="H677" s="7">
        <f t="shared" si="18"/>
        <v>4.7017029132889743E-3</v>
      </c>
      <c r="I677" s="7">
        <f t="shared" si="18"/>
        <v>2.2048787716355545E-3</v>
      </c>
      <c r="J677" s="7">
        <f t="shared" si="18"/>
        <v>1.0205195074284301E-3</v>
      </c>
      <c r="K677" s="7">
        <f t="shared" si="17"/>
        <v>7.4562503543125214E-3</v>
      </c>
      <c r="L677" s="7"/>
    </row>
    <row r="678" spans="1:12" x14ac:dyDescent="0.25">
      <c r="A678" s="2" t="s">
        <v>787</v>
      </c>
      <c r="B678" s="7">
        <v>-1.3056193858366205E-3</v>
      </c>
      <c r="C678" s="7">
        <v>1.2967004750289002E-2</v>
      </c>
      <c r="D678" s="7">
        <v>3.3898305084745228E-3</v>
      </c>
      <c r="E678" s="7">
        <v>-2.3672641190395582E-2</v>
      </c>
      <c r="F678" s="7">
        <v>7.1172882225352119E-3</v>
      </c>
      <c r="G678" s="7"/>
      <c r="H678" s="7">
        <f t="shared" si="18"/>
        <v>-8.4229076083718324E-3</v>
      </c>
      <c r="I678" s="7">
        <f t="shared" si="18"/>
        <v>5.8497165277537899E-3</v>
      </c>
      <c r="J678" s="7">
        <f t="shared" si="18"/>
        <v>-3.727457714060689E-3</v>
      </c>
      <c r="K678" s="7">
        <f t="shared" si="17"/>
        <v>-3.0789929412930794E-2</v>
      </c>
      <c r="L678" s="7"/>
    </row>
    <row r="679" spans="1:12" x14ac:dyDescent="0.25">
      <c r="A679" s="2" t="s">
        <v>132</v>
      </c>
      <c r="B679" s="7">
        <v>1.7266110609360785E-2</v>
      </c>
      <c r="C679" s="7">
        <v>-5.8710912571792173E-3</v>
      </c>
      <c r="D679" s="7">
        <v>2.430555555555558E-2</v>
      </c>
      <c r="E679" s="7">
        <v>-1.2138084632516755E-2</v>
      </c>
      <c r="F679" s="7">
        <v>3.8553564373575711E-3</v>
      </c>
      <c r="G679" s="7"/>
      <c r="H679" s="7">
        <f t="shared" si="18"/>
        <v>1.3410754172003214E-2</v>
      </c>
      <c r="I679" s="7">
        <f t="shared" si="18"/>
        <v>-9.7264476945367884E-3</v>
      </c>
      <c r="J679" s="7">
        <f t="shared" si="18"/>
        <v>2.0450199118198009E-2</v>
      </c>
      <c r="K679" s="7">
        <f t="shared" si="17"/>
        <v>-1.5993441069874326E-2</v>
      </c>
      <c r="L679" s="7"/>
    </row>
    <row r="680" spans="1:12" x14ac:dyDescent="0.25">
      <c r="A680" s="2" t="s">
        <v>788</v>
      </c>
      <c r="B680" s="7">
        <v>7.9753296469564638E-4</v>
      </c>
      <c r="C680" s="7">
        <v>-5.4582381315055883E-3</v>
      </c>
      <c r="D680" s="7">
        <v>-3.6789297658862963E-2</v>
      </c>
      <c r="E680" s="7">
        <v>-2.1253405994550389E-2</v>
      </c>
      <c r="F680" s="7">
        <v>-1.0243811584819129E-3</v>
      </c>
      <c r="G680" s="7"/>
      <c r="H680" s="7">
        <f t="shared" si="18"/>
        <v>1.8219141231775593E-3</v>
      </c>
      <c r="I680" s="7">
        <f t="shared" si="18"/>
        <v>-4.4338569730236754E-3</v>
      </c>
      <c r="J680" s="7">
        <f t="shared" si="18"/>
        <v>-3.576491650038105E-2</v>
      </c>
      <c r="K680" s="7">
        <f t="shared" si="17"/>
        <v>-2.0229024836068477E-2</v>
      </c>
      <c r="L680" s="7"/>
    </row>
    <row r="681" spans="1:12" x14ac:dyDescent="0.25">
      <c r="A681" s="2" t="s">
        <v>789</v>
      </c>
      <c r="B681" s="7">
        <v>4.0572282724751219E-3</v>
      </c>
      <c r="C681" s="7">
        <v>1.2726571538758114E-2</v>
      </c>
      <c r="D681" s="7">
        <v>1.0135135135135309E-2</v>
      </c>
      <c r="E681" s="7">
        <v>2.7780889436540779E-2</v>
      </c>
      <c r="F681" s="7">
        <v>8.4701799577833192E-3</v>
      </c>
      <c r="G681" s="7"/>
      <c r="H681" s="7">
        <f t="shared" si="18"/>
        <v>-4.4129516853081974E-3</v>
      </c>
      <c r="I681" s="7">
        <f t="shared" si="18"/>
        <v>4.2563915809747943E-3</v>
      </c>
      <c r="J681" s="7">
        <f t="shared" si="18"/>
        <v>1.6649551773519899E-3</v>
      </c>
      <c r="K681" s="7">
        <f t="shared" si="17"/>
        <v>1.931070947875746E-2</v>
      </c>
      <c r="L681" s="7"/>
    </row>
    <row r="682" spans="1:12" x14ac:dyDescent="0.25">
      <c r="A682" s="2" t="s">
        <v>790</v>
      </c>
      <c r="B682" s="7">
        <v>8.9954214920549003E-3</v>
      </c>
      <c r="C682" s="7">
        <v>-3.4588777863181486E-3</v>
      </c>
      <c r="D682" s="7">
        <v>3.3898305084745228E-3</v>
      </c>
      <c r="E682" s="7">
        <v>2.4090856946197059E-2</v>
      </c>
      <c r="F682" s="7">
        <v>7.4111451007599083E-3</v>
      </c>
      <c r="G682" s="7"/>
      <c r="H682" s="7">
        <f t="shared" si="18"/>
        <v>1.584276391294992E-3</v>
      </c>
      <c r="I682" s="7">
        <f t="shared" si="18"/>
        <v>-1.0870022887078057E-2</v>
      </c>
      <c r="J682" s="7">
        <f t="shared" si="18"/>
        <v>-4.0213145922853855E-3</v>
      </c>
      <c r="K682" s="7">
        <f t="shared" si="17"/>
        <v>1.6679711845437151E-2</v>
      </c>
      <c r="L682" s="7"/>
    </row>
    <row r="683" spans="1:12" x14ac:dyDescent="0.25">
      <c r="A683" s="2" t="s">
        <v>791</v>
      </c>
      <c r="B683" s="7">
        <v>-2.7931460493096916E-3</v>
      </c>
      <c r="C683" s="7">
        <v>4.8629768941429452E-2</v>
      </c>
      <c r="D683" s="7">
        <v>1.3745704467353903E-2</v>
      </c>
      <c r="E683" s="7">
        <v>1.3604651162790748E-2</v>
      </c>
      <c r="F683" s="7">
        <v>6.7422151567175792E-3</v>
      </c>
      <c r="G683" s="7"/>
      <c r="H683" s="7">
        <f t="shared" si="18"/>
        <v>-9.5353612060272708E-3</v>
      </c>
      <c r="I683" s="7">
        <f t="shared" si="18"/>
        <v>4.1887553784711873E-2</v>
      </c>
      <c r="J683" s="7">
        <f t="shared" si="18"/>
        <v>7.0034893106363239E-3</v>
      </c>
      <c r="K683" s="7">
        <f t="shared" si="17"/>
        <v>6.8624360060731693E-3</v>
      </c>
      <c r="L683" s="7"/>
    </row>
    <row r="684" spans="1:12" x14ac:dyDescent="0.25">
      <c r="A684" s="2" t="s">
        <v>133</v>
      </c>
      <c r="B684" s="7">
        <v>-1.0891509935182286E-2</v>
      </c>
      <c r="C684" s="7">
        <v>-9.3947121191795269E-4</v>
      </c>
      <c r="D684" s="7">
        <v>-1.0204081632652962E-2</v>
      </c>
      <c r="E684" s="7">
        <v>1.162925921618374E-4</v>
      </c>
      <c r="F684" s="7">
        <v>2.4051194034939716E-3</v>
      </c>
      <c r="G684" s="7"/>
      <c r="H684" s="7">
        <f t="shared" si="18"/>
        <v>-1.3296629338676258E-2</v>
      </c>
      <c r="I684" s="7">
        <f t="shared" si="18"/>
        <v>-3.3445906154119243E-3</v>
      </c>
      <c r="J684" s="7">
        <f t="shared" si="18"/>
        <v>-1.2609201036146933E-2</v>
      </c>
      <c r="K684" s="7">
        <f t="shared" si="17"/>
        <v>-2.2888268113321342E-3</v>
      </c>
      <c r="L684" s="7"/>
    </row>
    <row r="685" spans="1:12" x14ac:dyDescent="0.25">
      <c r="A685" s="2" t="s">
        <v>792</v>
      </c>
      <c r="B685" s="7">
        <v>-5.8627792742830254E-3</v>
      </c>
      <c r="C685" s="7">
        <v>1.0168112798264684E-2</v>
      </c>
      <c r="D685" s="7">
        <v>2.7972027972027913E-2</v>
      </c>
      <c r="E685" s="7">
        <v>8.0005023863350733E-2</v>
      </c>
      <c r="F685" s="7">
        <v>-2.8651801277997935E-3</v>
      </c>
      <c r="G685" s="7"/>
      <c r="H685" s="7">
        <f t="shared" si="18"/>
        <v>-2.9975991464832319E-3</v>
      </c>
      <c r="I685" s="7">
        <f t="shared" si="18"/>
        <v>1.3033292926064477E-2</v>
      </c>
      <c r="J685" s="7">
        <f t="shared" si="18"/>
        <v>3.0837208099827706E-2</v>
      </c>
      <c r="K685" s="7">
        <f t="shared" si="17"/>
        <v>8.2870203991150526E-2</v>
      </c>
      <c r="L685" s="7"/>
    </row>
    <row r="686" spans="1:12" x14ac:dyDescent="0.25">
      <c r="A686" s="2" t="s">
        <v>793</v>
      </c>
      <c r="B686" s="7">
        <v>2.488615905962055E-3</v>
      </c>
      <c r="C686" s="7">
        <v>-2.3563674874238827E-2</v>
      </c>
      <c r="D686" s="7">
        <v>-3.0508474576271261E-2</v>
      </c>
      <c r="E686" s="7">
        <v>-5.4958780914313721E-3</v>
      </c>
      <c r="F686" s="7">
        <v>-7.9225154155103672E-3</v>
      </c>
      <c r="G686" s="7"/>
      <c r="H686" s="7">
        <f t="shared" si="18"/>
        <v>1.0411131321472422E-2</v>
      </c>
      <c r="I686" s="7">
        <f t="shared" si="18"/>
        <v>-1.564115945872846E-2</v>
      </c>
      <c r="J686" s="7">
        <f t="shared" si="18"/>
        <v>-2.2585959160760893E-2</v>
      </c>
      <c r="K686" s="7">
        <f t="shared" si="17"/>
        <v>2.4266373240789951E-3</v>
      </c>
      <c r="L686" s="7"/>
    </row>
    <row r="687" spans="1:12" x14ac:dyDescent="0.25">
      <c r="A687" s="2" t="s">
        <v>794</v>
      </c>
      <c r="B687" s="7">
        <v>-5.8430278465020358E-3</v>
      </c>
      <c r="C687" s="7">
        <v>-2.4786986831913049E-2</v>
      </c>
      <c r="D687" s="7">
        <v>2.076124567474058E-2</v>
      </c>
      <c r="E687" s="7">
        <v>2.7555110220440771E-3</v>
      </c>
      <c r="F687" s="7">
        <v>-1.9683139606652134E-3</v>
      </c>
      <c r="G687" s="7"/>
      <c r="H687" s="7">
        <f t="shared" si="18"/>
        <v>-3.8747138858368224E-3</v>
      </c>
      <c r="I687" s="7">
        <f t="shared" si="18"/>
        <v>-2.2818672871247836E-2</v>
      </c>
      <c r="J687" s="7">
        <f t="shared" si="18"/>
        <v>2.2729559635405794E-2</v>
      </c>
      <c r="K687" s="7">
        <f t="shared" si="17"/>
        <v>4.7238249827092904E-3</v>
      </c>
      <c r="L687" s="7"/>
    </row>
    <row r="688" spans="1:12" x14ac:dyDescent="0.25">
      <c r="A688" s="2" t="s">
        <v>134</v>
      </c>
      <c r="B688" s="7">
        <v>-7.7823043977854889E-3</v>
      </c>
      <c r="C688" s="7">
        <v>1.0435690060005109E-2</v>
      </c>
      <c r="D688" s="7">
        <v>0</v>
      </c>
      <c r="E688" s="7">
        <v>8.5901970692270346E-3</v>
      </c>
      <c r="F688" s="7">
        <v>1.1706865481149187E-3</v>
      </c>
      <c r="G688" s="7"/>
      <c r="H688" s="7">
        <f t="shared" si="18"/>
        <v>-8.9529909459004076E-3</v>
      </c>
      <c r="I688" s="7">
        <f t="shared" si="18"/>
        <v>9.2650035118901908E-3</v>
      </c>
      <c r="J688" s="7">
        <f t="shared" si="18"/>
        <v>-1.1706865481149187E-3</v>
      </c>
      <c r="K688" s="7">
        <f t="shared" si="17"/>
        <v>7.419510521112116E-3</v>
      </c>
      <c r="L688" s="7"/>
    </row>
    <row r="689" spans="1:12" x14ac:dyDescent="0.25">
      <c r="A689" s="2" t="s">
        <v>795</v>
      </c>
      <c r="B689" s="7">
        <v>2.3084321898044324E-2</v>
      </c>
      <c r="C689" s="7">
        <v>8.5515063807393155E-3</v>
      </c>
      <c r="D689" s="7">
        <v>2.4822695035461084E-2</v>
      </c>
      <c r="E689" s="7">
        <v>-2.3944549464397502E-3</v>
      </c>
      <c r="F689" s="7">
        <v>1.2269017659743087E-2</v>
      </c>
      <c r="G689" s="7"/>
      <c r="H689" s="7">
        <f t="shared" si="18"/>
        <v>1.0815304238301238E-2</v>
      </c>
      <c r="I689" s="7">
        <f t="shared" si="18"/>
        <v>-3.7175112790037712E-3</v>
      </c>
      <c r="J689" s="7">
        <f t="shared" si="18"/>
        <v>1.2553677375717998E-2</v>
      </c>
      <c r="K689" s="7">
        <f t="shared" si="17"/>
        <v>-1.4663472606182837E-2</v>
      </c>
      <c r="L689" s="7"/>
    </row>
    <row r="690" spans="1:12" x14ac:dyDescent="0.25">
      <c r="A690" s="2" t="s">
        <v>796</v>
      </c>
      <c r="B690" s="7">
        <v>1.7665007226592699E-3</v>
      </c>
      <c r="C690" s="7">
        <v>6.7549668874173907E-3</v>
      </c>
      <c r="D690" s="7">
        <v>2.5454545454545396E-2</v>
      </c>
      <c r="E690" s="7">
        <v>-1.2199676335117648E-2</v>
      </c>
      <c r="F690" s="7">
        <v>4.4735266835127518E-3</v>
      </c>
      <c r="G690" s="7"/>
      <c r="H690" s="7">
        <f t="shared" si="18"/>
        <v>-2.7070259608534819E-3</v>
      </c>
      <c r="I690" s="7">
        <f t="shared" si="18"/>
        <v>2.2814402039046389E-3</v>
      </c>
      <c r="J690" s="7">
        <f t="shared" si="18"/>
        <v>2.0981018771032645E-2</v>
      </c>
      <c r="K690" s="7">
        <f t="shared" si="17"/>
        <v>-1.66732030186304E-2</v>
      </c>
      <c r="L690" s="7"/>
    </row>
    <row r="691" spans="1:12" x14ac:dyDescent="0.25">
      <c r="A691" s="2" t="s">
        <v>797</v>
      </c>
      <c r="B691" s="7">
        <v>6.356731131821336E-3</v>
      </c>
      <c r="C691" s="7">
        <v>3.1889449906987721E-3</v>
      </c>
      <c r="D691" s="7">
        <v>-7.2202166064981865E-3</v>
      </c>
      <c r="E691" s="7">
        <v>-2.9244712990936561E-2</v>
      </c>
      <c r="F691" s="7">
        <v>-3.5400978894173374E-4</v>
      </c>
      <c r="G691" s="7"/>
      <c r="H691" s="7">
        <f t="shared" si="18"/>
        <v>6.7107409207630697E-3</v>
      </c>
      <c r="I691" s="7">
        <f t="shared" si="18"/>
        <v>3.5429547796405059E-3</v>
      </c>
      <c r="J691" s="7">
        <f t="shared" si="18"/>
        <v>-6.8662068175564528E-3</v>
      </c>
      <c r="K691" s="7">
        <f t="shared" si="17"/>
        <v>-2.8890703201994827E-2</v>
      </c>
      <c r="L691" s="7"/>
    </row>
    <row r="692" spans="1:12" x14ac:dyDescent="0.25">
      <c r="A692" s="2" t="s">
        <v>798</v>
      </c>
      <c r="B692" s="7">
        <v>1.5037182852143394E-2</v>
      </c>
      <c r="C692" s="7">
        <v>-2.132639791937585E-2</v>
      </c>
      <c r="D692" s="7">
        <v>-3.597122302158251E-3</v>
      </c>
      <c r="E692" s="7">
        <v>1.9465319699396355E-2</v>
      </c>
      <c r="F692" s="7">
        <v>1.1455777787018118E-2</v>
      </c>
      <c r="G692" s="7"/>
      <c r="H692" s="7">
        <f t="shared" si="18"/>
        <v>3.581405065125276E-3</v>
      </c>
      <c r="I692" s="7">
        <f t="shared" si="18"/>
        <v>-3.2782175706393968E-2</v>
      </c>
      <c r="J692" s="7">
        <f t="shared" si="18"/>
        <v>-1.5052900089176369E-2</v>
      </c>
      <c r="K692" s="7">
        <f t="shared" si="17"/>
        <v>8.0095419123782374E-3</v>
      </c>
      <c r="L692" s="7"/>
    </row>
    <row r="693" spans="1:12" x14ac:dyDescent="0.25">
      <c r="A693" s="2" t="s">
        <v>135</v>
      </c>
      <c r="B693" s="7">
        <v>-7.5432788842459964E-3</v>
      </c>
      <c r="C693" s="7">
        <v>-3.1112263417163444E-3</v>
      </c>
      <c r="D693" s="7">
        <v>-4.1379310344827669E-2</v>
      </c>
      <c r="E693" s="7">
        <v>6.4476131432114059E-3</v>
      </c>
      <c r="F693" s="7">
        <v>-4.4867799822001508E-3</v>
      </c>
      <c r="G693" s="7"/>
      <c r="H693" s="7">
        <f t="shared" si="18"/>
        <v>-3.0564989020458455E-3</v>
      </c>
      <c r="I693" s="7">
        <f t="shared" si="18"/>
        <v>1.3755536404838065E-3</v>
      </c>
      <c r="J693" s="7">
        <f t="shared" si="18"/>
        <v>-3.6892530362627518E-2</v>
      </c>
      <c r="K693" s="7">
        <f t="shared" si="17"/>
        <v>1.0934393125411557E-2</v>
      </c>
      <c r="L693" s="7"/>
    </row>
    <row r="694" spans="1:12" x14ac:dyDescent="0.25">
      <c r="A694" s="2" t="s">
        <v>799</v>
      </c>
      <c r="B694" s="7">
        <v>-1.6794885686423067E-3</v>
      </c>
      <c r="C694" s="7">
        <v>2.8601144045761195E-3</v>
      </c>
      <c r="D694" s="7">
        <v>-1.6949152542372947E-2</v>
      </c>
      <c r="E694" s="7">
        <v>-2.2661173048957761E-2</v>
      </c>
      <c r="F694" s="7">
        <v>-7.6587956338476371E-3</v>
      </c>
      <c r="G694" s="7"/>
      <c r="H694" s="7">
        <f t="shared" si="18"/>
        <v>5.9793070652053304E-3</v>
      </c>
      <c r="I694" s="7">
        <f t="shared" si="18"/>
        <v>1.0518910038423757E-2</v>
      </c>
      <c r="J694" s="7">
        <f t="shared" si="18"/>
        <v>-9.2903569085253102E-3</v>
      </c>
      <c r="K694" s="7">
        <f t="shared" si="17"/>
        <v>-1.5002377415110124E-2</v>
      </c>
      <c r="L694" s="7"/>
    </row>
    <row r="695" spans="1:12" x14ac:dyDescent="0.25">
      <c r="A695" s="2" t="s">
        <v>800</v>
      </c>
      <c r="B695" s="7">
        <v>1.6521643352792159E-2</v>
      </c>
      <c r="C695" s="7">
        <v>-1.0293360782295369E-2</v>
      </c>
      <c r="D695" s="7">
        <v>-3.3783783783782884E-3</v>
      </c>
      <c r="E695" s="7">
        <v>1.3347894672977034E-3</v>
      </c>
      <c r="F695" s="7">
        <v>3.7107536265745811E-3</v>
      </c>
      <c r="G695" s="7"/>
      <c r="H695" s="7">
        <f t="shared" si="18"/>
        <v>1.2810889726217578E-2</v>
      </c>
      <c r="I695" s="7">
        <f t="shared" si="18"/>
        <v>-1.400411440886995E-2</v>
      </c>
      <c r="J695" s="7">
        <f t="shared" si="18"/>
        <v>-7.0891320049528694E-3</v>
      </c>
      <c r="K695" s="7">
        <f t="shared" si="17"/>
        <v>-2.3759641592768777E-3</v>
      </c>
      <c r="L695" s="7"/>
    </row>
    <row r="696" spans="1:12" x14ac:dyDescent="0.25">
      <c r="A696" s="2" t="s">
        <v>801</v>
      </c>
      <c r="B696" s="7">
        <v>-5.6948855547037658E-3</v>
      </c>
      <c r="C696" s="7">
        <v>-8.0408423739629642E-3</v>
      </c>
      <c r="D696" s="7">
        <v>6.8027210884353817E-3</v>
      </c>
      <c r="E696" s="7">
        <v>-1.317207520057484E-2</v>
      </c>
      <c r="F696" s="7">
        <v>-5.245277085977551E-3</v>
      </c>
      <c r="G696" s="7"/>
      <c r="H696" s="7">
        <f t="shared" si="18"/>
        <v>-4.4960846872621474E-4</v>
      </c>
      <c r="I696" s="7">
        <f t="shared" si="18"/>
        <v>-2.7955652879854131E-3</v>
      </c>
      <c r="J696" s="7">
        <f t="shared" si="18"/>
        <v>1.2047998174412933E-2</v>
      </c>
      <c r="K696" s="7">
        <f t="shared" si="17"/>
        <v>-7.9267981145972888E-3</v>
      </c>
      <c r="L696" s="7"/>
    </row>
    <row r="697" spans="1:12" x14ac:dyDescent="0.25">
      <c r="A697" s="2" t="s">
        <v>802</v>
      </c>
      <c r="B697" s="7">
        <v>4.9306963238926471E-4</v>
      </c>
      <c r="C697" s="7">
        <v>-2.1481203946546734E-2</v>
      </c>
      <c r="D697" s="7">
        <v>-1.6722408026755953E-2</v>
      </c>
      <c r="E697" s="7">
        <v>-4.5272664913684646E-2</v>
      </c>
      <c r="F697" s="7">
        <v>-4.7351341054383544E-3</v>
      </c>
      <c r="G697" s="7"/>
      <c r="H697" s="7">
        <f t="shared" si="18"/>
        <v>5.2282037378276192E-3</v>
      </c>
      <c r="I697" s="7">
        <f t="shared" si="18"/>
        <v>-1.674606984110838E-2</v>
      </c>
      <c r="J697" s="7">
        <f t="shared" si="18"/>
        <v>-1.1987273921317598E-2</v>
      </c>
      <c r="K697" s="7">
        <f t="shared" si="17"/>
        <v>-4.0537530808246292E-2</v>
      </c>
      <c r="L697" s="7"/>
    </row>
    <row r="698" spans="1:12" x14ac:dyDescent="0.25">
      <c r="A698" s="2" t="s">
        <v>803</v>
      </c>
      <c r="B698" s="7">
        <v>-5.8820325690323028E-3</v>
      </c>
      <c r="C698" s="7">
        <v>7.0431392277698901E-3</v>
      </c>
      <c r="D698" s="7">
        <v>3.3557046979866278E-3</v>
      </c>
      <c r="E698" s="7">
        <v>-1.0278666057560448E-3</v>
      </c>
      <c r="F698" s="7">
        <v>-3.6716193988033385E-3</v>
      </c>
      <c r="G698" s="7"/>
      <c r="H698" s="7">
        <f t="shared" si="18"/>
        <v>-2.2104131702289642E-3</v>
      </c>
      <c r="I698" s="7">
        <f t="shared" si="18"/>
        <v>1.0714758626573229E-2</v>
      </c>
      <c r="J698" s="7">
        <f t="shared" si="18"/>
        <v>7.0273240967899664E-3</v>
      </c>
      <c r="K698" s="7">
        <f t="shared" si="17"/>
        <v>2.6437527930472937E-3</v>
      </c>
      <c r="L698" s="7"/>
    </row>
    <row r="699" spans="1:12" x14ac:dyDescent="0.25">
      <c r="A699" s="2" t="s">
        <v>804</v>
      </c>
      <c r="B699" s="7">
        <v>1.1235336233959448E-2</v>
      </c>
      <c r="C699" s="7">
        <v>1.8314549180328044E-2</v>
      </c>
      <c r="D699" s="7">
        <v>2.0547945205479534E-2</v>
      </c>
      <c r="E699" s="7">
        <v>3.1817110534998916E-2</v>
      </c>
      <c r="F699" s="7">
        <v>1.2178136985173449E-2</v>
      </c>
      <c r="G699" s="7"/>
      <c r="H699" s="7">
        <f t="shared" si="18"/>
        <v>-9.4280075121400131E-4</v>
      </c>
      <c r="I699" s="7">
        <f t="shared" si="18"/>
        <v>6.1364121951545947E-3</v>
      </c>
      <c r="J699" s="7">
        <f t="shared" si="18"/>
        <v>8.3698082203060853E-3</v>
      </c>
      <c r="K699" s="7">
        <f t="shared" si="17"/>
        <v>1.9638973549825467E-2</v>
      </c>
      <c r="L699" s="7"/>
    </row>
    <row r="700" spans="1:12" x14ac:dyDescent="0.25">
      <c r="A700" s="2" t="s">
        <v>805</v>
      </c>
      <c r="B700" s="7">
        <v>3.4818171769646078E-3</v>
      </c>
      <c r="C700" s="7">
        <v>-7.7519379844961378E-3</v>
      </c>
      <c r="D700" s="7">
        <v>5.4151624548736343E-2</v>
      </c>
      <c r="E700" s="7">
        <v>2.105643123571177E-2</v>
      </c>
      <c r="F700" s="7">
        <v>8.1940760034870941E-4</v>
      </c>
      <c r="G700" s="7"/>
      <c r="H700" s="7">
        <f t="shared" si="18"/>
        <v>2.6624095766158984E-3</v>
      </c>
      <c r="I700" s="7">
        <f t="shared" si="18"/>
        <v>-8.5713455848448472E-3</v>
      </c>
      <c r="J700" s="7">
        <f t="shared" si="18"/>
        <v>5.3332216948387634E-2</v>
      </c>
      <c r="K700" s="7">
        <f t="shared" si="17"/>
        <v>2.0237023635363061E-2</v>
      </c>
      <c r="L700" s="7"/>
    </row>
    <row r="701" spans="1:12" x14ac:dyDescent="0.25">
      <c r="A701" s="2" t="s">
        <v>806</v>
      </c>
      <c r="B701" s="7">
        <v>-2.6457942894939634E-3</v>
      </c>
      <c r="C701" s="7">
        <v>1.4569365652398192E-2</v>
      </c>
      <c r="D701" s="7">
        <v>0</v>
      </c>
      <c r="E701" s="7">
        <v>1.9254353691439796E-2</v>
      </c>
      <c r="F701" s="7">
        <v>6.9325847616807934E-3</v>
      </c>
      <c r="G701" s="7"/>
      <c r="H701" s="7">
        <f t="shared" si="18"/>
        <v>-9.5783790511747569E-3</v>
      </c>
      <c r="I701" s="7">
        <f t="shared" si="18"/>
        <v>7.6367808907173984E-3</v>
      </c>
      <c r="J701" s="7">
        <f t="shared" si="18"/>
        <v>-6.9325847616807934E-3</v>
      </c>
      <c r="K701" s="7">
        <f t="shared" si="17"/>
        <v>1.2321768929759003E-2</v>
      </c>
      <c r="L701" s="7"/>
    </row>
    <row r="702" spans="1:12" x14ac:dyDescent="0.25">
      <c r="A702" s="2" t="s">
        <v>136</v>
      </c>
      <c r="B702" s="7">
        <v>1.5675736199753487E-2</v>
      </c>
      <c r="C702" s="7">
        <v>1.3723696248856276E-2</v>
      </c>
      <c r="D702" s="7">
        <v>-1.4234875444839923E-2</v>
      </c>
      <c r="E702" s="7">
        <v>4.1871921182266014E-3</v>
      </c>
      <c r="F702" s="7">
        <v>9.3210758201012212E-3</v>
      </c>
      <c r="G702" s="7"/>
      <c r="H702" s="7">
        <f t="shared" si="18"/>
        <v>6.354660379652266E-3</v>
      </c>
      <c r="I702" s="7">
        <f t="shared" si="18"/>
        <v>4.4026204287550552E-3</v>
      </c>
      <c r="J702" s="7">
        <f t="shared" si="18"/>
        <v>-2.3555951264941144E-2</v>
      </c>
      <c r="K702" s="7">
        <f t="shared" si="17"/>
        <v>-5.1338837018746197E-3</v>
      </c>
      <c r="L702" s="7"/>
    </row>
    <row r="703" spans="1:12" x14ac:dyDescent="0.25">
      <c r="A703" s="2" t="s">
        <v>807</v>
      </c>
      <c r="B703" s="7">
        <v>2.1319569120286097E-3</v>
      </c>
      <c r="C703" s="7">
        <v>-8.5525463262925427E-3</v>
      </c>
      <c r="D703" s="7">
        <v>2.1818181818181737E-2</v>
      </c>
      <c r="E703" s="7">
        <v>-7.4563011856740857E-3</v>
      </c>
      <c r="F703" s="7">
        <v>1.1481323635922358E-3</v>
      </c>
      <c r="G703" s="7"/>
      <c r="H703" s="7">
        <f t="shared" si="18"/>
        <v>9.838245484363739E-4</v>
      </c>
      <c r="I703" s="7">
        <f t="shared" si="18"/>
        <v>-9.7006786898847785E-3</v>
      </c>
      <c r="J703" s="7">
        <f t="shared" si="18"/>
        <v>2.0670049454589501E-2</v>
      </c>
      <c r="K703" s="7">
        <f t="shared" si="17"/>
        <v>-8.6044335492663215E-3</v>
      </c>
      <c r="L703" s="7"/>
    </row>
    <row r="704" spans="1:12" x14ac:dyDescent="0.25">
      <c r="A704" s="2" t="s">
        <v>808</v>
      </c>
      <c r="B704" s="7">
        <v>1.5496809480401108E-2</v>
      </c>
      <c r="C704" s="7">
        <v>-2.4560496380557906E-3</v>
      </c>
      <c r="D704" s="7">
        <v>-7.2202166064981865E-3</v>
      </c>
      <c r="E704" s="7">
        <v>1.0124706753920298E-2</v>
      </c>
      <c r="F704" s="7">
        <v>6.1886060287941191E-3</v>
      </c>
      <c r="G704" s="7"/>
      <c r="H704" s="7">
        <f t="shared" si="18"/>
        <v>9.3082034516069889E-3</v>
      </c>
      <c r="I704" s="7">
        <f t="shared" si="18"/>
        <v>-8.6446556668499097E-3</v>
      </c>
      <c r="J704" s="7">
        <f t="shared" si="18"/>
        <v>-1.3408822635292306E-2</v>
      </c>
      <c r="K704" s="7">
        <f t="shared" si="17"/>
        <v>3.9361007251261793E-3</v>
      </c>
      <c r="L704" s="7"/>
    </row>
    <row r="705" spans="1:12" x14ac:dyDescent="0.25">
      <c r="A705" s="2" t="s">
        <v>809</v>
      </c>
      <c r="B705" s="7">
        <v>-7.8010175240248447E-3</v>
      </c>
      <c r="C705" s="7">
        <v>2.763018065887346E-2</v>
      </c>
      <c r="D705" s="7">
        <v>2.2140221402213944E-2</v>
      </c>
      <c r="E705" s="7">
        <v>-1.6395433568132223E-2</v>
      </c>
      <c r="F705" s="7">
        <v>-3.8119915496573897E-3</v>
      </c>
      <c r="G705" s="7"/>
      <c r="H705" s="7">
        <f t="shared" si="18"/>
        <v>-3.989025974367455E-3</v>
      </c>
      <c r="I705" s="7">
        <f t="shared" si="18"/>
        <v>3.144217220853085E-2</v>
      </c>
      <c r="J705" s="7">
        <f t="shared" si="18"/>
        <v>2.5952212951871334E-2</v>
      </c>
      <c r="K705" s="7">
        <f t="shared" si="17"/>
        <v>-1.2583442018474833E-2</v>
      </c>
      <c r="L705" s="7"/>
    </row>
    <row r="706" spans="1:12" x14ac:dyDescent="0.25">
      <c r="A706" s="2" t="s">
        <v>810</v>
      </c>
      <c r="B706" s="7">
        <v>-2.0309150400540377E-3</v>
      </c>
      <c r="C706" s="7">
        <v>3.1982942430703876E-3</v>
      </c>
      <c r="D706" s="7">
        <v>1.4981273408239737E-2</v>
      </c>
      <c r="E706" s="7">
        <v>2.7323767935121701E-2</v>
      </c>
      <c r="F706" s="7">
        <v>2.3538826194080542E-3</v>
      </c>
      <c r="G706" s="7"/>
      <c r="H706" s="7">
        <f t="shared" si="18"/>
        <v>-4.3847976594620919E-3</v>
      </c>
      <c r="I706" s="7">
        <f t="shared" si="18"/>
        <v>8.4441162366233335E-4</v>
      </c>
      <c r="J706" s="7">
        <f t="shared" si="18"/>
        <v>1.2627390788831683E-2</v>
      </c>
      <c r="K706" s="7">
        <f t="shared" si="18"/>
        <v>2.4969885315713647E-2</v>
      </c>
      <c r="L706" s="7"/>
    </row>
    <row r="707" spans="1:12" x14ac:dyDescent="0.25">
      <c r="A707" s="2" t="s">
        <v>137</v>
      </c>
      <c r="B707" s="7">
        <v>-7.5583673926432615E-3</v>
      </c>
      <c r="C707" s="7">
        <v>-4.4441614669552987E-2</v>
      </c>
      <c r="D707" s="7">
        <v>-4.3010752688172116E-2</v>
      </c>
      <c r="E707" s="7">
        <v>1.4994377108585866E-3</v>
      </c>
      <c r="F707" s="7">
        <v>-2.0035634473434261E-3</v>
      </c>
      <c r="G707" s="7"/>
      <c r="H707" s="7">
        <f t="shared" ref="H707:K770" si="19">B707-$F707</f>
        <v>-5.5548039452998355E-3</v>
      </c>
      <c r="I707" s="7">
        <f t="shared" si="19"/>
        <v>-4.2438051222209561E-2</v>
      </c>
      <c r="J707" s="7">
        <f t="shared" si="19"/>
        <v>-4.100718924082869E-2</v>
      </c>
      <c r="K707" s="7">
        <f t="shared" si="19"/>
        <v>3.5030011582020126E-3</v>
      </c>
      <c r="L707" s="7"/>
    </row>
    <row r="708" spans="1:12" x14ac:dyDescent="0.25">
      <c r="A708" s="2" t="s">
        <v>811</v>
      </c>
      <c r="B708" s="7">
        <v>4.7817281728173011E-3</v>
      </c>
      <c r="C708" s="7">
        <v>8.7522503808336927E-2</v>
      </c>
      <c r="D708" s="7">
        <v>4.1044776119402826E-2</v>
      </c>
      <c r="E708" s="7">
        <v>1.5351433646282775E-2</v>
      </c>
      <c r="F708" s="7">
        <v>1.4534401637518846E-2</v>
      </c>
      <c r="G708" s="7"/>
      <c r="H708" s="7">
        <f t="shared" si="19"/>
        <v>-9.7526734647015445E-3</v>
      </c>
      <c r="I708" s="7">
        <f t="shared" si="19"/>
        <v>7.2988102170818081E-2</v>
      </c>
      <c r="J708" s="7">
        <f t="shared" si="19"/>
        <v>2.651037448188398E-2</v>
      </c>
      <c r="K708" s="7">
        <f t="shared" si="19"/>
        <v>8.1703200876392934E-4</v>
      </c>
      <c r="L708" s="7"/>
    </row>
    <row r="709" spans="1:12" x14ac:dyDescent="0.25">
      <c r="A709" s="2" t="s">
        <v>812</v>
      </c>
      <c r="B709" s="7">
        <v>1.6003657978966412E-2</v>
      </c>
      <c r="C709" s="7">
        <v>1.0353994683083734E-2</v>
      </c>
      <c r="D709" s="7">
        <v>1.132075471698113E-2</v>
      </c>
      <c r="E709" s="7">
        <v>4.3282594308404976E-2</v>
      </c>
      <c r="F709" s="7">
        <v>9.8544677654355262E-3</v>
      </c>
      <c r="G709" s="7"/>
      <c r="H709" s="7">
        <f t="shared" si="19"/>
        <v>6.1491902135308862E-3</v>
      </c>
      <c r="I709" s="7">
        <f t="shared" si="19"/>
        <v>4.9952691764820756E-4</v>
      </c>
      <c r="J709" s="7">
        <f t="shared" si="19"/>
        <v>1.4662869515456034E-3</v>
      </c>
      <c r="K709" s="7">
        <f t="shared" si="19"/>
        <v>3.342812654296945E-2</v>
      </c>
      <c r="L709" s="7"/>
    </row>
    <row r="710" spans="1:12" x14ac:dyDescent="0.25">
      <c r="A710" s="2" t="s">
        <v>813</v>
      </c>
      <c r="B710" s="7">
        <v>-2.8569796011645998E-4</v>
      </c>
      <c r="C710" s="7">
        <v>-2.8544243577545148E-2</v>
      </c>
      <c r="D710" s="7">
        <v>-3.284671532846728E-2</v>
      </c>
      <c r="E710" s="7">
        <v>1.1243474769107253E-2</v>
      </c>
      <c r="F710" s="7">
        <v>-6.1086381707852189E-3</v>
      </c>
      <c r="G710" s="7"/>
      <c r="H710" s="7">
        <f t="shared" si="19"/>
        <v>5.8229402106687589E-3</v>
      </c>
      <c r="I710" s="7">
        <f t="shared" si="19"/>
        <v>-2.2435605406759929E-2</v>
      </c>
      <c r="J710" s="7">
        <f t="shared" si="19"/>
        <v>-2.6738077157682061E-2</v>
      </c>
      <c r="K710" s="7">
        <f t="shared" si="19"/>
        <v>1.7352112939892472E-2</v>
      </c>
      <c r="L710" s="7"/>
    </row>
    <row r="711" spans="1:12" x14ac:dyDescent="0.25">
      <c r="A711" s="2" t="s">
        <v>814</v>
      </c>
      <c r="B711" s="7">
        <v>1.0683760683760646E-2</v>
      </c>
      <c r="C711" s="7">
        <v>-9.1582491582492542E-3</v>
      </c>
      <c r="D711" s="7">
        <v>-4.8611111111111049E-2</v>
      </c>
      <c r="E711" s="7">
        <v>-2.8478543563069114E-2</v>
      </c>
      <c r="F711" s="7">
        <v>1.6645067709930572E-5</v>
      </c>
      <c r="G711" s="7"/>
      <c r="H711" s="7">
        <f t="shared" si="19"/>
        <v>1.0667115616050715E-2</v>
      </c>
      <c r="I711" s="7">
        <f t="shared" si="19"/>
        <v>-9.1748942259591848E-3</v>
      </c>
      <c r="J711" s="7">
        <f t="shared" si="19"/>
        <v>-4.862775617882098E-2</v>
      </c>
      <c r="K711" s="7">
        <f t="shared" si="19"/>
        <v>-2.8495188630779045E-2</v>
      </c>
      <c r="L711" s="7"/>
    </row>
    <row r="712" spans="1:12" x14ac:dyDescent="0.25">
      <c r="A712" s="2" t="s">
        <v>815</v>
      </c>
      <c r="B712" s="7">
        <v>1.4054813773717534E-2</v>
      </c>
      <c r="C712" s="7">
        <v>-1.0762814475985261E-3</v>
      </c>
      <c r="D712" s="7">
        <v>2.8571428571428692E-2</v>
      </c>
      <c r="E712" s="7">
        <v>2.7800053461641383E-2</v>
      </c>
      <c r="F712" s="7">
        <v>1.3048987300302572E-2</v>
      </c>
      <c r="G712" s="7"/>
      <c r="H712" s="7">
        <f t="shared" si="19"/>
        <v>1.0058264734149613E-3</v>
      </c>
      <c r="I712" s="7">
        <f t="shared" si="19"/>
        <v>-1.4125268747901099E-2</v>
      </c>
      <c r="J712" s="7">
        <f t="shared" si="19"/>
        <v>1.5522441271126119E-2</v>
      </c>
      <c r="K712" s="7">
        <f t="shared" si="19"/>
        <v>1.4751066161338811E-2</v>
      </c>
      <c r="L712" s="7"/>
    </row>
    <row r="713" spans="1:12" x14ac:dyDescent="0.25">
      <c r="A713" s="2" t="s">
        <v>816</v>
      </c>
      <c r="B713" s="7">
        <v>6.720905553590395E-3</v>
      </c>
      <c r="C713" s="7">
        <v>5.3843047516477505E-4</v>
      </c>
      <c r="D713" s="7">
        <v>-3.4482758620689724E-2</v>
      </c>
      <c r="E713" s="7">
        <v>-2.9823651452282274E-2</v>
      </c>
      <c r="F713" s="7">
        <v>8.7576909244662104E-3</v>
      </c>
      <c r="G713" s="7"/>
      <c r="H713" s="7">
        <f t="shared" si="19"/>
        <v>-2.0367853708758155E-3</v>
      </c>
      <c r="I713" s="7">
        <f t="shared" si="19"/>
        <v>-8.2192604493014354E-3</v>
      </c>
      <c r="J713" s="7">
        <f t="shared" si="19"/>
        <v>-4.3240449545155935E-2</v>
      </c>
      <c r="K713" s="7">
        <f t="shared" si="19"/>
        <v>-3.8581342376748484E-2</v>
      </c>
      <c r="L713" s="7"/>
    </row>
    <row r="714" spans="1:12" x14ac:dyDescent="0.25">
      <c r="A714" s="2" t="s">
        <v>817</v>
      </c>
      <c r="B714" s="7">
        <v>1.6534782095192213E-3</v>
      </c>
      <c r="C714" s="7">
        <v>-3.6820951640088029E-2</v>
      </c>
      <c r="D714" s="7">
        <v>3.4602076124565784E-3</v>
      </c>
      <c r="E714" s="7">
        <v>-2.0200736882225789E-2</v>
      </c>
      <c r="F714" s="7">
        <v>-7.3186381640205633E-3</v>
      </c>
      <c r="G714" s="7"/>
      <c r="H714" s="7">
        <f t="shared" si="19"/>
        <v>8.9721163735397846E-3</v>
      </c>
      <c r="I714" s="7">
        <f t="shared" si="19"/>
        <v>-2.9502313476067465E-2</v>
      </c>
      <c r="J714" s="7">
        <f t="shared" si="19"/>
        <v>1.0778845776477142E-2</v>
      </c>
      <c r="K714" s="7">
        <f t="shared" si="19"/>
        <v>-1.2882098718205226E-2</v>
      </c>
      <c r="L714" s="7"/>
    </row>
    <row r="715" spans="1:12" x14ac:dyDescent="0.25">
      <c r="A715" s="2" t="s">
        <v>818</v>
      </c>
      <c r="B715" s="7">
        <v>-1.5178831055539299E-2</v>
      </c>
      <c r="C715" s="7">
        <v>-9.8844672657254495E-3</v>
      </c>
      <c r="D715" s="7">
        <v>-4.6204620462046098E-2</v>
      </c>
      <c r="E715" s="7">
        <v>-3.7422037422037424E-2</v>
      </c>
      <c r="F715" s="7">
        <v>-1.1222073018606449E-2</v>
      </c>
      <c r="G715" s="7"/>
      <c r="H715" s="7">
        <f t="shared" si="19"/>
        <v>-3.9567580369328503E-3</v>
      </c>
      <c r="I715" s="7">
        <f t="shared" si="19"/>
        <v>1.3376057528809993E-3</v>
      </c>
      <c r="J715" s="7">
        <f t="shared" si="19"/>
        <v>-3.4982547443439649E-2</v>
      </c>
      <c r="K715" s="7">
        <f t="shared" si="19"/>
        <v>-2.6199964403430975E-2</v>
      </c>
      <c r="L715" s="7"/>
    </row>
    <row r="716" spans="1:12" x14ac:dyDescent="0.25">
      <c r="A716" s="2" t="s">
        <v>138</v>
      </c>
      <c r="B716" s="7">
        <v>-5.494505494505586E-3</v>
      </c>
      <c r="C716" s="7">
        <v>2.7027027027027195E-2</v>
      </c>
      <c r="D716" s="7">
        <v>8.2142857142857073E-2</v>
      </c>
      <c r="E716" s="7">
        <v>2.5200601805416056E-2</v>
      </c>
      <c r="F716" s="7">
        <v>1.5505799168891166E-4</v>
      </c>
      <c r="G716" s="7"/>
      <c r="H716" s="7">
        <f t="shared" si="19"/>
        <v>-5.6495634861944977E-3</v>
      </c>
      <c r="I716" s="7">
        <f t="shared" si="19"/>
        <v>2.6871969035338283E-2</v>
      </c>
      <c r="J716" s="7">
        <f t="shared" si="19"/>
        <v>8.1987799151168161E-2</v>
      </c>
      <c r="K716" s="7">
        <f t="shared" si="19"/>
        <v>2.5045543813727145E-2</v>
      </c>
      <c r="L716" s="7"/>
    </row>
    <row r="717" spans="1:12" x14ac:dyDescent="0.25">
      <c r="A717" s="2" t="s">
        <v>819</v>
      </c>
      <c r="B717" s="7">
        <v>6.3661091498357081E-4</v>
      </c>
      <c r="C717" s="7">
        <v>-6.0280435067489035E-3</v>
      </c>
      <c r="D717" s="7">
        <v>2.9411764705882248E-2</v>
      </c>
      <c r="E717" s="7">
        <v>-2.0869138227350703E-2</v>
      </c>
      <c r="F717" s="7">
        <v>-1.445909410321633E-3</v>
      </c>
      <c r="G717" s="7"/>
      <c r="H717" s="7">
        <f t="shared" si="19"/>
        <v>2.0825203253052038E-3</v>
      </c>
      <c r="I717" s="7">
        <f t="shared" si="19"/>
        <v>-4.5821340964272705E-3</v>
      </c>
      <c r="J717" s="7">
        <f t="shared" si="19"/>
        <v>3.0857674116203881E-2</v>
      </c>
      <c r="K717" s="7">
        <f t="shared" si="19"/>
        <v>-1.942322881702907E-2</v>
      </c>
      <c r="L717" s="7"/>
    </row>
    <row r="718" spans="1:12" x14ac:dyDescent="0.25">
      <c r="A718" s="2" t="s">
        <v>820</v>
      </c>
      <c r="B718" s="7">
        <v>1.3668895928663494E-2</v>
      </c>
      <c r="C718" s="7">
        <v>9.6586398518128114E-3</v>
      </c>
      <c r="D718" s="7">
        <v>-1.4492753623188248E-2</v>
      </c>
      <c r="E718" s="7">
        <v>-5.4110543427775326E-2</v>
      </c>
      <c r="F718" s="7">
        <v>9.4451003541911049E-3</v>
      </c>
      <c r="G718" s="7"/>
      <c r="H718" s="7">
        <f t="shared" si="19"/>
        <v>4.2237955744723887E-3</v>
      </c>
      <c r="I718" s="7">
        <f t="shared" si="19"/>
        <v>2.1353949762170643E-4</v>
      </c>
      <c r="J718" s="7">
        <f t="shared" si="19"/>
        <v>-2.3937853977379353E-2</v>
      </c>
      <c r="K718" s="7">
        <f t="shared" si="19"/>
        <v>-6.3555643781966431E-2</v>
      </c>
      <c r="L718" s="7"/>
    </row>
    <row r="719" spans="1:12" x14ac:dyDescent="0.25">
      <c r="A719" s="2" t="s">
        <v>821</v>
      </c>
      <c r="B719" s="7">
        <v>3.5914041801590191E-3</v>
      </c>
      <c r="C719" s="7">
        <v>2.218014606437646E-2</v>
      </c>
      <c r="D719" s="7">
        <v>1.098901098901095E-2</v>
      </c>
      <c r="E719" s="7">
        <v>2.1710760469806578E-2</v>
      </c>
      <c r="F719" s="7">
        <v>1.1890800262780221E-2</v>
      </c>
      <c r="G719" s="7"/>
      <c r="H719" s="7">
        <f t="shared" si="19"/>
        <v>-8.2993960826212021E-3</v>
      </c>
      <c r="I719" s="7">
        <f t="shared" si="19"/>
        <v>1.0289345801596239E-2</v>
      </c>
      <c r="J719" s="7">
        <f t="shared" si="19"/>
        <v>-9.017892737692712E-4</v>
      </c>
      <c r="K719" s="7">
        <f t="shared" si="19"/>
        <v>9.819960207026357E-3</v>
      </c>
      <c r="L719" s="7"/>
    </row>
    <row r="720" spans="1:12" x14ac:dyDescent="0.25">
      <c r="A720" s="2" t="s">
        <v>822</v>
      </c>
      <c r="B720" s="7">
        <v>0</v>
      </c>
      <c r="C720" s="7">
        <v>-2.4666930484105065E-2</v>
      </c>
      <c r="D720" s="7">
        <v>1.4869888475836479E-2</v>
      </c>
      <c r="E720" s="7">
        <v>4.6483909415970803E-3</v>
      </c>
      <c r="F720" s="7">
        <v>-6.3777113735047353E-3</v>
      </c>
      <c r="G720" s="7"/>
      <c r="H720" s="7">
        <f t="shared" si="19"/>
        <v>6.3777113735047353E-3</v>
      </c>
      <c r="I720" s="7">
        <f t="shared" si="19"/>
        <v>-1.828921911060033E-2</v>
      </c>
      <c r="J720" s="7">
        <f t="shared" si="19"/>
        <v>2.1247599849341214E-2</v>
      </c>
      <c r="K720" s="7">
        <f t="shared" si="19"/>
        <v>1.1026102315101816E-2</v>
      </c>
      <c r="L720" s="7"/>
    </row>
    <row r="721" spans="1:12" x14ac:dyDescent="0.25">
      <c r="A721" s="2" t="s">
        <v>139</v>
      </c>
      <c r="B721" s="7">
        <v>-2.8765997416931866E-3</v>
      </c>
      <c r="C721" s="7">
        <v>2.1150033046926087E-3</v>
      </c>
      <c r="D721" s="7">
        <v>0</v>
      </c>
      <c r="E721" s="7">
        <v>3.5163479333744752E-2</v>
      </c>
      <c r="F721" s="7">
        <v>2.958235533743192E-3</v>
      </c>
      <c r="G721" s="7"/>
      <c r="H721" s="7">
        <f t="shared" si="19"/>
        <v>-5.8348352754363786E-3</v>
      </c>
      <c r="I721" s="7">
        <f t="shared" si="19"/>
        <v>-8.4323222905058337E-4</v>
      </c>
      <c r="J721" s="7">
        <f t="shared" si="19"/>
        <v>-2.958235533743192E-3</v>
      </c>
      <c r="K721" s="7">
        <f t="shared" si="19"/>
        <v>3.220524380000156E-2</v>
      </c>
      <c r="L721" s="7"/>
    </row>
    <row r="722" spans="1:12" x14ac:dyDescent="0.25">
      <c r="A722" s="2" t="s">
        <v>823</v>
      </c>
      <c r="B722" s="7">
        <v>-5.4300227710633031E-3</v>
      </c>
      <c r="C722" s="7">
        <v>-4.9980270945678695E-3</v>
      </c>
      <c r="D722" s="7">
        <v>-2.1818181818181848E-2</v>
      </c>
      <c r="E722" s="7">
        <v>-2.8992452378099887E-2</v>
      </c>
      <c r="F722" s="7">
        <v>-1.5832974226629437E-3</v>
      </c>
      <c r="G722" s="7"/>
      <c r="H722" s="7">
        <f t="shared" si="19"/>
        <v>-3.8467253484003594E-3</v>
      </c>
      <c r="I722" s="7">
        <f t="shared" si="19"/>
        <v>-3.4147296719049258E-3</v>
      </c>
      <c r="J722" s="7">
        <f t="shared" si="19"/>
        <v>-2.0234884395518904E-2</v>
      </c>
      <c r="K722" s="7">
        <f t="shared" si="19"/>
        <v>-2.7409154955436943E-2</v>
      </c>
      <c r="L722" s="7"/>
    </row>
    <row r="723" spans="1:12" x14ac:dyDescent="0.25">
      <c r="A723" s="2" t="s">
        <v>824</v>
      </c>
      <c r="B723" s="7">
        <v>1.110591536123362E-3</v>
      </c>
      <c r="C723" s="7">
        <v>-1.1823436678928267E-3</v>
      </c>
      <c r="D723" s="7">
        <v>2.9962546816479474E-2</v>
      </c>
      <c r="E723" s="7">
        <v>5.9532876364559506E-2</v>
      </c>
      <c r="F723" s="7">
        <v>-1.6966193288928677E-3</v>
      </c>
      <c r="G723" s="7"/>
      <c r="H723" s="7">
        <f t="shared" si="19"/>
        <v>2.8072108650162297E-3</v>
      </c>
      <c r="I723" s="7">
        <f t="shared" si="19"/>
        <v>5.1427566100004096E-4</v>
      </c>
      <c r="J723" s="7">
        <f t="shared" si="19"/>
        <v>3.1659166145372342E-2</v>
      </c>
      <c r="K723" s="7">
        <f t="shared" si="19"/>
        <v>6.1229495693452374E-2</v>
      </c>
      <c r="L723" s="7"/>
    </row>
    <row r="724" spans="1:12" x14ac:dyDescent="0.25">
      <c r="A724" s="2" t="s">
        <v>825</v>
      </c>
      <c r="B724" s="7">
        <v>1.0394519253484669E-2</v>
      </c>
      <c r="C724" s="7">
        <v>9.2044707429339567E-4</v>
      </c>
      <c r="D724" s="7">
        <v>1.5209125475285079E-2</v>
      </c>
      <c r="E724" s="7">
        <v>8.9651639344263678E-3</v>
      </c>
      <c r="F724" s="7">
        <v>4.4839130213125689E-3</v>
      </c>
      <c r="G724" s="7"/>
      <c r="H724" s="7">
        <f t="shared" si="19"/>
        <v>5.9106062321720998E-3</v>
      </c>
      <c r="I724" s="7">
        <f t="shared" si="19"/>
        <v>-3.5634659470191732E-3</v>
      </c>
      <c r="J724" s="7">
        <f t="shared" si="19"/>
        <v>1.072521245397251E-2</v>
      </c>
      <c r="K724" s="7">
        <f t="shared" si="19"/>
        <v>4.481250913113799E-3</v>
      </c>
      <c r="L724" s="7"/>
    </row>
    <row r="725" spans="1:12" x14ac:dyDescent="0.25">
      <c r="A725" s="2" t="s">
        <v>826</v>
      </c>
      <c r="B725" s="7">
        <v>-9.9403578528828307E-3</v>
      </c>
      <c r="C725" s="7">
        <v>-1.5023960626861732E-2</v>
      </c>
      <c r="D725" s="7">
        <v>1.5444015444015413E-2</v>
      </c>
      <c r="E725" s="7">
        <v>-1.3144590495450026E-2</v>
      </c>
      <c r="F725" s="7">
        <v>-4.5793742085777911E-3</v>
      </c>
      <c r="G725" s="7"/>
      <c r="H725" s="7">
        <f t="shared" si="19"/>
        <v>-5.3609836443050396E-3</v>
      </c>
      <c r="I725" s="7">
        <f t="shared" si="19"/>
        <v>-1.0444586418283941E-2</v>
      </c>
      <c r="J725" s="7">
        <f t="shared" si="19"/>
        <v>2.0023389652593204E-2</v>
      </c>
      <c r="K725" s="7">
        <f t="shared" si="19"/>
        <v>-8.5652162868722348E-3</v>
      </c>
      <c r="L725" s="7"/>
    </row>
    <row r="726" spans="1:12" x14ac:dyDescent="0.25">
      <c r="A726" s="2" t="s">
        <v>140</v>
      </c>
      <c r="B726" s="7">
        <v>-4.0914138757375262E-4</v>
      </c>
      <c r="C726" s="7">
        <v>-9.7473387200205375E-3</v>
      </c>
      <c r="D726" s="7">
        <v>-1.1450381679389388E-2</v>
      </c>
      <c r="E726" s="7">
        <v>1.1388080475769335E-3</v>
      </c>
      <c r="F726" s="7">
        <v>4.5210033242670811E-4</v>
      </c>
      <c r="G726" s="7"/>
      <c r="H726" s="7">
        <f t="shared" si="19"/>
        <v>-8.6124172000046073E-4</v>
      </c>
      <c r="I726" s="7">
        <f t="shared" si="19"/>
        <v>-1.0199439052447246E-2</v>
      </c>
      <c r="J726" s="7">
        <f t="shared" si="19"/>
        <v>-1.1902482011816096E-2</v>
      </c>
      <c r="K726" s="7">
        <f t="shared" si="19"/>
        <v>6.8670771515022544E-4</v>
      </c>
      <c r="L726" s="7"/>
    </row>
    <row r="727" spans="1:12" x14ac:dyDescent="0.25">
      <c r="A727" s="2" t="s">
        <v>827</v>
      </c>
      <c r="B727" s="7">
        <v>4.6934279769918152E-2</v>
      </c>
      <c r="C727" s="7">
        <v>1.4837953924248248E-2</v>
      </c>
      <c r="D727" s="7">
        <v>3.9682539682539764E-2</v>
      </c>
      <c r="E727" s="7">
        <v>8.8077610416135155E-3</v>
      </c>
      <c r="F727" s="7">
        <v>1.8474744042430657E-2</v>
      </c>
      <c r="G727" s="7"/>
      <c r="H727" s="7">
        <f t="shared" si="19"/>
        <v>2.8459535727487495E-2</v>
      </c>
      <c r="I727" s="7">
        <f t="shared" si="19"/>
        <v>-3.6367901181824092E-3</v>
      </c>
      <c r="J727" s="7">
        <f t="shared" si="19"/>
        <v>2.1207795640109106E-2</v>
      </c>
      <c r="K727" s="7">
        <f t="shared" si="19"/>
        <v>-9.666983000817142E-3</v>
      </c>
      <c r="L727" s="7"/>
    </row>
    <row r="728" spans="1:12" x14ac:dyDescent="0.25">
      <c r="A728" s="2" t="s">
        <v>828</v>
      </c>
      <c r="B728" s="7">
        <v>-9.9357809281473974E-3</v>
      </c>
      <c r="C728" s="7">
        <v>-9.6674400618715906E-3</v>
      </c>
      <c r="D728" s="7">
        <v>-3.9525691699603405E-3</v>
      </c>
      <c r="E728" s="7">
        <v>1.240630653915753E-2</v>
      </c>
      <c r="F728" s="7">
        <v>-7.2187251726456569E-3</v>
      </c>
      <c r="G728" s="7"/>
      <c r="H728" s="7">
        <f t="shared" si="19"/>
        <v>-2.7170557555017405E-3</v>
      </c>
      <c r="I728" s="7">
        <f t="shared" si="19"/>
        <v>-2.4487148892259336E-3</v>
      </c>
      <c r="J728" s="7">
        <f t="shared" si="19"/>
        <v>3.2661560026853165E-3</v>
      </c>
      <c r="K728" s="7">
        <f t="shared" si="19"/>
        <v>1.9625031711803187E-2</v>
      </c>
      <c r="L728" s="7"/>
    </row>
    <row r="729" spans="1:12" x14ac:dyDescent="0.25">
      <c r="A729" s="2" t="s">
        <v>829</v>
      </c>
      <c r="B729" s="7">
        <v>-6.4407391801600822E-3</v>
      </c>
      <c r="C729" s="7">
        <v>-1.4158836401081398E-3</v>
      </c>
      <c r="D729" s="7">
        <v>-1.5564202334630406E-2</v>
      </c>
      <c r="E729" s="7">
        <v>-6.4574454345878163E-4</v>
      </c>
      <c r="F729" s="7">
        <v>-6.9982862330625339E-3</v>
      </c>
      <c r="G729" s="7"/>
      <c r="H729" s="7">
        <f t="shared" si="19"/>
        <v>5.5754705290245177E-4</v>
      </c>
      <c r="I729" s="7">
        <f t="shared" si="19"/>
        <v>5.5824025929543941E-3</v>
      </c>
      <c r="J729" s="7">
        <f t="shared" si="19"/>
        <v>-8.565916101567872E-3</v>
      </c>
      <c r="K729" s="7">
        <f t="shared" si="19"/>
        <v>6.3525416896037523E-3</v>
      </c>
      <c r="L729" s="7"/>
    </row>
    <row r="730" spans="1:12" x14ac:dyDescent="0.25">
      <c r="A730" s="2" t="s">
        <v>830</v>
      </c>
      <c r="B730" s="7">
        <v>-6.2212119399412957E-3</v>
      </c>
      <c r="C730" s="7">
        <v>-2.7172551965940372E-2</v>
      </c>
      <c r="D730" s="7">
        <v>-1.9083969465648942E-2</v>
      </c>
      <c r="E730" s="7">
        <v>-3.1277367696734615E-2</v>
      </c>
      <c r="F730" s="7">
        <v>-1.1586253889876552E-2</v>
      </c>
      <c r="G730" s="7"/>
      <c r="H730" s="7">
        <f t="shared" si="19"/>
        <v>5.3650419499352564E-3</v>
      </c>
      <c r="I730" s="7">
        <f t="shared" si="19"/>
        <v>-1.558629807606382E-2</v>
      </c>
      <c r="J730" s="7">
        <f t="shared" si="19"/>
        <v>-7.4977155757723901E-3</v>
      </c>
      <c r="K730" s="7">
        <f t="shared" si="19"/>
        <v>-1.9691113806858063E-2</v>
      </c>
      <c r="L730" s="7"/>
    </row>
    <row r="731" spans="1:12" x14ac:dyDescent="0.25">
      <c r="A731" s="2" t="s">
        <v>141</v>
      </c>
      <c r="B731" s="7">
        <v>-5.3808441946667784E-4</v>
      </c>
      <c r="C731" s="7">
        <v>-3.4938857000249568E-3</v>
      </c>
      <c r="D731" s="7">
        <v>-1.872659176029956E-2</v>
      </c>
      <c r="E731" s="7">
        <v>-6.2165858510505601E-3</v>
      </c>
      <c r="F731" s="7">
        <v>-3.861392787588569E-4</v>
      </c>
      <c r="G731" s="7"/>
      <c r="H731" s="7">
        <f t="shared" si="19"/>
        <v>-1.5194514070782095E-4</v>
      </c>
      <c r="I731" s="7">
        <f t="shared" si="19"/>
        <v>-3.1077464212660999E-3</v>
      </c>
      <c r="J731" s="7">
        <f t="shared" si="19"/>
        <v>-1.8340452481540703E-2</v>
      </c>
      <c r="K731" s="7">
        <f t="shared" si="19"/>
        <v>-5.8304465722917032E-3</v>
      </c>
      <c r="L731" s="7"/>
    </row>
    <row r="732" spans="1:12" x14ac:dyDescent="0.25">
      <c r="A732" s="2" t="s">
        <v>831</v>
      </c>
      <c r="B732" s="7">
        <v>7.5296668875368677E-3</v>
      </c>
      <c r="C732" s="7">
        <v>8.5577649131638456E-3</v>
      </c>
      <c r="D732" s="7">
        <v>1.1363636363636243E-2</v>
      </c>
      <c r="E732" s="7">
        <v>2.6178010471205049E-3</v>
      </c>
      <c r="F732" s="7">
        <v>8.2532312863479174E-3</v>
      </c>
      <c r="G732" s="7"/>
      <c r="H732" s="7">
        <f t="shared" si="19"/>
        <v>-7.2356439881104961E-4</v>
      </c>
      <c r="I732" s="7">
        <f t="shared" si="19"/>
        <v>3.0453362681592822E-4</v>
      </c>
      <c r="J732" s="7">
        <f t="shared" si="19"/>
        <v>3.1104050772883252E-3</v>
      </c>
      <c r="K732" s="7">
        <f t="shared" si="19"/>
        <v>-5.6354302392274125E-3</v>
      </c>
      <c r="L732" s="7"/>
    </row>
    <row r="733" spans="1:12" x14ac:dyDescent="0.25">
      <c r="A733" s="2" t="s">
        <v>832</v>
      </c>
      <c r="B733" s="7">
        <v>2.8435138148928285E-2</v>
      </c>
      <c r="C733" s="7">
        <v>2.3309723116548442E-2</v>
      </c>
      <c r="D733" s="7">
        <v>-3.7735849056602655E-3</v>
      </c>
      <c r="E733" s="7">
        <v>1.9961856325492633E-2</v>
      </c>
      <c r="F733" s="7">
        <v>1.9566123190639217E-2</v>
      </c>
      <c r="G733" s="7"/>
      <c r="H733" s="7">
        <f t="shared" si="19"/>
        <v>8.8690149582890676E-3</v>
      </c>
      <c r="I733" s="7">
        <f t="shared" si="19"/>
        <v>3.7435999259092245E-3</v>
      </c>
      <c r="J733" s="7">
        <f t="shared" si="19"/>
        <v>-2.3339708096299483E-2</v>
      </c>
      <c r="K733" s="7">
        <f t="shared" si="19"/>
        <v>3.9573313485341544E-4</v>
      </c>
      <c r="L733" s="7"/>
    </row>
    <row r="734" spans="1:12" x14ac:dyDescent="0.25">
      <c r="A734" s="2" t="s">
        <v>833</v>
      </c>
      <c r="B734" s="7">
        <v>-6.194635445710972E-5</v>
      </c>
      <c r="C734" s="7">
        <v>-1.3843027686055276E-2</v>
      </c>
      <c r="D734" s="7">
        <v>-3.284671532846728E-2</v>
      </c>
      <c r="E734" s="7">
        <v>-1.2698412698411987E-3</v>
      </c>
      <c r="F734" s="7">
        <v>-3.8412134697898281E-3</v>
      </c>
      <c r="G734" s="7"/>
      <c r="H734" s="7">
        <f t="shared" si="19"/>
        <v>3.7792671153327184E-3</v>
      </c>
      <c r="I734" s="7">
        <f t="shared" si="19"/>
        <v>-1.0001814216265448E-2</v>
      </c>
      <c r="J734" s="7">
        <f t="shared" si="19"/>
        <v>-2.9005501858677452E-2</v>
      </c>
      <c r="K734" s="7">
        <f t="shared" si="19"/>
        <v>2.5713721999486294E-3</v>
      </c>
      <c r="L734" s="7"/>
    </row>
    <row r="735" spans="1:12" x14ac:dyDescent="0.25">
      <c r="A735" s="2" t="s">
        <v>834</v>
      </c>
      <c r="B735" s="7">
        <v>-9.4495919494385072E-3</v>
      </c>
      <c r="C735" s="7">
        <v>-6.5606863487258638E-3</v>
      </c>
      <c r="D735" s="7">
        <v>-3.8596491228070184E-2</v>
      </c>
      <c r="E735" s="7">
        <v>-4.5685894328647558E-2</v>
      </c>
      <c r="F735" s="7">
        <v>-1.5810821263512076E-2</v>
      </c>
      <c r="G735" s="7"/>
      <c r="H735" s="7">
        <f t="shared" si="19"/>
        <v>6.3612293140735687E-3</v>
      </c>
      <c r="I735" s="7">
        <f t="shared" si="19"/>
        <v>9.2501349147862122E-3</v>
      </c>
      <c r="J735" s="7">
        <f t="shared" si="19"/>
        <v>-2.2785669964558108E-2</v>
      </c>
      <c r="K735" s="7">
        <f t="shared" si="19"/>
        <v>-2.9875073065135482E-2</v>
      </c>
      <c r="L735" s="7"/>
    </row>
    <row r="736" spans="1:12" x14ac:dyDescent="0.25">
      <c r="A736" s="2" t="s">
        <v>142</v>
      </c>
      <c r="B736" s="7">
        <v>1.905815812123457E-3</v>
      </c>
      <c r="C736" s="7">
        <v>5.5823395077392313E-3</v>
      </c>
      <c r="D736" s="7">
        <v>5.1660516605166018E-2</v>
      </c>
      <c r="E736" s="7">
        <v>-2.5162433549911545E-2</v>
      </c>
      <c r="F736" s="7">
        <v>8.5157444502503843E-4</v>
      </c>
      <c r="G736" s="7"/>
      <c r="H736" s="7">
        <f t="shared" si="19"/>
        <v>1.0542413670984185E-3</v>
      </c>
      <c r="I736" s="7">
        <f t="shared" si="19"/>
        <v>4.7307650627141928E-3</v>
      </c>
      <c r="J736" s="7">
        <f t="shared" si="19"/>
        <v>5.080894216014098E-2</v>
      </c>
      <c r="K736" s="7">
        <f t="shared" si="19"/>
        <v>-2.6014007994936583E-2</v>
      </c>
      <c r="L736" s="7"/>
    </row>
    <row r="737" spans="1:12" x14ac:dyDescent="0.25">
      <c r="A737" s="2" t="s">
        <v>835</v>
      </c>
      <c r="B737" s="7">
        <v>-9.8009374809765459E-3</v>
      </c>
      <c r="C737" s="7">
        <v>-2.404758891279779E-3</v>
      </c>
      <c r="D737" s="7">
        <v>-1.8115942028985477E-2</v>
      </c>
      <c r="E737" s="7">
        <v>-1.7753539104200522E-2</v>
      </c>
      <c r="F737" s="7">
        <v>9.0319362485757893E-4</v>
      </c>
      <c r="G737" s="7"/>
      <c r="H737" s="7">
        <f t="shared" si="19"/>
        <v>-1.0704131105834125E-2</v>
      </c>
      <c r="I737" s="7">
        <f t="shared" si="19"/>
        <v>-3.307952516137358E-3</v>
      </c>
      <c r="J737" s="7">
        <f t="shared" si="19"/>
        <v>-1.9019135653843056E-2</v>
      </c>
      <c r="K737" s="7">
        <f t="shared" si="19"/>
        <v>-1.8656732729058101E-2</v>
      </c>
      <c r="L737" s="7"/>
    </row>
    <row r="738" spans="1:12" x14ac:dyDescent="0.25">
      <c r="A738" s="2" t="s">
        <v>836</v>
      </c>
      <c r="B738" s="7">
        <v>-5.8702493343015805E-3</v>
      </c>
      <c r="C738" s="7">
        <v>-1.2745220542296543E-2</v>
      </c>
      <c r="D738" s="7">
        <v>-3.1578947368421151E-2</v>
      </c>
      <c r="E738" s="7">
        <v>-2.9395202162405654E-2</v>
      </c>
      <c r="F738" s="7">
        <v>-5.952552882162232E-3</v>
      </c>
      <c r="G738" s="7"/>
      <c r="H738" s="7">
        <f t="shared" si="19"/>
        <v>8.2303547860651527E-5</v>
      </c>
      <c r="I738" s="7">
        <f t="shared" si="19"/>
        <v>-6.7926676601343106E-3</v>
      </c>
      <c r="J738" s="7">
        <f t="shared" si="19"/>
        <v>-2.5626394486258919E-2</v>
      </c>
      <c r="K738" s="7">
        <f t="shared" si="19"/>
        <v>-2.3442649280243422E-2</v>
      </c>
      <c r="L738" s="7"/>
    </row>
    <row r="739" spans="1:12" x14ac:dyDescent="0.25">
      <c r="A739" s="2" t="s">
        <v>837</v>
      </c>
      <c r="B739" s="7">
        <v>7.0083490767263168E-3</v>
      </c>
      <c r="C739" s="7">
        <v>-1.7462891355868315E-3</v>
      </c>
      <c r="D739" s="7">
        <v>-3.7162162162162171E-2</v>
      </c>
      <c r="E739" s="7">
        <v>-2.0950490682544842E-2</v>
      </c>
      <c r="F739" s="7">
        <v>-8.4238496029787058E-5</v>
      </c>
      <c r="G739" s="7"/>
      <c r="H739" s="7">
        <f t="shared" si="19"/>
        <v>7.0925875727561039E-3</v>
      </c>
      <c r="I739" s="7">
        <f t="shared" si="19"/>
        <v>-1.6620506395570445E-3</v>
      </c>
      <c r="J739" s="7">
        <f t="shared" si="19"/>
        <v>-3.7077923666132384E-2</v>
      </c>
      <c r="K739" s="7">
        <f t="shared" si="19"/>
        <v>-2.0866252186515055E-2</v>
      </c>
      <c r="L739" s="7"/>
    </row>
    <row r="740" spans="1:12" x14ac:dyDescent="0.25">
      <c r="A740" s="2" t="s">
        <v>838</v>
      </c>
      <c r="B740" s="7">
        <v>7.4906367041198685E-3</v>
      </c>
      <c r="C740" s="7">
        <v>-4.8411122144985663E-3</v>
      </c>
      <c r="D740" s="7">
        <v>2.0689655172413834E-2</v>
      </c>
      <c r="E740" s="7">
        <v>-9.6101343234683556E-3</v>
      </c>
      <c r="F740" s="7">
        <v>8.5514968732836039E-4</v>
      </c>
      <c r="G740" s="7"/>
      <c r="H740" s="7">
        <f t="shared" si="19"/>
        <v>6.6354870167915081E-3</v>
      </c>
      <c r="I740" s="7">
        <f t="shared" si="19"/>
        <v>-5.6962619018269267E-3</v>
      </c>
      <c r="J740" s="7">
        <f t="shared" si="19"/>
        <v>1.9834505485085474E-2</v>
      </c>
      <c r="K740" s="7">
        <f t="shared" si="19"/>
        <v>-1.0465284010796716E-2</v>
      </c>
      <c r="L740" s="7"/>
    </row>
    <row r="741" spans="1:12" x14ac:dyDescent="0.25">
      <c r="A741" s="2" t="s">
        <v>143</v>
      </c>
      <c r="B741" s="7">
        <v>1.2281240405287441E-4</v>
      </c>
      <c r="C741" s="7">
        <v>9.52380952380949E-3</v>
      </c>
      <c r="D741" s="7">
        <v>7.4074074074073959E-2</v>
      </c>
      <c r="E741" s="7">
        <v>1.9824033856776779E-2</v>
      </c>
      <c r="F741" s="7">
        <v>3.3062325383550473E-3</v>
      </c>
      <c r="G741" s="7"/>
      <c r="H741" s="7">
        <f t="shared" si="19"/>
        <v>-3.1834201343021729E-3</v>
      </c>
      <c r="I741" s="7">
        <f t="shared" si="19"/>
        <v>6.2175769854544427E-3</v>
      </c>
      <c r="J741" s="7">
        <f t="shared" si="19"/>
        <v>7.0767841535718912E-2</v>
      </c>
      <c r="K741" s="7">
        <f t="shared" si="19"/>
        <v>1.6517801318421732E-2</v>
      </c>
      <c r="L741" s="7"/>
    </row>
    <row r="742" spans="1:12" x14ac:dyDescent="0.25">
      <c r="A742" s="2" t="s">
        <v>839</v>
      </c>
      <c r="B742" s="7">
        <v>-2.1446078431371918E-3</v>
      </c>
      <c r="C742" s="7">
        <v>-3.4965034965035446E-3</v>
      </c>
      <c r="D742" s="7">
        <v>0</v>
      </c>
      <c r="E742" s="7">
        <v>-1.6861929267491416E-2</v>
      </c>
      <c r="F742" s="7">
        <v>-2.0693547375681964E-3</v>
      </c>
      <c r="G742" s="7"/>
      <c r="H742" s="7">
        <f t="shared" si="19"/>
        <v>-7.5253105568995338E-5</v>
      </c>
      <c r="I742" s="7">
        <f t="shared" si="19"/>
        <v>-1.4271487589353482E-3</v>
      </c>
      <c r="J742" s="7">
        <f t="shared" si="19"/>
        <v>2.0693547375681964E-3</v>
      </c>
      <c r="K742" s="7">
        <f t="shared" si="19"/>
        <v>-1.4792574529923219E-2</v>
      </c>
      <c r="L742" s="7"/>
    </row>
    <row r="743" spans="1:12" x14ac:dyDescent="0.25">
      <c r="A743" s="2" t="s">
        <v>840</v>
      </c>
      <c r="B743" s="7">
        <v>3.4154996514796254E-2</v>
      </c>
      <c r="C743" s="7">
        <v>1.7018034036068164E-2</v>
      </c>
      <c r="D743" s="7">
        <v>2.6615969581749166E-2</v>
      </c>
      <c r="E743" s="7">
        <v>2.4798025134649793E-2</v>
      </c>
      <c r="F743" s="7">
        <v>1.3262625398648753E-2</v>
      </c>
      <c r="G743" s="7"/>
      <c r="H743" s="7">
        <f t="shared" si="19"/>
        <v>2.0892371116147501E-2</v>
      </c>
      <c r="I743" s="7">
        <f t="shared" si="19"/>
        <v>3.7554086374194107E-3</v>
      </c>
      <c r="J743" s="7">
        <f t="shared" si="19"/>
        <v>1.3353344183100413E-2</v>
      </c>
      <c r="K743" s="7">
        <f t="shared" si="19"/>
        <v>1.153539973600104E-2</v>
      </c>
      <c r="L743" s="7"/>
    </row>
    <row r="744" spans="1:12" x14ac:dyDescent="0.25">
      <c r="A744" s="2" t="s">
        <v>841</v>
      </c>
      <c r="B744" s="7">
        <v>-4.3533123028390852E-3</v>
      </c>
      <c r="C744" s="7">
        <v>-1.774847870182561E-3</v>
      </c>
      <c r="D744" s="7">
        <v>0</v>
      </c>
      <c r="E744" s="7">
        <v>-5.932024488072607E-2</v>
      </c>
      <c r="F744" s="7">
        <v>-4.1348863697205918E-3</v>
      </c>
      <c r="G744" s="7"/>
      <c r="H744" s="7">
        <f t="shared" si="19"/>
        <v>-2.1842593311849345E-4</v>
      </c>
      <c r="I744" s="7">
        <f t="shared" si="19"/>
        <v>2.3600384995380308E-3</v>
      </c>
      <c r="J744" s="7">
        <f t="shared" si="19"/>
        <v>4.1348863697205918E-3</v>
      </c>
      <c r="K744" s="7">
        <f t="shared" si="19"/>
        <v>-5.5185358511005478E-2</v>
      </c>
      <c r="L744" s="7"/>
    </row>
    <row r="745" spans="1:12" x14ac:dyDescent="0.25">
      <c r="A745" s="2" t="s">
        <v>842</v>
      </c>
      <c r="B745" s="7">
        <v>-7.6383671424993249E-3</v>
      </c>
      <c r="C745" s="7">
        <v>1.7412614471817189E-2</v>
      </c>
      <c r="D745" s="7">
        <v>-3.7878787878788955E-3</v>
      </c>
      <c r="E745" s="7">
        <v>-1.752566628642549E-2</v>
      </c>
      <c r="F745" s="7">
        <v>-4.1371489203245737E-5</v>
      </c>
      <c r="G745" s="7"/>
      <c r="H745" s="7">
        <f t="shared" si="19"/>
        <v>-7.5969956532960792E-3</v>
      </c>
      <c r="I745" s="7">
        <f t="shared" si="19"/>
        <v>1.7453985961020435E-2</v>
      </c>
      <c r="J745" s="7">
        <f t="shared" si="19"/>
        <v>-3.7465072986756498E-3</v>
      </c>
      <c r="K745" s="7">
        <f t="shared" si="19"/>
        <v>-1.7484294797222244E-2</v>
      </c>
      <c r="L745" s="7"/>
    </row>
    <row r="746" spans="1:12" x14ac:dyDescent="0.25">
      <c r="A746" s="2" t="s">
        <v>144</v>
      </c>
      <c r="B746" s="7">
        <v>-1.5957119093093497E-2</v>
      </c>
      <c r="C746" s="7">
        <v>1.1876794570608196E-2</v>
      </c>
      <c r="D746" s="7">
        <v>2.3255813953488413E-2</v>
      </c>
      <c r="E746" s="7">
        <v>-1.1683919237470364E-2</v>
      </c>
      <c r="F746" s="7">
        <v>9.9634106532953126E-4</v>
      </c>
      <c r="G746" s="7"/>
      <c r="H746" s="7">
        <f t="shared" si="19"/>
        <v>-1.6953460158423028E-2</v>
      </c>
      <c r="I746" s="7">
        <f t="shared" si="19"/>
        <v>1.0880453505278664E-2</v>
      </c>
      <c r="J746" s="7">
        <f t="shared" si="19"/>
        <v>2.2259472888158882E-2</v>
      </c>
      <c r="K746" s="7">
        <f t="shared" si="19"/>
        <v>-1.2680260302799895E-2</v>
      </c>
      <c r="L746" s="7"/>
    </row>
    <row r="747" spans="1:12" x14ac:dyDescent="0.25">
      <c r="A747" s="2" t="s">
        <v>843</v>
      </c>
      <c r="B747" s="7">
        <v>5.5135670920580804E-3</v>
      </c>
      <c r="C747" s="7">
        <v>-7.127121938577119E-3</v>
      </c>
      <c r="D747" s="7">
        <v>-3.7313432835820892E-2</v>
      </c>
      <c r="E747" s="7">
        <v>4.2525910887915241E-2</v>
      </c>
      <c r="F747" s="7">
        <v>3.5791295674241219E-3</v>
      </c>
      <c r="G747" s="7"/>
      <c r="H747" s="7">
        <f t="shared" si="19"/>
        <v>1.9344375246339585E-3</v>
      </c>
      <c r="I747" s="7">
        <f t="shared" si="19"/>
        <v>-1.0706251506001241E-2</v>
      </c>
      <c r="J747" s="7">
        <f t="shared" si="19"/>
        <v>-4.0892562403245014E-2</v>
      </c>
      <c r="K747" s="7">
        <f t="shared" si="19"/>
        <v>3.894678132049112E-2</v>
      </c>
      <c r="L747" s="7"/>
    </row>
    <row r="748" spans="1:12" x14ac:dyDescent="0.25">
      <c r="A748" s="2" t="s">
        <v>844</v>
      </c>
      <c r="B748" s="7">
        <v>-1.1270366286904365E-2</v>
      </c>
      <c r="C748" s="7">
        <v>3.8890329271445978E-4</v>
      </c>
      <c r="D748" s="7">
        <v>1.5151515151515138E-2</v>
      </c>
      <c r="E748" s="7">
        <v>-2.153685311029796E-2</v>
      </c>
      <c r="F748" s="7">
        <v>-2.4923181973370845E-3</v>
      </c>
      <c r="G748" s="7"/>
      <c r="H748" s="7">
        <f t="shared" si="19"/>
        <v>-8.7780480895672808E-3</v>
      </c>
      <c r="I748" s="7">
        <f t="shared" si="19"/>
        <v>2.8812214900515443E-3</v>
      </c>
      <c r="J748" s="7">
        <f t="shared" si="19"/>
        <v>1.7643833348852223E-2</v>
      </c>
      <c r="K748" s="7">
        <f t="shared" si="19"/>
        <v>-1.9044534912960875E-2</v>
      </c>
      <c r="L748" s="7"/>
    </row>
    <row r="749" spans="1:12" x14ac:dyDescent="0.25">
      <c r="A749" s="2" t="s">
        <v>845</v>
      </c>
      <c r="B749" s="7">
        <v>-3.296703296703396E-3</v>
      </c>
      <c r="C749" s="7">
        <v>-2.2182786157941448E-2</v>
      </c>
      <c r="D749" s="7">
        <v>3.8022813688214363E-3</v>
      </c>
      <c r="E749" s="7">
        <v>2.3651541095890405E-2</v>
      </c>
      <c r="F749" s="7">
        <v>-5.7970522559043225E-3</v>
      </c>
      <c r="G749" s="7"/>
      <c r="H749" s="7">
        <f t="shared" si="19"/>
        <v>2.5003489592009265E-3</v>
      </c>
      <c r="I749" s="7">
        <f t="shared" si="19"/>
        <v>-1.6385733902037125E-2</v>
      </c>
      <c r="J749" s="7">
        <f t="shared" si="19"/>
        <v>9.5993336247257588E-3</v>
      </c>
      <c r="K749" s="7">
        <f t="shared" si="19"/>
        <v>2.9448593351794727E-2</v>
      </c>
      <c r="L749" s="7"/>
    </row>
    <row r="750" spans="1:12" x14ac:dyDescent="0.25">
      <c r="A750" s="2" t="s">
        <v>145</v>
      </c>
      <c r="B750" s="7">
        <v>7.689941556444202E-3</v>
      </c>
      <c r="C750" s="7">
        <v>-5.1702395964691172E-3</v>
      </c>
      <c r="D750" s="7">
        <v>-0.12040133779264228</v>
      </c>
      <c r="E750" s="7">
        <v>-3.7098103874690924E-2</v>
      </c>
      <c r="F750" s="7">
        <v>3.6989178231867648E-3</v>
      </c>
      <c r="G750" s="7"/>
      <c r="H750" s="7">
        <f t="shared" si="19"/>
        <v>3.9910237332574372E-3</v>
      </c>
      <c r="I750" s="7">
        <f t="shared" si="19"/>
        <v>-8.869157419655882E-3</v>
      </c>
      <c r="J750" s="7">
        <f t="shared" si="19"/>
        <v>-0.12410025561582905</v>
      </c>
      <c r="K750" s="7">
        <f t="shared" si="19"/>
        <v>-4.0797021697877689E-2</v>
      </c>
      <c r="L750" s="7"/>
    </row>
    <row r="751" spans="1:12" x14ac:dyDescent="0.25">
      <c r="A751" s="2" t="s">
        <v>846</v>
      </c>
      <c r="B751" s="7">
        <v>1.5683579105223888E-2</v>
      </c>
      <c r="C751" s="7">
        <v>2.2697962342016931E-2</v>
      </c>
      <c r="D751" s="7">
        <v>3.3557046979866278E-3</v>
      </c>
      <c r="E751" s="7">
        <v>-1.1611326135669175E-2</v>
      </c>
      <c r="F751" s="7">
        <v>1.4436547571732294E-2</v>
      </c>
      <c r="G751" s="7"/>
      <c r="H751" s="7">
        <f t="shared" si="19"/>
        <v>1.2470315334915938E-3</v>
      </c>
      <c r="I751" s="7">
        <f t="shared" si="19"/>
        <v>8.2614147702846363E-3</v>
      </c>
      <c r="J751" s="7">
        <f t="shared" si="19"/>
        <v>-1.1080842873745667E-2</v>
      </c>
      <c r="K751" s="7">
        <f t="shared" si="19"/>
        <v>-2.604787370740147E-2</v>
      </c>
      <c r="L751" s="7"/>
    </row>
    <row r="752" spans="1:12" x14ac:dyDescent="0.25">
      <c r="A752" s="2" t="s">
        <v>847</v>
      </c>
      <c r="B752" s="7">
        <v>9.907237963021398E-3</v>
      </c>
      <c r="C752" s="7">
        <v>-3.9820166987795114E-3</v>
      </c>
      <c r="D752" s="7">
        <v>-6.6666666666667096E-3</v>
      </c>
      <c r="E752" s="7">
        <v>3.4671725155443145E-2</v>
      </c>
      <c r="F752" s="7">
        <v>5.7152646227105475E-3</v>
      </c>
      <c r="G752" s="7"/>
      <c r="H752" s="7">
        <f t="shared" si="19"/>
        <v>4.1919733403108506E-3</v>
      </c>
      <c r="I752" s="7">
        <f t="shared" si="19"/>
        <v>-9.6972813214900588E-3</v>
      </c>
      <c r="J752" s="7">
        <f t="shared" si="19"/>
        <v>-1.2381931289377257E-2</v>
      </c>
      <c r="K752" s="7">
        <f t="shared" si="19"/>
        <v>2.8956460532732597E-2</v>
      </c>
      <c r="L752" s="7"/>
    </row>
    <row r="753" spans="1:12" x14ac:dyDescent="0.25">
      <c r="A753" s="2" t="s">
        <v>848</v>
      </c>
      <c r="B753" s="7">
        <v>1.9755469755469601E-2</v>
      </c>
      <c r="C753" s="7">
        <v>1.4200104220948306E-2</v>
      </c>
      <c r="D753" s="7">
        <v>1.6949152542372836E-2</v>
      </c>
      <c r="E753" s="7">
        <v>1.5409309791332149E-2</v>
      </c>
      <c r="F753" s="7">
        <v>1.4237259113583312E-2</v>
      </c>
      <c r="G753" s="7"/>
      <c r="H753" s="7">
        <f t="shared" si="19"/>
        <v>5.5182106418862897E-3</v>
      </c>
      <c r="I753" s="7">
        <f t="shared" si="19"/>
        <v>-3.7154892635005154E-5</v>
      </c>
      <c r="J753" s="7">
        <f t="shared" si="19"/>
        <v>2.7118934287895247E-3</v>
      </c>
      <c r="K753" s="7">
        <f t="shared" si="19"/>
        <v>1.1720506777488371E-3</v>
      </c>
      <c r="L753" s="7"/>
    </row>
    <row r="754" spans="1:12" x14ac:dyDescent="0.25">
      <c r="A754" s="2" t="s">
        <v>849</v>
      </c>
      <c r="B754" s="7">
        <v>-3.9738495064735035E-3</v>
      </c>
      <c r="C754" s="7">
        <v>2.4813895781639062E-3</v>
      </c>
      <c r="D754" s="7">
        <v>-2.3178807947019764E-2</v>
      </c>
      <c r="E754" s="7">
        <v>0.14256021518523032</v>
      </c>
      <c r="F754" s="7">
        <v>-1.5738410521103363E-3</v>
      </c>
      <c r="G754" s="7"/>
      <c r="H754" s="7">
        <f t="shared" si="19"/>
        <v>-2.4000084543631672E-3</v>
      </c>
      <c r="I754" s="7">
        <f t="shared" si="19"/>
        <v>4.0552306302742425E-3</v>
      </c>
      <c r="J754" s="7">
        <f t="shared" si="19"/>
        <v>-2.1604966894909428E-2</v>
      </c>
      <c r="K754" s="7">
        <f t="shared" si="19"/>
        <v>0.14413405623734066</v>
      </c>
      <c r="L754" s="7"/>
    </row>
    <row r="755" spans="1:12" x14ac:dyDescent="0.25">
      <c r="A755" s="2" t="s">
        <v>146</v>
      </c>
      <c r="B755" s="7">
        <v>-1.2281590276019272E-2</v>
      </c>
      <c r="C755" s="7">
        <v>3.5386631716907146E-3</v>
      </c>
      <c r="D755" s="7">
        <v>-9.8360655737704805E-3</v>
      </c>
      <c r="E755" s="7">
        <v>-8.9664364473523994E-3</v>
      </c>
      <c r="F755" s="7">
        <v>1.6469444647304599E-3</v>
      </c>
      <c r="G755" s="7"/>
      <c r="H755" s="7">
        <f t="shared" si="19"/>
        <v>-1.3928534740749732E-2</v>
      </c>
      <c r="I755" s="7">
        <f t="shared" si="19"/>
        <v>1.8917187069602548E-3</v>
      </c>
      <c r="J755" s="7">
        <f t="shared" si="19"/>
        <v>-1.148301003850094E-2</v>
      </c>
      <c r="K755" s="7">
        <f t="shared" si="19"/>
        <v>-1.0613380912082859E-2</v>
      </c>
      <c r="L755" s="7"/>
    </row>
    <row r="756" spans="1:12" x14ac:dyDescent="0.25">
      <c r="A756" s="2" t="s">
        <v>850</v>
      </c>
      <c r="B756" s="7">
        <v>8.2982254564025748E-3</v>
      </c>
      <c r="C756" s="7">
        <v>1.312335958005173E-3</v>
      </c>
      <c r="D756" s="7">
        <v>0</v>
      </c>
      <c r="E756" s="7">
        <v>4.3811610076669449E-3</v>
      </c>
      <c r="F756" s="7">
        <v>5.6398022650376856E-3</v>
      </c>
      <c r="G756" s="7"/>
      <c r="H756" s="7">
        <f t="shared" si="19"/>
        <v>2.6584231913648892E-3</v>
      </c>
      <c r="I756" s="7">
        <f t="shared" si="19"/>
        <v>-4.3274663070325126E-3</v>
      </c>
      <c r="J756" s="7">
        <f t="shared" si="19"/>
        <v>-5.6398022650376856E-3</v>
      </c>
      <c r="K756" s="7">
        <f t="shared" si="19"/>
        <v>-1.2586412573707406E-3</v>
      </c>
      <c r="L756" s="7"/>
    </row>
    <row r="757" spans="1:12" x14ac:dyDescent="0.25">
      <c r="A757" s="2" t="s">
        <v>851</v>
      </c>
      <c r="B757" s="7">
        <v>6.9417662938680014E-3</v>
      </c>
      <c r="C757" s="7">
        <v>-5.3517817517294564E-3</v>
      </c>
      <c r="D757" s="7">
        <v>-1.6129032258064613E-2</v>
      </c>
      <c r="E757" s="7">
        <v>3.4365558912386795E-2</v>
      </c>
      <c r="F757" s="7">
        <v>2.9845287111662788E-3</v>
      </c>
      <c r="G757" s="7"/>
      <c r="H757" s="7">
        <f t="shared" si="19"/>
        <v>3.9572375827017225E-3</v>
      </c>
      <c r="I757" s="7">
        <f t="shared" si="19"/>
        <v>-8.3363104628957352E-3</v>
      </c>
      <c r="J757" s="7">
        <f t="shared" si="19"/>
        <v>-1.9113560969230892E-2</v>
      </c>
      <c r="K757" s="7">
        <f t="shared" si="19"/>
        <v>3.1381030201220517E-2</v>
      </c>
      <c r="L757" s="7"/>
    </row>
    <row r="758" spans="1:12" x14ac:dyDescent="0.25">
      <c r="A758" s="2" t="s">
        <v>852</v>
      </c>
      <c r="B758" s="7">
        <v>-9.1077001464873186E-3</v>
      </c>
      <c r="C758" s="7">
        <v>-2.630910015251664E-2</v>
      </c>
      <c r="D758" s="7">
        <v>-1.8987341772151889E-2</v>
      </c>
      <c r="E758" s="7">
        <v>-6.2900993835701691E-4</v>
      </c>
      <c r="F758" s="7">
        <v>-1.646318766285193E-2</v>
      </c>
      <c r="G758" s="7"/>
      <c r="H758" s="7">
        <f t="shared" si="19"/>
        <v>7.3554875163646116E-3</v>
      </c>
      <c r="I758" s="7">
        <f t="shared" si="19"/>
        <v>-9.8459124896647099E-3</v>
      </c>
      <c r="J758" s="7">
        <f t="shared" si="19"/>
        <v>-2.5241541092999586E-3</v>
      </c>
      <c r="K758" s="7">
        <f t="shared" si="19"/>
        <v>1.5834177724494913E-2</v>
      </c>
      <c r="L758" s="7"/>
    </row>
    <row r="759" spans="1:12" x14ac:dyDescent="0.25">
      <c r="A759" s="2" t="s">
        <v>853</v>
      </c>
      <c r="B759" s="7">
        <v>1.1988398324202398E-2</v>
      </c>
      <c r="C759" s="7">
        <v>-2.5412960609905166E-4</v>
      </c>
      <c r="D759" s="7">
        <v>7.8498293515358419E-2</v>
      </c>
      <c r="E759" s="7">
        <v>3.3277005069543675E-2</v>
      </c>
      <c r="F759" s="7">
        <v>1.2982181765728518E-2</v>
      </c>
      <c r="G759" s="7"/>
      <c r="H759" s="7">
        <f t="shared" si="19"/>
        <v>-9.937834415261193E-4</v>
      </c>
      <c r="I759" s="7">
        <f t="shared" si="19"/>
        <v>-1.3236311371827569E-2</v>
      </c>
      <c r="J759" s="7">
        <f t="shared" si="19"/>
        <v>6.5516111749629902E-2</v>
      </c>
      <c r="K759" s="7">
        <f t="shared" si="19"/>
        <v>2.0294823303815157E-2</v>
      </c>
      <c r="L759" s="7"/>
    </row>
    <row r="760" spans="1:12" x14ac:dyDescent="0.25">
      <c r="A760" s="2" t="s">
        <v>147</v>
      </c>
      <c r="B760" s="7">
        <v>1.5446037044309247E-2</v>
      </c>
      <c r="C760" s="7">
        <v>1.260936695831183E-2</v>
      </c>
      <c r="D760" s="7">
        <v>5.3956834532374209E-2</v>
      </c>
      <c r="E760" s="7">
        <v>-8.1227436823103627E-3</v>
      </c>
      <c r="F760" s="7">
        <v>8.9183585930798781E-3</v>
      </c>
      <c r="G760" s="7"/>
      <c r="H760" s="7">
        <f t="shared" si="19"/>
        <v>6.5276784512293684E-3</v>
      </c>
      <c r="I760" s="7">
        <f t="shared" si="19"/>
        <v>3.6910083652319514E-3</v>
      </c>
      <c r="J760" s="7">
        <f t="shared" si="19"/>
        <v>4.5038475939294331E-2</v>
      </c>
      <c r="K760" s="7">
        <f t="shared" si="19"/>
        <v>-1.7041102275390241E-2</v>
      </c>
      <c r="L760" s="7"/>
    </row>
    <row r="761" spans="1:12" x14ac:dyDescent="0.25">
      <c r="A761" s="2" t="s">
        <v>854</v>
      </c>
      <c r="B761" s="7">
        <v>-5.4029423252180964E-3</v>
      </c>
      <c r="C761" s="7">
        <v>-1.1447468837445962E-2</v>
      </c>
      <c r="D761" s="7">
        <v>-7.1428571428571175E-3</v>
      </c>
      <c r="E761" s="7">
        <v>-6.6598360655737432E-3</v>
      </c>
      <c r="F761" s="7">
        <v>-1.101942286909019E-2</v>
      </c>
      <c r="G761" s="7"/>
      <c r="H761" s="7">
        <f t="shared" si="19"/>
        <v>5.6164805438720933E-3</v>
      </c>
      <c r="I761" s="7">
        <f t="shared" si="19"/>
        <v>-4.2804596835577247E-4</v>
      </c>
      <c r="J761" s="7">
        <f t="shared" si="19"/>
        <v>3.8765657262330722E-3</v>
      </c>
      <c r="K761" s="7">
        <f t="shared" si="19"/>
        <v>4.3595868035164465E-3</v>
      </c>
      <c r="L761" s="7"/>
    </row>
    <row r="762" spans="1:12" x14ac:dyDescent="0.25">
      <c r="A762" s="2" t="s">
        <v>855</v>
      </c>
      <c r="B762" s="7">
        <v>1.8632716663351312E-2</v>
      </c>
      <c r="C762" s="7">
        <v>1.3928295073510455E-2</v>
      </c>
      <c r="D762" s="7">
        <v>-4.1095890410958957E-2</v>
      </c>
      <c r="E762" s="7">
        <v>8.6552125048444672E-3</v>
      </c>
      <c r="F762" s="7">
        <v>1.7561980816715783E-2</v>
      </c>
      <c r="G762" s="7"/>
      <c r="H762" s="7">
        <f t="shared" si="19"/>
        <v>1.0707358466355288E-3</v>
      </c>
      <c r="I762" s="7">
        <f t="shared" si="19"/>
        <v>-3.6336857432053282E-3</v>
      </c>
      <c r="J762" s="7">
        <f t="shared" si="19"/>
        <v>-5.865787122767474E-2</v>
      </c>
      <c r="K762" s="7">
        <f t="shared" si="19"/>
        <v>-8.9067683118713159E-3</v>
      </c>
      <c r="L762" s="7"/>
    </row>
    <row r="763" spans="1:12" x14ac:dyDescent="0.25">
      <c r="A763" s="2" t="s">
        <v>856</v>
      </c>
      <c r="B763" s="7">
        <v>2.6593976464330815E-3</v>
      </c>
      <c r="C763" s="7">
        <v>0</v>
      </c>
      <c r="D763" s="7">
        <v>-5.5016181229773475E-2</v>
      </c>
      <c r="E763" s="7">
        <v>-2.7878940097952998E-2</v>
      </c>
      <c r="F763" s="7">
        <v>-6.9808562265104568E-3</v>
      </c>
      <c r="G763" s="7"/>
      <c r="H763" s="7">
        <f t="shared" si="19"/>
        <v>9.6402538729435383E-3</v>
      </c>
      <c r="I763" s="7">
        <f t="shared" si="19"/>
        <v>6.9808562265104568E-3</v>
      </c>
      <c r="J763" s="7">
        <f t="shared" si="19"/>
        <v>-4.8035325003263019E-2</v>
      </c>
      <c r="K763" s="7">
        <f t="shared" si="19"/>
        <v>-2.0898083871442541E-2</v>
      </c>
      <c r="L763" s="7"/>
    </row>
    <row r="764" spans="1:12" x14ac:dyDescent="0.25">
      <c r="A764" s="2" t="s">
        <v>857</v>
      </c>
      <c r="B764" s="7">
        <v>1.4091154261057115E-2</v>
      </c>
      <c r="C764" s="7">
        <v>-6.9159836065573188E-3</v>
      </c>
      <c r="D764" s="7">
        <v>3.691275167785224E-2</v>
      </c>
      <c r="E764" s="7">
        <v>1.1431474660231089E-2</v>
      </c>
      <c r="F764" s="7">
        <v>1.6476647924144494E-2</v>
      </c>
      <c r="G764" s="7"/>
      <c r="H764" s="7">
        <f t="shared" si="19"/>
        <v>-2.3854936630873791E-3</v>
      </c>
      <c r="I764" s="7">
        <f t="shared" si="19"/>
        <v>-2.3392631530701813E-2</v>
      </c>
      <c r="J764" s="7">
        <f t="shared" si="19"/>
        <v>2.0436103753707746E-2</v>
      </c>
      <c r="K764" s="7">
        <f t="shared" si="19"/>
        <v>-5.045173263913405E-3</v>
      </c>
      <c r="L764" s="7"/>
    </row>
    <row r="765" spans="1:12" x14ac:dyDescent="0.25">
      <c r="A765" s="2" t="s">
        <v>148</v>
      </c>
      <c r="B765" s="7">
        <v>1.3253176663478694E-2</v>
      </c>
      <c r="C765" s="7">
        <v>-5.4770092981786256E-3</v>
      </c>
      <c r="D765" s="7">
        <v>-3.2467532467532534E-2</v>
      </c>
      <c r="E765" s="7">
        <v>-7.6151795913192988E-4</v>
      </c>
      <c r="F765" s="7">
        <v>-1.5097408062482165E-3</v>
      </c>
      <c r="G765" s="7"/>
      <c r="H765" s="7">
        <f t="shared" si="19"/>
        <v>1.4762917469726911E-2</v>
      </c>
      <c r="I765" s="7">
        <f t="shared" si="19"/>
        <v>-3.9672684919304091E-3</v>
      </c>
      <c r="J765" s="7">
        <f t="shared" si="19"/>
        <v>-3.0957791661284317E-2</v>
      </c>
      <c r="K765" s="7">
        <f t="shared" si="19"/>
        <v>7.4822284711628662E-4</v>
      </c>
      <c r="L765" s="7"/>
    </row>
    <row r="766" spans="1:12" x14ac:dyDescent="0.25">
      <c r="A766" s="2" t="s">
        <v>858</v>
      </c>
      <c r="B766" s="7">
        <v>-1.3877661007814623E-2</v>
      </c>
      <c r="C766" s="7">
        <v>-1.3817359628187309E-2</v>
      </c>
      <c r="D766" s="7">
        <v>-1.5974440894568676E-2</v>
      </c>
      <c r="E766" s="7">
        <v>-4.9254862338974359E-3</v>
      </c>
      <c r="F766" s="7">
        <v>-1.4478143694236278E-2</v>
      </c>
      <c r="G766" s="7"/>
      <c r="H766" s="7">
        <f t="shared" si="19"/>
        <v>6.0048268642165503E-4</v>
      </c>
      <c r="I766" s="7">
        <f t="shared" si="19"/>
        <v>6.6078406604896944E-4</v>
      </c>
      <c r="J766" s="7">
        <f t="shared" si="19"/>
        <v>-1.4962972003323971E-3</v>
      </c>
      <c r="K766" s="7">
        <f t="shared" si="19"/>
        <v>9.5526574603388426E-3</v>
      </c>
      <c r="L766" s="7"/>
    </row>
    <row r="767" spans="1:12" x14ac:dyDescent="0.25">
      <c r="A767" s="2" t="s">
        <v>859</v>
      </c>
      <c r="B767" s="7">
        <v>-1.4931315946645429E-2</v>
      </c>
      <c r="C767" s="7">
        <v>-1.5337043908472459E-2</v>
      </c>
      <c r="D767" s="7">
        <v>-4.57317073170731E-2</v>
      </c>
      <c r="E767" s="7">
        <v>-4.1172196657786264E-2</v>
      </c>
      <c r="F767" s="7">
        <v>-1.8459372596762003E-2</v>
      </c>
      <c r="G767" s="7"/>
      <c r="H767" s="7">
        <f t="shared" si="19"/>
        <v>3.5280566501165733E-3</v>
      </c>
      <c r="I767" s="7">
        <f t="shared" si="19"/>
        <v>3.122328688289544E-3</v>
      </c>
      <c r="J767" s="7">
        <f t="shared" si="19"/>
        <v>-2.7272334720311098E-2</v>
      </c>
      <c r="K767" s="7">
        <f t="shared" si="19"/>
        <v>-2.2712824061024262E-2</v>
      </c>
      <c r="L767" s="7"/>
    </row>
    <row r="768" spans="1:12" x14ac:dyDescent="0.25">
      <c r="A768" s="2" t="s">
        <v>860</v>
      </c>
      <c r="B768" s="7">
        <v>8.3645610278373361E-3</v>
      </c>
      <c r="C768" s="7">
        <v>7.4266617155571701E-4</v>
      </c>
      <c r="D768" s="7">
        <v>2.1806853582554409E-2</v>
      </c>
      <c r="E768" s="7">
        <v>-2.005458644832081E-2</v>
      </c>
      <c r="F768" s="7">
        <v>1.4148210025664021E-3</v>
      </c>
      <c r="G768" s="7"/>
      <c r="H768" s="7">
        <f t="shared" si="19"/>
        <v>6.949740025270934E-3</v>
      </c>
      <c r="I768" s="7">
        <f t="shared" si="19"/>
        <v>-6.7215483101068507E-4</v>
      </c>
      <c r="J768" s="7">
        <f t="shared" si="19"/>
        <v>2.0392032579988006E-2</v>
      </c>
      <c r="K768" s="7">
        <f t="shared" si="19"/>
        <v>-2.1469407450887212E-2</v>
      </c>
      <c r="L768" s="7"/>
    </row>
    <row r="769" spans="1:12" x14ac:dyDescent="0.25">
      <c r="A769" s="2" t="s">
        <v>861</v>
      </c>
      <c r="B769" s="7">
        <v>-1.4443052166457804E-2</v>
      </c>
      <c r="C769" s="7">
        <v>-2.5922353508560314E-2</v>
      </c>
      <c r="D769" s="7">
        <v>3.1249999999998224E-3</v>
      </c>
      <c r="E769" s="7">
        <v>-9.869580542826939E-3</v>
      </c>
      <c r="F769" s="7">
        <v>-1.5326967063694075E-2</v>
      </c>
      <c r="G769" s="7"/>
      <c r="H769" s="7">
        <f t="shared" si="19"/>
        <v>8.8391489723627092E-4</v>
      </c>
      <c r="I769" s="7">
        <f t="shared" si="19"/>
        <v>-1.0595386444866239E-2</v>
      </c>
      <c r="J769" s="7">
        <f t="shared" si="19"/>
        <v>1.8451967063693897E-2</v>
      </c>
      <c r="K769" s="7">
        <f t="shared" si="19"/>
        <v>5.4573865208671357E-3</v>
      </c>
      <c r="L769" s="7"/>
    </row>
    <row r="770" spans="1:12" x14ac:dyDescent="0.25">
      <c r="A770" s="2" t="s">
        <v>149</v>
      </c>
      <c r="B770" s="7">
        <v>1.8539665479948786E-2</v>
      </c>
      <c r="C770" s="7">
        <v>-1.1913271384322188E-2</v>
      </c>
      <c r="D770" s="7">
        <v>-3.3232628398791486E-2</v>
      </c>
      <c r="E770" s="7">
        <v>-9.3907735649723101E-4</v>
      </c>
      <c r="F770" s="7">
        <v>6.8715950999109765E-4</v>
      </c>
      <c r="G770" s="7"/>
      <c r="H770" s="7">
        <f t="shared" si="19"/>
        <v>1.7852505969957688E-2</v>
      </c>
      <c r="I770" s="7">
        <f t="shared" si="19"/>
        <v>-1.2600430894313286E-2</v>
      </c>
      <c r="J770" s="7">
        <f t="shared" si="19"/>
        <v>-3.3919787908782584E-2</v>
      </c>
      <c r="K770" s="7">
        <f t="shared" ref="K770:K833" si="20">E770-$F770</f>
        <v>-1.6262368664883287E-3</v>
      </c>
      <c r="L770" s="7"/>
    </row>
    <row r="771" spans="1:12" x14ac:dyDescent="0.25">
      <c r="A771" s="2" t="s">
        <v>862</v>
      </c>
      <c r="B771" s="7">
        <v>3.5041368281999441E-2</v>
      </c>
      <c r="C771" s="7">
        <v>1.2423109395730325E-2</v>
      </c>
      <c r="D771" s="7">
        <v>9.1463414634147533E-3</v>
      </c>
      <c r="E771" s="7">
        <v>-5.8657907085868377E-4</v>
      </c>
      <c r="F771" s="7">
        <v>1.61477890665227E-2</v>
      </c>
      <c r="G771" s="7"/>
      <c r="H771" s="7">
        <f t="shared" ref="H771:K834" si="21">B771-$F771</f>
        <v>1.8893579215476741E-2</v>
      </c>
      <c r="I771" s="7">
        <f t="shared" si="21"/>
        <v>-3.7246796707923746E-3</v>
      </c>
      <c r="J771" s="7">
        <f t="shared" si="21"/>
        <v>-7.0014476031079464E-3</v>
      </c>
      <c r="K771" s="7">
        <f t="shared" si="20"/>
        <v>-1.6734368137381384E-2</v>
      </c>
      <c r="L771" s="7"/>
    </row>
    <row r="772" spans="1:12" x14ac:dyDescent="0.25">
      <c r="A772" s="2" t="s">
        <v>863</v>
      </c>
      <c r="B772" s="7">
        <v>4.1890665363402135E-3</v>
      </c>
      <c r="C772" s="7">
        <v>-2.8863499699339767E-3</v>
      </c>
      <c r="D772" s="7">
        <v>1.5479876160990669E-2</v>
      </c>
      <c r="E772" s="7">
        <v>-2.2240430762028307E-3</v>
      </c>
      <c r="F772" s="7">
        <v>7.5821419804169565E-3</v>
      </c>
      <c r="G772" s="7"/>
      <c r="H772" s="7">
        <f t="shared" si="21"/>
        <v>-3.393075444076743E-3</v>
      </c>
      <c r="I772" s="7">
        <f t="shared" si="21"/>
        <v>-1.0468491950350933E-2</v>
      </c>
      <c r="J772" s="7">
        <f t="shared" si="21"/>
        <v>7.8977341805737122E-3</v>
      </c>
      <c r="K772" s="7">
        <f t="shared" si="20"/>
        <v>-9.8061850566197872E-3</v>
      </c>
      <c r="L772" s="7"/>
    </row>
    <row r="773" spans="1:12" x14ac:dyDescent="0.25">
      <c r="A773" s="2" t="s">
        <v>864</v>
      </c>
      <c r="B773" s="7">
        <v>-1.4246386785960241E-2</v>
      </c>
      <c r="C773" s="7">
        <v>2.3006889763779625E-2</v>
      </c>
      <c r="D773" s="7">
        <v>0</v>
      </c>
      <c r="E773" s="7">
        <v>2.4709127983687296E-2</v>
      </c>
      <c r="F773" s="7">
        <v>-4.7252622696876134E-3</v>
      </c>
      <c r="G773" s="7"/>
      <c r="H773" s="7">
        <f t="shared" si="21"/>
        <v>-9.5211245162726277E-3</v>
      </c>
      <c r="I773" s="7">
        <f t="shared" si="21"/>
        <v>2.7732152033467239E-2</v>
      </c>
      <c r="J773" s="7">
        <f t="shared" si="21"/>
        <v>4.7252622696876134E-3</v>
      </c>
      <c r="K773" s="7">
        <f t="shared" si="20"/>
        <v>2.9434390253374909E-2</v>
      </c>
      <c r="L773" s="7"/>
    </row>
    <row r="774" spans="1:12" x14ac:dyDescent="0.25">
      <c r="A774" s="2" t="s">
        <v>865</v>
      </c>
      <c r="B774" s="7">
        <v>-3.4977024895410658E-3</v>
      </c>
      <c r="C774" s="7">
        <v>-4.8971596474045587E-3</v>
      </c>
      <c r="D774" s="7">
        <v>4.1935483870967794E-2</v>
      </c>
      <c r="E774" s="7">
        <v>-1.6399244926852297E-2</v>
      </c>
      <c r="F774" s="7">
        <v>-3.0359797500902896E-3</v>
      </c>
      <c r="G774" s="7"/>
      <c r="H774" s="7">
        <f t="shared" si="21"/>
        <v>-4.6172273945077613E-4</v>
      </c>
      <c r="I774" s="7">
        <f t="shared" si="21"/>
        <v>-1.861179897314269E-3</v>
      </c>
      <c r="J774" s="7">
        <f t="shared" si="21"/>
        <v>4.4971463621058083E-2</v>
      </c>
      <c r="K774" s="7">
        <f t="shared" si="20"/>
        <v>-1.3363265176762007E-2</v>
      </c>
      <c r="L774" s="7"/>
    </row>
    <row r="775" spans="1:12" x14ac:dyDescent="0.25">
      <c r="A775" s="2" t="s">
        <v>150</v>
      </c>
      <c r="B775" s="7">
        <v>8.2981813152616102E-3</v>
      </c>
      <c r="C775" s="7">
        <v>4.3034550596336985E-3</v>
      </c>
      <c r="D775" s="7">
        <v>0.11913357400722013</v>
      </c>
      <c r="E775" s="7">
        <v>2.8395646000947128E-3</v>
      </c>
      <c r="F775" s="7">
        <v>3.0730168965551474E-3</v>
      </c>
      <c r="G775" s="7"/>
      <c r="H775" s="7">
        <f t="shared" si="21"/>
        <v>5.2251644187064628E-3</v>
      </c>
      <c r="I775" s="7">
        <f t="shared" si="21"/>
        <v>1.230438163078551E-3</v>
      </c>
      <c r="J775" s="7">
        <f t="shared" si="21"/>
        <v>0.11606055711066499</v>
      </c>
      <c r="K775" s="7">
        <f t="shared" si="20"/>
        <v>-2.3345229646043464E-4</v>
      </c>
      <c r="L775" s="7"/>
    </row>
    <row r="776" spans="1:12" x14ac:dyDescent="0.25">
      <c r="A776" s="2" t="s">
        <v>866</v>
      </c>
      <c r="B776" s="7">
        <v>-1.8062062877707619E-2</v>
      </c>
      <c r="C776" s="7">
        <v>-1.0222709017889797E-2</v>
      </c>
      <c r="D776" s="7">
        <v>-1.0714285714285676E-2</v>
      </c>
      <c r="E776" s="7">
        <v>-5.4797584433012858E-2</v>
      </c>
      <c r="F776" s="7">
        <v>-1.0537544363360851E-2</v>
      </c>
      <c r="G776" s="7"/>
      <c r="H776" s="7">
        <f t="shared" si="21"/>
        <v>-7.5245185143467674E-3</v>
      </c>
      <c r="I776" s="7">
        <f t="shared" si="21"/>
        <v>3.1483534547105396E-4</v>
      </c>
      <c r="J776" s="7">
        <f t="shared" si="21"/>
        <v>-1.7674135092482501E-4</v>
      </c>
      <c r="K776" s="7">
        <f t="shared" si="20"/>
        <v>-4.4260040069652007E-2</v>
      </c>
      <c r="L776" s="7"/>
    </row>
    <row r="777" spans="1:12" x14ac:dyDescent="0.25">
      <c r="A777" s="2" t="s">
        <v>867</v>
      </c>
      <c r="B777" s="7">
        <v>3.3383294726803125E-3</v>
      </c>
      <c r="C777" s="7">
        <v>-2.4333860566971843E-4</v>
      </c>
      <c r="D777" s="7">
        <v>5.6603773584905648E-2</v>
      </c>
      <c r="E777" s="7">
        <v>-6.5548272414176489E-3</v>
      </c>
      <c r="F777" s="7">
        <v>5.3294245875146196E-3</v>
      </c>
      <c r="G777" s="7"/>
      <c r="H777" s="7">
        <f t="shared" si="21"/>
        <v>-1.991095114834307E-3</v>
      </c>
      <c r="I777" s="7">
        <f t="shared" si="21"/>
        <v>-5.572763193184338E-3</v>
      </c>
      <c r="J777" s="7">
        <f t="shared" si="21"/>
        <v>5.1274348997391028E-2</v>
      </c>
      <c r="K777" s="7">
        <f t="shared" si="20"/>
        <v>-1.1884251828932269E-2</v>
      </c>
      <c r="L777" s="7"/>
    </row>
    <row r="778" spans="1:12" x14ac:dyDescent="0.25">
      <c r="A778" s="2" t="s">
        <v>868</v>
      </c>
      <c r="B778" s="7">
        <v>2.869636512708329E-3</v>
      </c>
      <c r="C778" s="7">
        <v>-2.7905848095123309E-3</v>
      </c>
      <c r="D778" s="7">
        <v>-1.1194029850746356E-2</v>
      </c>
      <c r="E778" s="7">
        <v>-3.4322409211690053E-3</v>
      </c>
      <c r="F778" s="7">
        <v>-1.5735464083616035E-3</v>
      </c>
      <c r="G778" s="7"/>
      <c r="H778" s="7">
        <f t="shared" si="21"/>
        <v>4.4431829210699325E-3</v>
      </c>
      <c r="I778" s="7">
        <f t="shared" si="21"/>
        <v>-1.2170384011507274E-3</v>
      </c>
      <c r="J778" s="7">
        <f t="shared" si="21"/>
        <v>-9.6204834423847529E-3</v>
      </c>
      <c r="K778" s="7">
        <f t="shared" si="20"/>
        <v>-1.8586945128074017E-3</v>
      </c>
      <c r="L778" s="7"/>
    </row>
    <row r="779" spans="1:12" x14ac:dyDescent="0.25">
      <c r="A779" s="2" t="s">
        <v>869</v>
      </c>
      <c r="B779" s="7">
        <v>-2.6667553368358021E-2</v>
      </c>
      <c r="C779" s="7">
        <v>-3.3083059596433539E-2</v>
      </c>
      <c r="D779" s="7">
        <v>0</v>
      </c>
      <c r="E779" s="7">
        <v>-4.9062960623289187E-2</v>
      </c>
      <c r="F779" s="7">
        <v>-2.0041234687148357E-2</v>
      </c>
      <c r="G779" s="7"/>
      <c r="H779" s="7">
        <f t="shared" si="21"/>
        <v>-6.6263186812096642E-3</v>
      </c>
      <c r="I779" s="7">
        <f t="shared" si="21"/>
        <v>-1.3041824909285182E-2</v>
      </c>
      <c r="J779" s="7">
        <f t="shared" si="21"/>
        <v>2.0041234687148357E-2</v>
      </c>
      <c r="K779" s="7">
        <f t="shared" si="20"/>
        <v>-2.902172593614083E-2</v>
      </c>
      <c r="L779" s="7"/>
    </row>
    <row r="780" spans="1:12" x14ac:dyDescent="0.25">
      <c r="A780" s="2" t="s">
        <v>870</v>
      </c>
      <c r="B780" s="7">
        <v>-7.5242558246979563E-3</v>
      </c>
      <c r="C780" s="7">
        <v>8.7573964497040802E-3</v>
      </c>
      <c r="D780" s="7">
        <v>-2.5454545454545396E-2</v>
      </c>
      <c r="E780" s="7">
        <v>-3.0024509803921573E-2</v>
      </c>
      <c r="F780" s="7">
        <v>-2.7674487398573477E-3</v>
      </c>
      <c r="G780" s="7"/>
      <c r="H780" s="7">
        <f t="shared" si="21"/>
        <v>-4.7568070848406085E-3</v>
      </c>
      <c r="I780" s="7">
        <f t="shared" si="21"/>
        <v>1.1524845189561428E-2</v>
      </c>
      <c r="J780" s="7">
        <f t="shared" si="21"/>
        <v>-2.2687096714688049E-2</v>
      </c>
      <c r="K780" s="7">
        <f t="shared" si="20"/>
        <v>-2.7257061064064225E-2</v>
      </c>
      <c r="L780" s="7"/>
    </row>
    <row r="781" spans="1:12" x14ac:dyDescent="0.25">
      <c r="A781" s="2" t="s">
        <v>871</v>
      </c>
      <c r="B781" s="7">
        <v>-1.0450003265626173E-2</v>
      </c>
      <c r="C781" s="7">
        <v>-1.134901134901134E-2</v>
      </c>
      <c r="D781" s="7">
        <v>7.3260073260073E-3</v>
      </c>
      <c r="E781" s="7">
        <v>3.0646644192455774E-4</v>
      </c>
      <c r="F781" s="7">
        <v>-1.378869707782826E-2</v>
      </c>
      <c r="G781" s="7"/>
      <c r="H781" s="7">
        <f t="shared" si="21"/>
        <v>3.3386938122020871E-3</v>
      </c>
      <c r="I781" s="7">
        <f t="shared" si="21"/>
        <v>2.4396857288169205E-3</v>
      </c>
      <c r="J781" s="7">
        <f t="shared" si="21"/>
        <v>2.111470440383556E-2</v>
      </c>
      <c r="K781" s="7">
        <f t="shared" si="20"/>
        <v>1.4095163519752818E-2</v>
      </c>
      <c r="L781" s="7"/>
    </row>
    <row r="782" spans="1:12" x14ac:dyDescent="0.25">
      <c r="A782" s="2" t="s">
        <v>872</v>
      </c>
      <c r="B782" s="7">
        <v>1.3906363816965861E-2</v>
      </c>
      <c r="C782" s="7">
        <v>5.0564440263405341E-3</v>
      </c>
      <c r="D782" s="7">
        <v>3.0188679245283012E-2</v>
      </c>
      <c r="E782" s="7">
        <v>-1.101232572236821E-2</v>
      </c>
      <c r="F782" s="7">
        <v>2.7731236687436045E-3</v>
      </c>
      <c r="G782" s="7"/>
      <c r="H782" s="7">
        <f t="shared" si="21"/>
        <v>1.1133240148222256E-2</v>
      </c>
      <c r="I782" s="7">
        <f t="shared" si="21"/>
        <v>2.2833203575969296E-3</v>
      </c>
      <c r="J782" s="7">
        <f t="shared" si="21"/>
        <v>2.7415555576539408E-2</v>
      </c>
      <c r="K782" s="7">
        <f t="shared" si="20"/>
        <v>-1.3785449391111815E-2</v>
      </c>
      <c r="L782" s="7"/>
    </row>
    <row r="783" spans="1:12" x14ac:dyDescent="0.25">
      <c r="A783" s="2" t="s">
        <v>873</v>
      </c>
      <c r="B783" s="7">
        <v>-4.2202439828553651E-3</v>
      </c>
      <c r="C783" s="7">
        <v>-9.3196644920782168E-3</v>
      </c>
      <c r="D783" s="7">
        <v>3.1128404669260812E-2</v>
      </c>
      <c r="E783" s="7">
        <v>-5.4260450160771301E-3</v>
      </c>
      <c r="F783" s="7">
        <v>-2.8037676836767389E-4</v>
      </c>
      <c r="G783" s="7"/>
      <c r="H783" s="7">
        <f t="shared" si="21"/>
        <v>-3.9398672144876912E-3</v>
      </c>
      <c r="I783" s="7">
        <f t="shared" si="21"/>
        <v>-9.0392877237105429E-3</v>
      </c>
      <c r="J783" s="7">
        <f t="shared" si="21"/>
        <v>3.1408781437628486E-2</v>
      </c>
      <c r="K783" s="7">
        <f t="shared" si="20"/>
        <v>-5.1456682477094562E-3</v>
      </c>
      <c r="L783" s="7"/>
    </row>
    <row r="784" spans="1:12" x14ac:dyDescent="0.25">
      <c r="A784" s="2" t="s">
        <v>151</v>
      </c>
      <c r="B784" s="7">
        <v>1.8810883439704496E-2</v>
      </c>
      <c r="C784" s="7">
        <v>1.2383535794315392E-2</v>
      </c>
      <c r="D784" s="7">
        <v>5.7613168724279795E-2</v>
      </c>
      <c r="E784" s="7">
        <v>1.0971149939049241E-2</v>
      </c>
      <c r="F784" s="7">
        <v>1.1448590134117032E-2</v>
      </c>
      <c r="G784" s="7"/>
      <c r="H784" s="7">
        <f t="shared" si="21"/>
        <v>7.362293305587464E-3</v>
      </c>
      <c r="I784" s="7">
        <f t="shared" si="21"/>
        <v>9.3494566019836078E-4</v>
      </c>
      <c r="J784" s="7">
        <f t="shared" si="21"/>
        <v>4.6164578590162764E-2</v>
      </c>
      <c r="K784" s="7">
        <f t="shared" si="20"/>
        <v>-4.774401950677909E-4</v>
      </c>
      <c r="L784" s="7"/>
    </row>
    <row r="785" spans="1:12" x14ac:dyDescent="0.25">
      <c r="A785" s="2" t="s">
        <v>874</v>
      </c>
      <c r="B785" s="7">
        <v>2.4244056838842454E-3</v>
      </c>
      <c r="C785" s="7">
        <v>8.3244143179925789E-3</v>
      </c>
      <c r="D785" s="7">
        <v>-4.098360655737654E-3</v>
      </c>
      <c r="E785" s="7">
        <v>-4.4271844660194182E-2</v>
      </c>
      <c r="F785" s="7">
        <v>2.1952713463186946E-3</v>
      </c>
      <c r="G785" s="7"/>
      <c r="H785" s="7">
        <f t="shared" si="21"/>
        <v>2.2913433756555079E-4</v>
      </c>
      <c r="I785" s="7">
        <f t="shared" si="21"/>
        <v>6.1291429716738843E-3</v>
      </c>
      <c r="J785" s="7">
        <f t="shared" si="21"/>
        <v>-6.2936320020563485E-3</v>
      </c>
      <c r="K785" s="7">
        <f t="shared" si="20"/>
        <v>-4.6467116006512876E-2</v>
      </c>
      <c r="L785" s="7"/>
    </row>
    <row r="786" spans="1:12" x14ac:dyDescent="0.25">
      <c r="A786" s="2" t="s">
        <v>875</v>
      </c>
      <c r="B786" s="7">
        <v>-6.8887105403959703E-3</v>
      </c>
      <c r="C786" s="7">
        <v>-2.0044283882997282E-2</v>
      </c>
      <c r="D786" s="7">
        <v>1.6666666666666607E-2</v>
      </c>
      <c r="E786" s="7">
        <v>3.1857343217791989E-2</v>
      </c>
      <c r="F786" s="7">
        <v>-8.8298290859815109E-3</v>
      </c>
      <c r="G786" s="7"/>
      <c r="H786" s="7">
        <f t="shared" si="21"/>
        <v>1.9411185455855406E-3</v>
      </c>
      <c r="I786" s="7">
        <f t="shared" si="21"/>
        <v>-1.1214454797015772E-2</v>
      </c>
      <c r="J786" s="7">
        <f t="shared" si="21"/>
        <v>2.5496495752648118E-2</v>
      </c>
      <c r="K786" s="7">
        <f t="shared" si="20"/>
        <v>4.06871723037735E-2</v>
      </c>
      <c r="L786" s="7"/>
    </row>
    <row r="787" spans="1:12" x14ac:dyDescent="0.25">
      <c r="A787" s="2" t="s">
        <v>876</v>
      </c>
      <c r="B787" s="7">
        <v>-1.7672951842848672E-2</v>
      </c>
      <c r="C787" s="7">
        <v>-1.4131433823529438E-2</v>
      </c>
      <c r="D787" s="7">
        <v>-4.1493775933610921E-3</v>
      </c>
      <c r="E787" s="7">
        <v>-3.6929833316698968E-3</v>
      </c>
      <c r="F787" s="7">
        <v>-1.1080691642651352E-2</v>
      </c>
      <c r="G787" s="7"/>
      <c r="H787" s="7">
        <f t="shared" si="21"/>
        <v>-6.5922602001973196E-3</v>
      </c>
      <c r="I787" s="7">
        <f t="shared" si="21"/>
        <v>-3.0507421808780855E-3</v>
      </c>
      <c r="J787" s="7">
        <f t="shared" si="21"/>
        <v>6.9313140492902603E-3</v>
      </c>
      <c r="K787" s="7">
        <f t="shared" si="20"/>
        <v>7.3877083109814556E-3</v>
      </c>
      <c r="L787" s="7"/>
    </row>
    <row r="788" spans="1:12" x14ac:dyDescent="0.25">
      <c r="A788" s="2" t="s">
        <v>877</v>
      </c>
      <c r="B788" s="7">
        <v>1.9217892058390307E-2</v>
      </c>
      <c r="C788" s="7">
        <v>3.4586119437400864E-3</v>
      </c>
      <c r="D788" s="7">
        <v>1.26050420168069E-2</v>
      </c>
      <c r="E788" s="7">
        <v>3.9940089865186934E-4</v>
      </c>
      <c r="F788" s="7">
        <v>1.2872529846171821E-2</v>
      </c>
      <c r="G788" s="7"/>
      <c r="H788" s="7">
        <f t="shared" si="21"/>
        <v>6.3453622122184861E-3</v>
      </c>
      <c r="I788" s="7">
        <f t="shared" si="21"/>
        <v>-9.4139179024317343E-3</v>
      </c>
      <c r="J788" s="7">
        <f t="shared" si="21"/>
        <v>-2.6748782936492077E-4</v>
      </c>
      <c r="K788" s="7">
        <f t="shared" si="20"/>
        <v>-1.2473128947519951E-2</v>
      </c>
      <c r="L788" s="7"/>
    </row>
    <row r="789" spans="1:12" x14ac:dyDescent="0.25">
      <c r="A789" s="2" t="s">
        <v>152</v>
      </c>
      <c r="B789" s="7">
        <v>-1.7887675917401036E-2</v>
      </c>
      <c r="C789" s="7">
        <v>-8.4590763603110686E-3</v>
      </c>
      <c r="D789" s="7">
        <v>5.7777777777777706E-2</v>
      </c>
      <c r="E789" s="7">
        <v>-8.2194493959200088E-3</v>
      </c>
      <c r="F789" s="7">
        <v>-6.1404865973000433E-3</v>
      </c>
      <c r="G789" s="7"/>
      <c r="H789" s="7">
        <f t="shared" si="21"/>
        <v>-1.1747189320100992E-2</v>
      </c>
      <c r="I789" s="7">
        <f t="shared" si="21"/>
        <v>-2.3185897630110253E-3</v>
      </c>
      <c r="J789" s="7">
        <f t="shared" si="21"/>
        <v>6.3918264375077749E-2</v>
      </c>
      <c r="K789" s="7">
        <f t="shared" si="20"/>
        <v>-2.0789627986199655E-3</v>
      </c>
      <c r="L789" s="7"/>
    </row>
    <row r="790" spans="1:12" x14ac:dyDescent="0.25">
      <c r="A790" s="2" t="s">
        <v>878</v>
      </c>
      <c r="B790" s="7">
        <v>2.4386957693344202E-2</v>
      </c>
      <c r="C790" s="7">
        <v>-2.3333705481745959E-2</v>
      </c>
      <c r="D790" s="7">
        <v>4.4642857142855874E-3</v>
      </c>
      <c r="E790" s="7">
        <v>-3.1088082901554404E-2</v>
      </c>
      <c r="F790" s="7">
        <v>-1.0354661511665864E-2</v>
      </c>
      <c r="G790" s="7"/>
      <c r="H790" s="7">
        <f t="shared" si="21"/>
        <v>3.4741619205010066E-2</v>
      </c>
      <c r="I790" s="7">
        <f t="shared" si="21"/>
        <v>-1.2979043970080095E-2</v>
      </c>
      <c r="J790" s="7">
        <f t="shared" si="21"/>
        <v>1.4818947225951451E-2</v>
      </c>
      <c r="K790" s="7">
        <f t="shared" si="20"/>
        <v>-2.073342138988854E-2</v>
      </c>
      <c r="L790" s="7"/>
    </row>
    <row r="791" spans="1:12" x14ac:dyDescent="0.25">
      <c r="A791" s="2" t="s">
        <v>879</v>
      </c>
      <c r="B791" s="7">
        <v>3.7099140641374984E-2</v>
      </c>
      <c r="C791" s="7">
        <v>3.8251999536339287E-2</v>
      </c>
      <c r="D791" s="7">
        <v>-8.8495575221236855E-3</v>
      </c>
      <c r="E791" s="7">
        <v>-2.7254060108269584E-2</v>
      </c>
      <c r="F791" s="7">
        <v>1.4699420519954209E-2</v>
      </c>
      <c r="G791" s="7"/>
      <c r="H791" s="7">
        <f t="shared" si="21"/>
        <v>2.2399720121420774E-2</v>
      </c>
      <c r="I791" s="7">
        <f t="shared" si="21"/>
        <v>2.3552579016385078E-2</v>
      </c>
      <c r="J791" s="7">
        <f t="shared" si="21"/>
        <v>-2.3548978042077895E-2</v>
      </c>
      <c r="K791" s="7">
        <f t="shared" si="20"/>
        <v>-4.1953480628223794E-2</v>
      </c>
      <c r="L791" s="7"/>
    </row>
    <row r="792" spans="1:12" x14ac:dyDescent="0.25">
      <c r="A792" s="2" t="s">
        <v>880</v>
      </c>
      <c r="B792" s="7">
        <v>7.8867685374268692E-3</v>
      </c>
      <c r="C792" s="7">
        <v>6.7685844322558086E-3</v>
      </c>
      <c r="D792" s="7">
        <v>1.8018018018017834E-2</v>
      </c>
      <c r="E792" s="7">
        <v>2.3695776801070156E-2</v>
      </c>
      <c r="F792" s="7">
        <v>1.0452337732424155E-2</v>
      </c>
      <c r="G792" s="7"/>
      <c r="H792" s="7">
        <f t="shared" si="21"/>
        <v>-2.5655691949972859E-3</v>
      </c>
      <c r="I792" s="7">
        <f t="shared" si="21"/>
        <v>-3.6837533001683465E-3</v>
      </c>
      <c r="J792" s="7">
        <f t="shared" si="21"/>
        <v>7.5656802855936789E-3</v>
      </c>
      <c r="K792" s="7">
        <f t="shared" si="20"/>
        <v>1.3243439068646001E-2</v>
      </c>
      <c r="L792" s="7"/>
    </row>
    <row r="793" spans="1:12" x14ac:dyDescent="0.25">
      <c r="A793" s="2" t="s">
        <v>881</v>
      </c>
      <c r="B793" s="7">
        <v>9.0237317038508458E-3</v>
      </c>
      <c r="C793" s="7">
        <v>2.2309711286089273E-2</v>
      </c>
      <c r="D793" s="7">
        <v>1.8348623853211121E-2</v>
      </c>
      <c r="E793" s="7">
        <v>-8.9953602878515282E-3</v>
      </c>
      <c r="F793" s="7">
        <v>1.4642450911824145E-2</v>
      </c>
      <c r="G793" s="7"/>
      <c r="H793" s="7">
        <f t="shared" si="21"/>
        <v>-5.6187192079732995E-3</v>
      </c>
      <c r="I793" s="7">
        <f t="shared" si="21"/>
        <v>7.667260374265128E-3</v>
      </c>
      <c r="J793" s="7">
        <f t="shared" si="21"/>
        <v>3.7061729413869759E-3</v>
      </c>
      <c r="K793" s="7">
        <f t="shared" si="20"/>
        <v>-2.3637811199675673E-2</v>
      </c>
      <c r="L793" s="7"/>
    </row>
    <row r="794" spans="1:12" x14ac:dyDescent="0.25">
      <c r="A794" s="2" t="s">
        <v>153</v>
      </c>
      <c r="B794" s="7">
        <v>-2.0121144607672448E-2</v>
      </c>
      <c r="C794" s="7">
        <v>-2.3190770306491193E-2</v>
      </c>
      <c r="D794" s="7">
        <v>0</v>
      </c>
      <c r="E794" s="7">
        <v>-6.0576409891478389E-2</v>
      </c>
      <c r="F794" s="7">
        <v>-1.2968731575016657E-2</v>
      </c>
      <c r="G794" s="7"/>
      <c r="H794" s="7">
        <f t="shared" si="21"/>
        <v>-7.1524130326557911E-3</v>
      </c>
      <c r="I794" s="7">
        <f t="shared" si="21"/>
        <v>-1.0222038731474536E-2</v>
      </c>
      <c r="J794" s="7">
        <f t="shared" si="21"/>
        <v>1.2968731575016657E-2</v>
      </c>
      <c r="K794" s="7">
        <f t="shared" si="20"/>
        <v>-4.7607678316461732E-2</v>
      </c>
      <c r="L794" s="7"/>
    </row>
    <row r="795" spans="1:12" x14ac:dyDescent="0.25">
      <c r="A795" s="2" t="s">
        <v>882</v>
      </c>
      <c r="B795" s="7">
        <v>1.369186251676191E-2</v>
      </c>
      <c r="C795" s="7">
        <v>1.4902424600828024E-2</v>
      </c>
      <c r="D795" s="7">
        <v>3.3175355450237198E-2</v>
      </c>
      <c r="E795" s="7">
        <v>-1.8165938864628806E-2</v>
      </c>
      <c r="F795" s="7">
        <v>2.4948096630159622E-3</v>
      </c>
      <c r="G795" s="7"/>
      <c r="H795" s="7">
        <f t="shared" si="21"/>
        <v>1.1197052853745948E-2</v>
      </c>
      <c r="I795" s="7">
        <f t="shared" si="21"/>
        <v>1.2407614937812061E-2</v>
      </c>
      <c r="J795" s="7">
        <f t="shared" si="21"/>
        <v>3.0680545787221236E-2</v>
      </c>
      <c r="K795" s="7">
        <f t="shared" si="20"/>
        <v>-2.0660748527644768E-2</v>
      </c>
      <c r="L795" s="7"/>
    </row>
    <row r="796" spans="1:12" x14ac:dyDescent="0.25">
      <c r="A796" s="2" t="s">
        <v>883</v>
      </c>
      <c r="B796" s="7">
        <v>1.4825956166738319E-2</v>
      </c>
      <c r="C796" s="7">
        <v>5.4703294089664123E-3</v>
      </c>
      <c r="D796" s="7">
        <v>-4.7169811320755262E-3</v>
      </c>
      <c r="E796" s="7">
        <v>2.6269702276706663E-3</v>
      </c>
      <c r="F796" s="7">
        <v>1.1007863115068517E-2</v>
      </c>
      <c r="G796" s="7"/>
      <c r="H796" s="7">
        <f t="shared" si="21"/>
        <v>3.818093051669802E-3</v>
      </c>
      <c r="I796" s="7">
        <f t="shared" si="21"/>
        <v>-5.5375337061021046E-3</v>
      </c>
      <c r="J796" s="7">
        <f t="shared" si="21"/>
        <v>-1.5724844247144043E-2</v>
      </c>
      <c r="K796" s="7">
        <f t="shared" si="20"/>
        <v>-8.3808928873978505E-3</v>
      </c>
      <c r="L796" s="7"/>
    </row>
    <row r="797" spans="1:12" x14ac:dyDescent="0.25">
      <c r="A797" s="2" t="s">
        <v>884</v>
      </c>
      <c r="B797" s="7">
        <v>-4.7048759623610215E-3</v>
      </c>
      <c r="C797" s="7">
        <v>-1.7984351278757305E-2</v>
      </c>
      <c r="D797" s="7">
        <v>-1.851851851851849E-2</v>
      </c>
      <c r="E797" s="7">
        <v>6.7883276029268025E-3</v>
      </c>
      <c r="F797" s="7">
        <v>-1.8172991946630024E-4</v>
      </c>
      <c r="G797" s="7"/>
      <c r="H797" s="7">
        <f t="shared" si="21"/>
        <v>-4.5231460428947212E-3</v>
      </c>
      <c r="I797" s="7">
        <f t="shared" si="21"/>
        <v>-1.7802621359291004E-2</v>
      </c>
      <c r="J797" s="7">
        <f t="shared" si="21"/>
        <v>-1.8336788599052189E-2</v>
      </c>
      <c r="K797" s="7">
        <f t="shared" si="20"/>
        <v>6.9700575223931027E-3</v>
      </c>
      <c r="L797" s="7"/>
    </row>
    <row r="798" spans="1:12" x14ac:dyDescent="0.25">
      <c r="A798" s="2" t="s">
        <v>885</v>
      </c>
      <c r="B798" s="7">
        <v>1.0080645161290258E-2</v>
      </c>
      <c r="C798" s="7">
        <v>-6.2102957283680205E-2</v>
      </c>
      <c r="D798" s="7">
        <v>0</v>
      </c>
      <c r="E798" s="7">
        <v>-7.9281183932333743E-4</v>
      </c>
      <c r="F798" s="7">
        <v>-7.1147641306434917E-4</v>
      </c>
      <c r="G798" s="7"/>
      <c r="H798" s="7">
        <f t="shared" si="21"/>
        <v>1.0792121574354607E-2</v>
      </c>
      <c r="I798" s="7">
        <f t="shared" si="21"/>
        <v>-6.1391480870615855E-2</v>
      </c>
      <c r="J798" s="7">
        <f t="shared" si="21"/>
        <v>7.1147641306434917E-4</v>
      </c>
      <c r="K798" s="7">
        <f t="shared" si="20"/>
        <v>-8.1335426258988264E-5</v>
      </c>
      <c r="L798" s="7"/>
    </row>
    <row r="799" spans="1:12" x14ac:dyDescent="0.25">
      <c r="A799" s="2" t="s">
        <v>154</v>
      </c>
      <c r="B799" s="7">
        <v>2.3509470115704811E-2</v>
      </c>
      <c r="C799" s="7">
        <v>1.6364243571189929E-2</v>
      </c>
      <c r="D799" s="7">
        <v>-1.3698630136986245E-2</v>
      </c>
      <c r="E799" s="7">
        <v>-2.723359395589986E-3</v>
      </c>
      <c r="F799" s="7">
        <v>1.1881357596139619E-2</v>
      </c>
      <c r="G799" s="7"/>
      <c r="H799" s="7">
        <f t="shared" si="21"/>
        <v>1.1628112519565192E-2</v>
      </c>
      <c r="I799" s="7">
        <f t="shared" si="21"/>
        <v>4.4828859750503103E-3</v>
      </c>
      <c r="J799" s="7">
        <f t="shared" si="21"/>
        <v>-2.5579987733125864E-2</v>
      </c>
      <c r="K799" s="7">
        <f t="shared" si="20"/>
        <v>-1.4604716991729605E-2</v>
      </c>
      <c r="L799" s="7"/>
    </row>
    <row r="800" spans="1:12" x14ac:dyDescent="0.25">
      <c r="A800" s="2" t="s">
        <v>886</v>
      </c>
      <c r="B800" s="7">
        <v>1.9152771518702316E-2</v>
      </c>
      <c r="C800" s="7">
        <v>1.8711726014969177E-2</v>
      </c>
      <c r="D800" s="7">
        <v>-1.3513513513513598E-2</v>
      </c>
      <c r="E800" s="7">
        <v>2.8088872832369827E-2</v>
      </c>
      <c r="F800" s="7">
        <v>1.8918399015094289E-2</v>
      </c>
      <c r="G800" s="7"/>
      <c r="H800" s="7">
        <f t="shared" si="21"/>
        <v>2.3437250360802686E-4</v>
      </c>
      <c r="I800" s="7">
        <f t="shared" si="21"/>
        <v>-2.0667300012511269E-4</v>
      </c>
      <c r="J800" s="7">
        <f t="shared" si="21"/>
        <v>-3.2431912528607887E-2</v>
      </c>
      <c r="K800" s="7">
        <f t="shared" si="20"/>
        <v>9.1704738172755373E-3</v>
      </c>
      <c r="L800" s="7"/>
    </row>
    <row r="801" spans="1:12" x14ac:dyDescent="0.25">
      <c r="A801" s="2" t="s">
        <v>887</v>
      </c>
      <c r="B801" s="7">
        <v>4.5085662759225542E-4</v>
      </c>
      <c r="C801" s="7">
        <v>-3.5229759299781116E-2</v>
      </c>
      <c r="D801" s="7">
        <v>-3.4782608695651973E-2</v>
      </c>
      <c r="E801" s="7">
        <v>2.9761904761904878E-2</v>
      </c>
      <c r="F801" s="7">
        <v>-7.6383480195273412E-3</v>
      </c>
      <c r="G801" s="7"/>
      <c r="H801" s="7">
        <f t="shared" si="21"/>
        <v>8.0892046471195966E-3</v>
      </c>
      <c r="I801" s="7">
        <f t="shared" si="21"/>
        <v>-2.7591411280253775E-2</v>
      </c>
      <c r="J801" s="7">
        <f t="shared" si="21"/>
        <v>-2.7144260676124632E-2</v>
      </c>
      <c r="K801" s="7">
        <f t="shared" si="20"/>
        <v>3.7400252781432219E-2</v>
      </c>
      <c r="L801" s="7"/>
    </row>
    <row r="802" spans="1:12" x14ac:dyDescent="0.25">
      <c r="A802" s="2" t="s">
        <v>888</v>
      </c>
      <c r="B802" s="7">
        <v>-5.3068241273636074E-3</v>
      </c>
      <c r="C802" s="7">
        <v>-3.0341608317419944E-2</v>
      </c>
      <c r="D802" s="7">
        <v>-2.1276595744680993E-2</v>
      </c>
      <c r="E802" s="7">
        <v>-1.7184643510054887E-2</v>
      </c>
      <c r="F802" s="7">
        <v>-1.5562632643191909E-2</v>
      </c>
      <c r="G802" s="7"/>
      <c r="H802" s="7">
        <f t="shared" si="21"/>
        <v>1.0255808515828302E-2</v>
      </c>
      <c r="I802" s="7">
        <f t="shared" si="21"/>
        <v>-1.4778975674228034E-2</v>
      </c>
      <c r="J802" s="7">
        <f t="shared" si="21"/>
        <v>-5.7139631014890835E-3</v>
      </c>
      <c r="K802" s="7">
        <f t="shared" si="20"/>
        <v>-1.6220108668629774E-3</v>
      </c>
      <c r="L802" s="7"/>
    </row>
    <row r="803" spans="1:12" x14ac:dyDescent="0.25">
      <c r="A803" s="2" t="s">
        <v>889</v>
      </c>
      <c r="B803" s="7">
        <v>8.7461358666967026E-3</v>
      </c>
      <c r="C803" s="7">
        <v>-2.2503370320439697E-2</v>
      </c>
      <c r="D803" s="7">
        <v>2.6200873362445476E-2</v>
      </c>
      <c r="E803" s="7">
        <v>-1.5478761699064036E-2</v>
      </c>
      <c r="F803" s="7">
        <v>-2.0304619300891558E-3</v>
      </c>
      <c r="G803" s="7"/>
      <c r="H803" s="7">
        <f t="shared" si="21"/>
        <v>1.0776597796785858E-2</v>
      </c>
      <c r="I803" s="7">
        <f t="shared" si="21"/>
        <v>-2.0472908390350542E-2</v>
      </c>
      <c r="J803" s="7">
        <f t="shared" si="21"/>
        <v>2.8231335292534632E-2</v>
      </c>
      <c r="K803" s="7">
        <f t="shared" si="20"/>
        <v>-1.3448299768974881E-2</v>
      </c>
      <c r="L803" s="7"/>
    </row>
    <row r="804" spans="1:12" x14ac:dyDescent="0.25">
      <c r="A804" s="2" t="s">
        <v>890</v>
      </c>
      <c r="B804" s="7">
        <v>1.0129474485909951E-2</v>
      </c>
      <c r="C804" s="7">
        <v>1.2459765341086282E-3</v>
      </c>
      <c r="D804" s="7">
        <v>4.0909090909090784E-2</v>
      </c>
      <c r="E804" s="7">
        <v>3.4059184812953669E-2</v>
      </c>
      <c r="F804" s="7">
        <v>3.9968166058692578E-3</v>
      </c>
      <c r="G804" s="7"/>
      <c r="H804" s="7">
        <f t="shared" si="21"/>
        <v>6.1326578800406928E-3</v>
      </c>
      <c r="I804" s="7">
        <f t="shared" si="21"/>
        <v>-2.7508400717606296E-3</v>
      </c>
      <c r="J804" s="7">
        <f t="shared" si="21"/>
        <v>3.6912274303221526E-2</v>
      </c>
      <c r="K804" s="7">
        <f t="shared" si="20"/>
        <v>3.0062368207084411E-2</v>
      </c>
      <c r="L804" s="7"/>
    </row>
    <row r="805" spans="1:12" x14ac:dyDescent="0.25">
      <c r="A805" s="2" t="s">
        <v>891</v>
      </c>
      <c r="B805" s="7">
        <v>-6.0892068808027222E-4</v>
      </c>
      <c r="C805" s="7">
        <v>1.7682546286665879E-3</v>
      </c>
      <c r="D805" s="7">
        <v>1.8518518518518601E-2</v>
      </c>
      <c r="E805" s="7">
        <v>-1.6204339467179474E-2</v>
      </c>
      <c r="F805" s="7">
        <v>3.41595270064321E-3</v>
      </c>
      <c r="G805" s="7"/>
      <c r="H805" s="7">
        <f t="shared" si="21"/>
        <v>-4.0248733887234822E-3</v>
      </c>
      <c r="I805" s="7">
        <f t="shared" si="21"/>
        <v>-1.6476980719766221E-3</v>
      </c>
      <c r="J805" s="7">
        <f t="shared" si="21"/>
        <v>1.5102565817875391E-2</v>
      </c>
      <c r="K805" s="7">
        <f t="shared" si="20"/>
        <v>-1.9620292167822684E-2</v>
      </c>
      <c r="L805" s="7"/>
    </row>
    <row r="806" spans="1:12" x14ac:dyDescent="0.25">
      <c r="A806" s="2" t="s">
        <v>892</v>
      </c>
      <c r="B806" s="7">
        <v>2.106163052770671E-2</v>
      </c>
      <c r="C806" s="7">
        <v>7.756813417190811E-3</v>
      </c>
      <c r="D806" s="7">
        <v>-2.7027027027027084E-2</v>
      </c>
      <c r="E806" s="7">
        <v>1.1915673693860818E-3</v>
      </c>
      <c r="F806" s="7">
        <v>1.2849397206098123E-2</v>
      </c>
      <c r="G806" s="7"/>
      <c r="H806" s="7">
        <f t="shared" si="21"/>
        <v>8.2122333216085863E-3</v>
      </c>
      <c r="I806" s="7">
        <f t="shared" si="21"/>
        <v>-5.0925837889073122E-3</v>
      </c>
      <c r="J806" s="7">
        <f t="shared" si="21"/>
        <v>-3.9876424233125207E-2</v>
      </c>
      <c r="K806" s="7">
        <f t="shared" si="20"/>
        <v>-1.1657829836712041E-2</v>
      </c>
      <c r="L806" s="7"/>
    </row>
    <row r="807" spans="1:12" x14ac:dyDescent="0.25">
      <c r="A807" s="2" t="s">
        <v>893</v>
      </c>
      <c r="B807" s="7">
        <v>4.4496487119436434E-3</v>
      </c>
      <c r="C807" s="7">
        <v>1.048617731172552E-2</v>
      </c>
      <c r="D807" s="7">
        <v>4.2253521126760729E-2</v>
      </c>
      <c r="E807" s="7">
        <v>3.6579572446555852E-2</v>
      </c>
      <c r="F807" s="7">
        <v>6.9782558985018728E-3</v>
      </c>
      <c r="G807" s="7"/>
      <c r="H807" s="7">
        <f t="shared" si="21"/>
        <v>-2.5286071865582294E-3</v>
      </c>
      <c r="I807" s="7">
        <f t="shared" si="21"/>
        <v>3.5079214132236469E-3</v>
      </c>
      <c r="J807" s="7">
        <f t="shared" si="21"/>
        <v>3.5275265228258856E-2</v>
      </c>
      <c r="K807" s="7">
        <f t="shared" si="20"/>
        <v>2.960131654805398E-2</v>
      </c>
      <c r="L807" s="7"/>
    </row>
    <row r="808" spans="1:12" x14ac:dyDescent="0.25">
      <c r="A808" s="2" t="s">
        <v>155</v>
      </c>
      <c r="B808" s="7">
        <v>4.1545817982284738E-3</v>
      </c>
      <c r="C808" s="7">
        <v>6.3593004769479933E-4</v>
      </c>
      <c r="D808" s="7">
        <v>-9.302325581395321E-3</v>
      </c>
      <c r="E808" s="7">
        <v>3.1862745098039325E-2</v>
      </c>
      <c r="F808" s="7">
        <v>-7.6763506782906443E-4</v>
      </c>
      <c r="G808" s="7"/>
      <c r="H808" s="7">
        <f t="shared" si="21"/>
        <v>4.9222168660575383E-3</v>
      </c>
      <c r="I808" s="7">
        <f t="shared" si="21"/>
        <v>1.4035651155238638E-3</v>
      </c>
      <c r="J808" s="7">
        <f t="shared" si="21"/>
        <v>-8.5346905135662565E-3</v>
      </c>
      <c r="K808" s="7">
        <f t="shared" si="20"/>
        <v>3.2630380165868389E-2</v>
      </c>
      <c r="L808" s="7"/>
    </row>
    <row r="809" spans="1:12" x14ac:dyDescent="0.25">
      <c r="A809" s="2" t="s">
        <v>894</v>
      </c>
      <c r="B809" s="7">
        <v>3.6733035351483201E-2</v>
      </c>
      <c r="C809" s="7">
        <v>3.0584380120152854E-2</v>
      </c>
      <c r="D809" s="7">
        <v>9.3896713615022609E-3</v>
      </c>
      <c r="E809" s="7">
        <v>2.6983487716472077E-2</v>
      </c>
      <c r="F809" s="7">
        <v>2.284078674404566E-2</v>
      </c>
      <c r="G809" s="7"/>
      <c r="H809" s="7">
        <f t="shared" si="21"/>
        <v>1.3892248607437541E-2</v>
      </c>
      <c r="I809" s="7">
        <f t="shared" si="21"/>
        <v>7.743593376107194E-3</v>
      </c>
      <c r="J809" s="7">
        <f t="shared" si="21"/>
        <v>-1.3451115382543399E-2</v>
      </c>
      <c r="K809" s="7">
        <f t="shared" si="20"/>
        <v>4.1427009724264163E-3</v>
      </c>
      <c r="L809" s="7"/>
    </row>
    <row r="810" spans="1:12" x14ac:dyDescent="0.25">
      <c r="A810" s="2" t="s">
        <v>895</v>
      </c>
      <c r="B810" s="7">
        <v>-1.0613491999678426E-2</v>
      </c>
      <c r="C810" s="7">
        <v>-1.7493024254131906E-2</v>
      </c>
      <c r="D810" s="7">
        <v>9.4786729857820884E-3</v>
      </c>
      <c r="E810" s="7">
        <v>6.3836254939708681E-3</v>
      </c>
      <c r="F810" s="7">
        <v>-1.164556173549236E-2</v>
      </c>
      <c r="G810" s="7"/>
      <c r="H810" s="7">
        <f t="shared" si="21"/>
        <v>1.0320697358139341E-3</v>
      </c>
      <c r="I810" s="7">
        <f t="shared" si="21"/>
        <v>-5.8474625186395457E-3</v>
      </c>
      <c r="J810" s="7">
        <f t="shared" si="21"/>
        <v>2.1124234721274449E-2</v>
      </c>
      <c r="K810" s="7">
        <f t="shared" si="20"/>
        <v>1.8029187229463228E-2</v>
      </c>
      <c r="L810" s="7"/>
    </row>
    <row r="811" spans="1:12" x14ac:dyDescent="0.25">
      <c r="A811" s="2" t="s">
        <v>896</v>
      </c>
      <c r="B811" s="7">
        <v>1.0316815597075646E-2</v>
      </c>
      <c r="C811" s="7">
        <v>2.1822568264064035E-2</v>
      </c>
      <c r="D811" s="7">
        <v>-2.7649769585253448E-2</v>
      </c>
      <c r="E811" s="7">
        <v>0.12982255294791067</v>
      </c>
      <c r="F811" s="7">
        <v>7.5389499338414101E-3</v>
      </c>
      <c r="G811" s="7"/>
      <c r="H811" s="7">
        <f t="shared" si="21"/>
        <v>2.7778656632342358E-3</v>
      </c>
      <c r="I811" s="7">
        <f t="shared" si="21"/>
        <v>1.4283618330222625E-2</v>
      </c>
      <c r="J811" s="7">
        <f t="shared" si="21"/>
        <v>-3.5188719519094858E-2</v>
      </c>
      <c r="K811" s="7">
        <f t="shared" si="20"/>
        <v>0.12228360301406926</v>
      </c>
      <c r="L811" s="7"/>
    </row>
    <row r="812" spans="1:12" x14ac:dyDescent="0.25">
      <c r="A812" s="2" t="s">
        <v>897</v>
      </c>
      <c r="B812" s="7">
        <v>-3.7378792618079415E-2</v>
      </c>
      <c r="C812" s="7">
        <v>2.1278978609026611E-2</v>
      </c>
      <c r="D812" s="7">
        <v>-2.6905829596412634E-2</v>
      </c>
      <c r="E812" s="7">
        <v>4.4107100167344093E-2</v>
      </c>
      <c r="F812" s="7">
        <v>-4.0005209011589882E-3</v>
      </c>
      <c r="G812" s="7"/>
      <c r="H812" s="7">
        <f t="shared" si="21"/>
        <v>-3.3378271716920427E-2</v>
      </c>
      <c r="I812" s="7">
        <f t="shared" si="21"/>
        <v>2.5279499510185599E-2</v>
      </c>
      <c r="J812" s="7">
        <f t="shared" si="21"/>
        <v>-2.2905308695253646E-2</v>
      </c>
      <c r="K812" s="7">
        <f t="shared" si="20"/>
        <v>4.8107621068503081E-2</v>
      </c>
      <c r="L812" s="7"/>
    </row>
    <row r="813" spans="1:12" x14ac:dyDescent="0.25">
      <c r="A813" s="2" t="s">
        <v>898</v>
      </c>
      <c r="B813" s="7">
        <v>2.5086233929130231E-3</v>
      </c>
      <c r="C813" s="7">
        <v>-5.3469978834799203E-3</v>
      </c>
      <c r="D813" s="7">
        <v>4.5045045045044585E-3</v>
      </c>
      <c r="E813" s="7">
        <v>-1.1695215593620856E-2</v>
      </c>
      <c r="F813" s="7">
        <v>-2.5407348906808513E-3</v>
      </c>
      <c r="G813" s="7"/>
      <c r="H813" s="7">
        <f t="shared" si="21"/>
        <v>5.0493582835938744E-3</v>
      </c>
      <c r="I813" s="7">
        <f t="shared" si="21"/>
        <v>-2.806262992799069E-3</v>
      </c>
      <c r="J813" s="7">
        <f t="shared" si="21"/>
        <v>7.0452393951853098E-3</v>
      </c>
      <c r="K813" s="7">
        <f t="shared" si="20"/>
        <v>-9.1544807029400044E-3</v>
      </c>
      <c r="L813" s="7"/>
    </row>
    <row r="814" spans="1:12" x14ac:dyDescent="0.25">
      <c r="A814" s="2" t="s">
        <v>899</v>
      </c>
      <c r="B814" s="7">
        <v>2.8295042321644592E-2</v>
      </c>
      <c r="C814" s="7">
        <v>1.9187102633969166E-2</v>
      </c>
      <c r="D814" s="7">
        <v>4.5248868778282603E-3</v>
      </c>
      <c r="E814" s="7">
        <v>2.2219538703055264E-2</v>
      </c>
      <c r="F814" s="7">
        <v>1.7461316021801565E-2</v>
      </c>
      <c r="G814" s="7"/>
      <c r="H814" s="7">
        <f t="shared" si="21"/>
        <v>1.0833726299843027E-2</v>
      </c>
      <c r="I814" s="7">
        <f t="shared" si="21"/>
        <v>1.7257866121676013E-3</v>
      </c>
      <c r="J814" s="7">
        <f t="shared" si="21"/>
        <v>-1.2936429143973305E-2</v>
      </c>
      <c r="K814" s="7">
        <f t="shared" si="20"/>
        <v>4.7582226812536987E-3</v>
      </c>
      <c r="L814" s="7"/>
    </row>
    <row r="815" spans="1:12" x14ac:dyDescent="0.25">
      <c r="A815" s="2" t="s">
        <v>900</v>
      </c>
      <c r="B815" s="7">
        <v>-3.0707923112986424E-2</v>
      </c>
      <c r="C815" s="7">
        <v>-1.5975868618031575E-2</v>
      </c>
      <c r="D815" s="7">
        <v>-3.9130434782608692E-2</v>
      </c>
      <c r="E815" s="7">
        <v>-2.9646121396765923E-2</v>
      </c>
      <c r="F815" s="7">
        <v>-1.202063067180259E-2</v>
      </c>
      <c r="G815" s="7"/>
      <c r="H815" s="7">
        <f t="shared" si="21"/>
        <v>-1.8687292441183834E-2</v>
      </c>
      <c r="I815" s="7">
        <f t="shared" si="21"/>
        <v>-3.9552379462289844E-3</v>
      </c>
      <c r="J815" s="7">
        <f t="shared" si="21"/>
        <v>-2.7109804110806102E-2</v>
      </c>
      <c r="K815" s="7">
        <f t="shared" si="20"/>
        <v>-1.7625490724963333E-2</v>
      </c>
      <c r="L815" s="7"/>
    </row>
    <row r="816" spans="1:12" x14ac:dyDescent="0.25">
      <c r="A816" s="2" t="s">
        <v>901</v>
      </c>
      <c r="B816" s="7">
        <v>-1.3869625520110951E-2</v>
      </c>
      <c r="C816" s="7">
        <v>6.707657909446052E-4</v>
      </c>
      <c r="D816" s="7">
        <v>-8.6206896551723755E-3</v>
      </c>
      <c r="E816" s="7">
        <v>4.9176297024833948E-2</v>
      </c>
      <c r="F816" s="7">
        <v>-4.0496044028068834E-3</v>
      </c>
      <c r="G816" s="7"/>
      <c r="H816" s="7">
        <f t="shared" si="21"/>
        <v>-9.8200211173040675E-3</v>
      </c>
      <c r="I816" s="7">
        <f t="shared" si="21"/>
        <v>4.7203701937514886E-3</v>
      </c>
      <c r="J816" s="7">
        <f t="shared" si="21"/>
        <v>-4.5710852523654921E-3</v>
      </c>
      <c r="K816" s="7">
        <f t="shared" si="20"/>
        <v>5.3225901427640832E-2</v>
      </c>
      <c r="L816" s="7"/>
    </row>
    <row r="817" spans="1:12" x14ac:dyDescent="0.25">
      <c r="A817" s="2" t="s">
        <v>902</v>
      </c>
      <c r="B817" s="7">
        <v>-2.7662517289072097E-3</v>
      </c>
      <c r="C817" s="7">
        <v>-1.1929747045178352E-2</v>
      </c>
      <c r="D817" s="7">
        <v>4.3290043290042934E-3</v>
      </c>
      <c r="E817" s="7">
        <v>-2.6334689968877223E-2</v>
      </c>
      <c r="F817" s="7">
        <v>5.8680563731070556E-3</v>
      </c>
      <c r="G817" s="7"/>
      <c r="H817" s="7">
        <f t="shared" si="21"/>
        <v>-8.6343081020142654E-3</v>
      </c>
      <c r="I817" s="7">
        <f t="shared" si="21"/>
        <v>-1.7797803418285407E-2</v>
      </c>
      <c r="J817" s="7">
        <f t="shared" si="21"/>
        <v>-1.5390520441027622E-3</v>
      </c>
      <c r="K817" s="7">
        <f t="shared" si="20"/>
        <v>-3.2202746341984279E-2</v>
      </c>
      <c r="L817" s="7"/>
    </row>
    <row r="818" spans="1:12" x14ac:dyDescent="0.25">
      <c r="A818" s="2" t="s">
        <v>903</v>
      </c>
      <c r="B818" s="7">
        <v>-2.3779161353236988E-2</v>
      </c>
      <c r="C818" s="7">
        <v>-1.5228978570651641E-2</v>
      </c>
      <c r="D818" s="7">
        <v>-1.7021276595744705E-2</v>
      </c>
      <c r="E818" s="7">
        <v>1.798776831754445E-3</v>
      </c>
      <c r="F818" s="7">
        <v>-1.4451686760656446E-2</v>
      </c>
      <c r="G818" s="7"/>
      <c r="H818" s="7">
        <f t="shared" si="21"/>
        <v>-9.3274745925805425E-3</v>
      </c>
      <c r="I818" s="7">
        <f t="shared" si="21"/>
        <v>-7.7729180999519532E-4</v>
      </c>
      <c r="J818" s="7">
        <f t="shared" si="21"/>
        <v>-2.5695898350882596E-3</v>
      </c>
      <c r="K818" s="7">
        <f t="shared" si="20"/>
        <v>1.6250463592410891E-2</v>
      </c>
      <c r="L818" s="7"/>
    </row>
    <row r="819" spans="1:12" x14ac:dyDescent="0.25">
      <c r="A819" s="2" t="s">
        <v>904</v>
      </c>
      <c r="B819" s="7">
        <v>2.3807695261500506E-2</v>
      </c>
      <c r="C819" s="7">
        <v>2.2012229016120211E-2</v>
      </c>
      <c r="D819" s="7">
        <v>1.2931034482758674E-2</v>
      </c>
      <c r="E819" s="7">
        <v>2.1936274509803955E-2</v>
      </c>
      <c r="F819" s="7">
        <v>1.4868040255179737E-2</v>
      </c>
      <c r="G819" s="7"/>
      <c r="H819" s="7">
        <f t="shared" si="21"/>
        <v>8.939655006320768E-3</v>
      </c>
      <c r="I819" s="7">
        <f t="shared" si="21"/>
        <v>7.1441887609404731E-3</v>
      </c>
      <c r="J819" s="7">
        <f t="shared" si="21"/>
        <v>-1.9370057724210632E-3</v>
      </c>
      <c r="K819" s="7">
        <f t="shared" si="20"/>
        <v>7.0682342546242172E-3</v>
      </c>
      <c r="L819" s="7"/>
    </row>
    <row r="820" spans="1:12" x14ac:dyDescent="0.25">
      <c r="A820" s="2" t="s">
        <v>905</v>
      </c>
      <c r="B820" s="7">
        <v>-5.3730426773102025E-4</v>
      </c>
      <c r="C820" s="7">
        <v>-1.0886298658456028E-2</v>
      </c>
      <c r="D820" s="7">
        <v>-1.6949152542372947E-2</v>
      </c>
      <c r="E820" s="7">
        <v>-1.4254650881855624E-2</v>
      </c>
      <c r="F820" s="7">
        <v>1.0372846193742458E-3</v>
      </c>
      <c r="G820" s="7"/>
      <c r="H820" s="7">
        <f t="shared" si="21"/>
        <v>-1.574588887105266E-3</v>
      </c>
      <c r="I820" s="7">
        <f t="shared" si="21"/>
        <v>-1.1923583277830274E-2</v>
      </c>
      <c r="J820" s="7">
        <f t="shared" si="21"/>
        <v>-1.7986437161747193E-2</v>
      </c>
      <c r="K820" s="7">
        <f t="shared" si="20"/>
        <v>-1.529193550122987E-2</v>
      </c>
      <c r="L820" s="7"/>
    </row>
    <row r="821" spans="1:12" x14ac:dyDescent="0.25">
      <c r="A821" s="2" t="s">
        <v>156</v>
      </c>
      <c r="B821" s="7">
        <v>-1.5937759649520267E-2</v>
      </c>
      <c r="C821" s="7">
        <v>3.6419821211786108E-3</v>
      </c>
      <c r="D821" s="7">
        <v>-7.0866141732283561E-2</v>
      </c>
      <c r="E821" s="7">
        <v>4.3678718757582669E-3</v>
      </c>
      <c r="F821" s="7">
        <v>-9.007465553582783E-3</v>
      </c>
      <c r="G821" s="7"/>
      <c r="H821" s="7">
        <f t="shared" si="21"/>
        <v>-6.9302940959374837E-3</v>
      </c>
      <c r="I821" s="7">
        <f t="shared" si="21"/>
        <v>1.2649447674761394E-2</v>
      </c>
      <c r="J821" s="7">
        <f t="shared" si="21"/>
        <v>-6.1858676178700778E-2</v>
      </c>
      <c r="K821" s="7">
        <f t="shared" si="20"/>
        <v>1.337533742934105E-2</v>
      </c>
      <c r="L821" s="7"/>
    </row>
    <row r="822" spans="1:12" x14ac:dyDescent="0.25">
      <c r="A822" s="2" t="s">
        <v>906</v>
      </c>
      <c r="B822" s="7">
        <v>-1.4588760699665082E-2</v>
      </c>
      <c r="C822" s="7">
        <v>-5.5970149253732338E-3</v>
      </c>
      <c r="D822" s="7">
        <v>-1.1673151750972721E-2</v>
      </c>
      <c r="E822" s="7">
        <v>6.7179675094661828E-3</v>
      </c>
      <c r="F822" s="7">
        <v>-1.1137778348199956E-2</v>
      </c>
      <c r="G822" s="7"/>
      <c r="H822" s="7">
        <f t="shared" si="21"/>
        <v>-3.4509823514651261E-3</v>
      </c>
      <c r="I822" s="7">
        <f t="shared" si="21"/>
        <v>5.5407634228267222E-3</v>
      </c>
      <c r="J822" s="7">
        <f t="shared" si="21"/>
        <v>-5.3537340277276524E-4</v>
      </c>
      <c r="K822" s="7">
        <f t="shared" si="20"/>
        <v>1.7855745857666139E-2</v>
      </c>
      <c r="L822" s="7"/>
    </row>
    <row r="823" spans="1:12" x14ac:dyDescent="0.25">
      <c r="A823" s="2" t="s">
        <v>907</v>
      </c>
      <c r="B823" s="7">
        <v>-4.6825115289109598E-2</v>
      </c>
      <c r="C823" s="7">
        <v>-2.9399233063485242E-2</v>
      </c>
      <c r="D823" s="7">
        <v>5.3278688524590168E-2</v>
      </c>
      <c r="E823" s="7">
        <v>-5.1772063933287038E-2</v>
      </c>
      <c r="F823" s="7">
        <v>-2.4921658340258168E-2</v>
      </c>
      <c r="G823" s="7"/>
      <c r="H823" s="7">
        <f t="shared" si="21"/>
        <v>-2.190345694885143E-2</v>
      </c>
      <c r="I823" s="7">
        <f t="shared" si="21"/>
        <v>-4.4775747232270735E-3</v>
      </c>
      <c r="J823" s="7">
        <f t="shared" si="21"/>
        <v>7.8200346864848336E-2</v>
      </c>
      <c r="K823" s="7">
        <f t="shared" si="20"/>
        <v>-2.685040559302887E-2</v>
      </c>
      <c r="L823" s="7"/>
    </row>
    <row r="824" spans="1:12" x14ac:dyDescent="0.25">
      <c r="A824" s="2" t="s">
        <v>908</v>
      </c>
      <c r="B824" s="7">
        <v>-1.5506041768526879E-2</v>
      </c>
      <c r="C824" s="7">
        <v>-9.4956741928677868E-3</v>
      </c>
      <c r="D824" s="7">
        <v>-2.7888446215139417E-2</v>
      </c>
      <c r="E824" s="7">
        <v>-5.4141227969127792E-3</v>
      </c>
      <c r="F824" s="7">
        <v>-6.0527657880661279E-3</v>
      </c>
      <c r="G824" s="7"/>
      <c r="H824" s="7">
        <f t="shared" si="21"/>
        <v>-9.4532759804607513E-3</v>
      </c>
      <c r="I824" s="7">
        <f t="shared" si="21"/>
        <v>-3.4429084048016589E-3</v>
      </c>
      <c r="J824" s="7">
        <f t="shared" si="21"/>
        <v>-2.183568042707329E-2</v>
      </c>
      <c r="K824" s="7">
        <f t="shared" si="20"/>
        <v>6.3864299115334866E-4</v>
      </c>
      <c r="L824" s="7"/>
    </row>
    <row r="825" spans="1:12" x14ac:dyDescent="0.25">
      <c r="A825" s="2" t="s">
        <v>909</v>
      </c>
      <c r="B825" s="7">
        <v>6.7505801279796884E-3</v>
      </c>
      <c r="C825" s="7">
        <v>3.4939121228163561E-3</v>
      </c>
      <c r="D825" s="7">
        <v>-7.905138339920903E-3</v>
      </c>
      <c r="E825" s="7">
        <v>2.2376634083146829E-2</v>
      </c>
      <c r="F825" s="7">
        <v>7.289703700733785E-3</v>
      </c>
      <c r="G825" s="7"/>
      <c r="H825" s="7">
        <f t="shared" si="21"/>
        <v>-5.3912357275409661E-4</v>
      </c>
      <c r="I825" s="7">
        <f t="shared" si="21"/>
        <v>-3.7957915779174289E-3</v>
      </c>
      <c r="J825" s="7">
        <f t="shared" si="21"/>
        <v>-1.5194842040654688E-2</v>
      </c>
      <c r="K825" s="7">
        <f t="shared" si="20"/>
        <v>1.5086930382413044E-2</v>
      </c>
      <c r="L825" s="7"/>
    </row>
    <row r="826" spans="1:12" x14ac:dyDescent="0.25">
      <c r="A826" s="2" t="s">
        <v>157</v>
      </c>
      <c r="B826" s="7">
        <v>1.6366495140080151E-2</v>
      </c>
      <c r="C826" s="7">
        <v>8.6501495087569769E-3</v>
      </c>
      <c r="D826" s="7">
        <v>7.6595744680850952E-2</v>
      </c>
      <c r="E826" s="7">
        <v>-2.1210374639769491E-2</v>
      </c>
      <c r="F826" s="7">
        <v>1.4279251114533986E-2</v>
      </c>
      <c r="G826" s="7"/>
      <c r="H826" s="7">
        <f t="shared" si="21"/>
        <v>2.0872440255461644E-3</v>
      </c>
      <c r="I826" s="7">
        <f t="shared" si="21"/>
        <v>-5.6291016057770094E-3</v>
      </c>
      <c r="J826" s="7">
        <f t="shared" si="21"/>
        <v>6.2316493566316966E-2</v>
      </c>
      <c r="K826" s="7">
        <f t="shared" si="20"/>
        <v>-3.5489625754303478E-2</v>
      </c>
      <c r="L826" s="7"/>
    </row>
    <row r="827" spans="1:12" x14ac:dyDescent="0.25">
      <c r="A827" s="2" t="s">
        <v>910</v>
      </c>
      <c r="B827" s="7">
        <v>-3.4188034188035177E-3</v>
      </c>
      <c r="C827" s="7">
        <v>-1.9185674696226007E-3</v>
      </c>
      <c r="D827" s="7">
        <v>4.2735042735044804E-3</v>
      </c>
      <c r="E827" s="7">
        <v>-2.9967572402996856E-2</v>
      </c>
      <c r="F827" s="7">
        <v>-7.3495462355336327E-3</v>
      </c>
      <c r="G827" s="7"/>
      <c r="H827" s="7">
        <f t="shared" si="21"/>
        <v>3.9307428167301151E-3</v>
      </c>
      <c r="I827" s="7">
        <f t="shared" si="21"/>
        <v>5.430978765911032E-3</v>
      </c>
      <c r="J827" s="7">
        <f t="shared" si="21"/>
        <v>1.1623050509038113E-2</v>
      </c>
      <c r="K827" s="7">
        <f t="shared" si="20"/>
        <v>-2.2618026167463223E-2</v>
      </c>
      <c r="L827" s="7"/>
    </row>
    <row r="828" spans="1:12" x14ac:dyDescent="0.25">
      <c r="A828" s="2" t="s">
        <v>911</v>
      </c>
      <c r="B828" s="7">
        <v>1.211072664359869E-2</v>
      </c>
      <c r="C828" s="7">
        <v>-2.7636054421769085E-3</v>
      </c>
      <c r="D828" s="7">
        <v>4.9327354260089606E-2</v>
      </c>
      <c r="E828" s="7">
        <v>6.6038860412444889E-2</v>
      </c>
      <c r="F828" s="7">
        <v>7.5217594663847809E-3</v>
      </c>
      <c r="G828" s="7"/>
      <c r="H828" s="7">
        <f t="shared" si="21"/>
        <v>4.5889671772139096E-3</v>
      </c>
      <c r="I828" s="7">
        <f t="shared" si="21"/>
        <v>-1.0285364908561689E-2</v>
      </c>
      <c r="J828" s="7">
        <f t="shared" si="21"/>
        <v>4.1805594793704826E-2</v>
      </c>
      <c r="K828" s="7">
        <f t="shared" si="20"/>
        <v>5.8517100946060108E-2</v>
      </c>
      <c r="L828" s="7"/>
    </row>
    <row r="829" spans="1:12" x14ac:dyDescent="0.25">
      <c r="A829" s="2" t="s">
        <v>912</v>
      </c>
      <c r="B829" s="7">
        <v>-1.3722004976893021E-2</v>
      </c>
      <c r="C829" s="7">
        <v>1.4230271668822736E-2</v>
      </c>
      <c r="D829" s="7">
        <v>-0.12204724409448819</v>
      </c>
      <c r="E829" s="7">
        <v>-3.4081750143926226E-2</v>
      </c>
      <c r="F829" s="7">
        <v>-1.8623485890298941E-3</v>
      </c>
      <c r="G829" s="7"/>
      <c r="H829" s="7">
        <f t="shared" si="21"/>
        <v>-1.1859656387863127E-2</v>
      </c>
      <c r="I829" s="7">
        <f t="shared" si="21"/>
        <v>1.609262025785263E-2</v>
      </c>
      <c r="J829" s="7">
        <f t="shared" si="21"/>
        <v>-0.1201848955054583</v>
      </c>
      <c r="K829" s="7">
        <f t="shared" si="20"/>
        <v>-3.2219401554896332E-2</v>
      </c>
      <c r="L829" s="7"/>
    </row>
    <row r="830" spans="1:12" x14ac:dyDescent="0.25">
      <c r="A830" s="2" t="s">
        <v>913</v>
      </c>
      <c r="B830" s="7">
        <v>-2.5429600886917925E-2</v>
      </c>
      <c r="C830" s="7">
        <v>-4.3103448275849665E-4</v>
      </c>
      <c r="D830" s="7">
        <v>-4.8689138576779034E-2</v>
      </c>
      <c r="E830" s="7">
        <v>1.0236128882168183E-2</v>
      </c>
      <c r="F830" s="7">
        <v>-1.4399175760970717E-2</v>
      </c>
      <c r="G830" s="7"/>
      <c r="H830" s="7">
        <f t="shared" si="21"/>
        <v>-1.1030425125947207E-2</v>
      </c>
      <c r="I830" s="7">
        <f t="shared" si="21"/>
        <v>1.3968141278212221E-2</v>
      </c>
      <c r="J830" s="7">
        <f t="shared" si="21"/>
        <v>-3.4289962815808317E-2</v>
      </c>
      <c r="K830" s="7">
        <f t="shared" si="20"/>
        <v>2.46353046431389E-2</v>
      </c>
      <c r="L830" s="7"/>
    </row>
    <row r="831" spans="1:12" x14ac:dyDescent="0.25">
      <c r="A831" s="2" t="s">
        <v>158</v>
      </c>
      <c r="B831" s="7">
        <v>-7.9736046191916099E-3</v>
      </c>
      <c r="C831" s="7">
        <v>-1.8508725542041193E-2</v>
      </c>
      <c r="D831" s="7">
        <v>-1.1111111111111183E-2</v>
      </c>
      <c r="E831" s="7">
        <v>5.1443937799602324E-3</v>
      </c>
      <c r="F831" s="7">
        <v>-1.7894245646781326E-2</v>
      </c>
      <c r="G831" s="7"/>
      <c r="H831" s="7">
        <f t="shared" si="21"/>
        <v>9.9206410275897161E-3</v>
      </c>
      <c r="I831" s="7">
        <f t="shared" si="21"/>
        <v>-6.1447989525986735E-4</v>
      </c>
      <c r="J831" s="7">
        <f t="shared" si="21"/>
        <v>6.7831345356701434E-3</v>
      </c>
      <c r="K831" s="7">
        <f t="shared" si="20"/>
        <v>2.3038639426741558E-2</v>
      </c>
      <c r="L831" s="7"/>
    </row>
    <row r="832" spans="1:12" x14ac:dyDescent="0.25">
      <c r="A832" s="2" t="s">
        <v>914</v>
      </c>
      <c r="B832" s="7">
        <v>-3.356854148112709E-3</v>
      </c>
      <c r="C832" s="7">
        <v>7.8882848310413145E-3</v>
      </c>
      <c r="D832" s="7">
        <v>5.058365758754868E-2</v>
      </c>
      <c r="E832" s="7">
        <v>4.7904925263415832E-2</v>
      </c>
      <c r="F832" s="7">
        <v>-1.1946317615054713E-3</v>
      </c>
      <c r="G832" s="7"/>
      <c r="H832" s="7">
        <f t="shared" si="21"/>
        <v>-2.1622223866072376E-3</v>
      </c>
      <c r="I832" s="7">
        <f t="shared" si="21"/>
        <v>9.0829165925467859E-3</v>
      </c>
      <c r="J832" s="7">
        <f t="shared" si="21"/>
        <v>5.1778289349054152E-2</v>
      </c>
      <c r="K832" s="7">
        <f t="shared" si="20"/>
        <v>4.9099557024921303E-2</v>
      </c>
      <c r="L832" s="7"/>
    </row>
    <row r="833" spans="1:12" x14ac:dyDescent="0.25">
      <c r="A833" s="2" t="s">
        <v>915</v>
      </c>
      <c r="B833" s="7">
        <v>1.9218889422747409E-3</v>
      </c>
      <c r="C833" s="7">
        <v>2.1324234993058688E-4</v>
      </c>
      <c r="D833" s="7">
        <v>-1.1538461538461608E-2</v>
      </c>
      <c r="E833" s="7">
        <v>-1.8518518518518379E-2</v>
      </c>
      <c r="F833" s="7">
        <v>-8.6762366700898763E-4</v>
      </c>
      <c r="G833" s="7"/>
      <c r="H833" s="7">
        <f t="shared" si="21"/>
        <v>2.7895126092837286E-3</v>
      </c>
      <c r="I833" s="7">
        <f t="shared" si="21"/>
        <v>1.0808660169395745E-3</v>
      </c>
      <c r="J833" s="7">
        <f t="shared" si="21"/>
        <v>-1.0670837871452621E-2</v>
      </c>
      <c r="K833" s="7">
        <f t="shared" si="20"/>
        <v>-1.7650894851509391E-2</v>
      </c>
      <c r="L833" s="7"/>
    </row>
    <row r="834" spans="1:12" x14ac:dyDescent="0.25">
      <c r="A834" s="2" t="s">
        <v>916</v>
      </c>
      <c r="B834" s="7">
        <v>4.8582121779185305E-2</v>
      </c>
      <c r="C834" s="7">
        <v>-1.2778191885847168E-3</v>
      </c>
      <c r="D834" s="7">
        <v>4.0000000000000036E-2</v>
      </c>
      <c r="E834" s="7">
        <v>9.6518987341772E-2</v>
      </c>
      <c r="F834" s="7">
        <v>3.0947814727501077E-2</v>
      </c>
      <c r="G834" s="7"/>
      <c r="H834" s="7">
        <f t="shared" si="21"/>
        <v>1.7634307051684228E-2</v>
      </c>
      <c r="I834" s="7">
        <f t="shared" si="21"/>
        <v>-3.2225633916085794E-2</v>
      </c>
      <c r="J834" s="7">
        <f t="shared" si="21"/>
        <v>9.0521852724989582E-3</v>
      </c>
      <c r="K834" s="7">
        <f t="shared" si="21"/>
        <v>6.5571172614270923E-2</v>
      </c>
      <c r="L834" s="7"/>
    </row>
    <row r="835" spans="1:12" x14ac:dyDescent="0.25">
      <c r="A835" s="2" t="s">
        <v>917</v>
      </c>
      <c r="B835" s="7">
        <v>-2.1135691137100232E-2</v>
      </c>
      <c r="C835" s="7">
        <v>1.1961206896551779E-2</v>
      </c>
      <c r="D835" s="7">
        <v>4.6025104602510414E-2</v>
      </c>
      <c r="E835" s="7">
        <v>5.2456286427976728E-2</v>
      </c>
      <c r="F835" s="7">
        <v>-1.5918505325509535E-3</v>
      </c>
      <c r="G835" s="7"/>
      <c r="H835" s="7">
        <f t="shared" ref="H835:K898" si="22">B835-$F835</f>
        <v>-1.9543840604549279E-2</v>
      </c>
      <c r="I835" s="7">
        <f t="shared" si="22"/>
        <v>1.3553057429102733E-2</v>
      </c>
      <c r="J835" s="7">
        <f t="shared" si="22"/>
        <v>4.7616955135061367E-2</v>
      </c>
      <c r="K835" s="7">
        <f t="shared" si="22"/>
        <v>5.4048136960527682E-2</v>
      </c>
      <c r="L835" s="7"/>
    </row>
    <row r="836" spans="1:12" x14ac:dyDescent="0.25">
      <c r="A836" s="2" t="s">
        <v>159</v>
      </c>
      <c r="B836" s="7">
        <v>-2.6274267681964836E-2</v>
      </c>
      <c r="C836" s="7">
        <v>-3.4138218151540389E-2</v>
      </c>
      <c r="D836" s="7">
        <v>-5.5335968379446543E-2</v>
      </c>
      <c r="E836" s="7">
        <v>5.0209205020921299E-3</v>
      </c>
      <c r="F836" s="7">
        <v>-1.5444149702443011E-2</v>
      </c>
      <c r="G836" s="7"/>
      <c r="H836" s="7">
        <f t="shared" si="22"/>
        <v>-1.0830117979521825E-2</v>
      </c>
      <c r="I836" s="7">
        <f t="shared" si="22"/>
        <v>-1.8694068449097379E-2</v>
      </c>
      <c r="J836" s="7">
        <f t="shared" si="22"/>
        <v>-3.9891818677003532E-2</v>
      </c>
      <c r="K836" s="7">
        <f t="shared" si="22"/>
        <v>2.0465070204535141E-2</v>
      </c>
      <c r="L836" s="7"/>
    </row>
    <row r="837" spans="1:12" x14ac:dyDescent="0.25">
      <c r="A837" s="2" t="s">
        <v>918</v>
      </c>
      <c r="B837" s="7">
        <v>-1.9638173380859381E-2</v>
      </c>
      <c r="C837" s="7">
        <v>8.0789004301751177E-3</v>
      </c>
      <c r="D837" s="7">
        <v>3.9682539682539542E-3</v>
      </c>
      <c r="E837" s="7">
        <v>-3.8229376257545189E-2</v>
      </c>
      <c r="F837" s="7">
        <v>-2.830708720074071E-4</v>
      </c>
      <c r="G837" s="7"/>
      <c r="H837" s="7">
        <f t="shared" si="22"/>
        <v>-1.9355102508851973E-2</v>
      </c>
      <c r="I837" s="7">
        <f t="shared" si="22"/>
        <v>8.3619713021825248E-3</v>
      </c>
      <c r="J837" s="7">
        <f t="shared" si="22"/>
        <v>4.2513248402613613E-3</v>
      </c>
      <c r="K837" s="7">
        <f t="shared" si="22"/>
        <v>-3.7946305385537782E-2</v>
      </c>
      <c r="L837" s="7"/>
    </row>
    <row r="838" spans="1:12" x14ac:dyDescent="0.25">
      <c r="A838" s="2" t="s">
        <v>919</v>
      </c>
      <c r="B838" s="7">
        <v>5.9535890670454616E-3</v>
      </c>
      <c r="C838" s="7">
        <v>-4.5953002610965576E-3</v>
      </c>
      <c r="D838" s="7">
        <v>0</v>
      </c>
      <c r="E838" s="7">
        <v>3.2977691561590694E-2</v>
      </c>
      <c r="F838" s="7">
        <v>5.9147063378277576E-3</v>
      </c>
      <c r="G838" s="7"/>
      <c r="H838" s="7">
        <f t="shared" si="22"/>
        <v>3.8882729217704082E-5</v>
      </c>
      <c r="I838" s="7">
        <f t="shared" si="22"/>
        <v>-1.0510006598924315E-2</v>
      </c>
      <c r="J838" s="7">
        <f t="shared" si="22"/>
        <v>-5.9147063378277576E-3</v>
      </c>
      <c r="K838" s="7">
        <f t="shared" si="22"/>
        <v>2.7062985223762936E-2</v>
      </c>
      <c r="L838" s="7"/>
    </row>
    <row r="839" spans="1:12" x14ac:dyDescent="0.25">
      <c r="A839" s="2" t="s">
        <v>920</v>
      </c>
      <c r="B839" s="7">
        <v>1.4690739342349213E-2</v>
      </c>
      <c r="C839" s="7">
        <v>7.5765547721771132E-3</v>
      </c>
      <c r="D839" s="7">
        <v>-7.6923076923076872E-2</v>
      </c>
      <c r="E839" s="7">
        <v>-1.218176840952645E-2</v>
      </c>
      <c r="F839" s="7">
        <v>1.3579953113211918E-2</v>
      </c>
      <c r="G839" s="7"/>
      <c r="H839" s="7">
        <f t="shared" si="22"/>
        <v>1.110786229137295E-3</v>
      </c>
      <c r="I839" s="7">
        <f t="shared" si="22"/>
        <v>-6.0033983410348046E-3</v>
      </c>
      <c r="J839" s="7">
        <f t="shared" si="22"/>
        <v>-9.050303003628879E-2</v>
      </c>
      <c r="K839" s="7">
        <f t="shared" si="22"/>
        <v>-2.5761721522738368E-2</v>
      </c>
      <c r="L839" s="7"/>
    </row>
    <row r="840" spans="1:12" x14ac:dyDescent="0.25">
      <c r="A840" s="2" t="s">
        <v>160</v>
      </c>
      <c r="B840" s="7">
        <v>-2.1692411014103574E-2</v>
      </c>
      <c r="C840" s="7">
        <v>6.8870523415978102E-3</v>
      </c>
      <c r="D840" s="7">
        <v>4.5977011494252817E-2</v>
      </c>
      <c r="E840" s="7">
        <v>-4.4092633782546131E-2</v>
      </c>
      <c r="F840" s="7">
        <v>-3.8836518432215916E-3</v>
      </c>
      <c r="G840" s="7"/>
      <c r="H840" s="7">
        <f t="shared" si="22"/>
        <v>-1.7808759170881983E-2</v>
      </c>
      <c r="I840" s="7">
        <f t="shared" si="22"/>
        <v>1.0770704184819402E-2</v>
      </c>
      <c r="J840" s="7">
        <f t="shared" si="22"/>
        <v>4.9860663337474409E-2</v>
      </c>
      <c r="K840" s="7">
        <f t="shared" si="22"/>
        <v>-4.020898193932454E-2</v>
      </c>
      <c r="L840" s="7"/>
    </row>
    <row r="841" spans="1:12" x14ac:dyDescent="0.25">
      <c r="A841" s="2" t="s">
        <v>921</v>
      </c>
      <c r="B841" s="7">
        <v>3.7751112309558632E-3</v>
      </c>
      <c r="C841" s="7">
        <v>-3.0632724199852746E-3</v>
      </c>
      <c r="D841" s="7">
        <v>0</v>
      </c>
      <c r="E841" s="7">
        <v>-4.4863784053986389E-2</v>
      </c>
      <c r="F841" s="7">
        <v>4.7585745560692061E-3</v>
      </c>
      <c r="G841" s="7"/>
      <c r="H841" s="7">
        <f t="shared" si="22"/>
        <v>-9.8346332511334289E-4</v>
      </c>
      <c r="I841" s="7">
        <f t="shared" si="22"/>
        <v>-7.8218469760544806E-3</v>
      </c>
      <c r="J841" s="7">
        <f t="shared" si="22"/>
        <v>-4.7585745560692061E-3</v>
      </c>
      <c r="K841" s="7">
        <f t="shared" si="22"/>
        <v>-4.9622358610055595E-2</v>
      </c>
      <c r="L841" s="7"/>
    </row>
    <row r="842" spans="1:12" x14ac:dyDescent="0.25">
      <c r="A842" s="2" t="s">
        <v>922</v>
      </c>
      <c r="B842" s="7">
        <v>1.2974597104616237E-2</v>
      </c>
      <c r="C842" s="7">
        <v>-8.4432717678095681E-4</v>
      </c>
      <c r="D842" s="7">
        <v>6.5306122448979487E-2</v>
      </c>
      <c r="E842" s="7">
        <v>7.800080829853151E-2</v>
      </c>
      <c r="F842" s="7">
        <v>-3.0893277996559831E-3</v>
      </c>
      <c r="G842" s="7"/>
      <c r="H842" s="7">
        <f t="shared" si="22"/>
        <v>1.606392490427222E-2</v>
      </c>
      <c r="I842" s="7">
        <f t="shared" si="22"/>
        <v>2.2450006228750263E-3</v>
      </c>
      <c r="J842" s="7">
        <f t="shared" si="22"/>
        <v>6.839545024863547E-2</v>
      </c>
      <c r="K842" s="7">
        <f t="shared" si="22"/>
        <v>8.1090136098187493E-2</v>
      </c>
      <c r="L842" s="7"/>
    </row>
    <row r="843" spans="1:12" x14ac:dyDescent="0.25">
      <c r="A843" s="2" t="s">
        <v>923</v>
      </c>
      <c r="B843" s="7">
        <v>-8.3293830839031857E-3</v>
      </c>
      <c r="C843" s="7">
        <v>-1.8846432639536004E-2</v>
      </c>
      <c r="D843" s="7">
        <v>-2.7777777777777679E-2</v>
      </c>
      <c r="E843" s="7">
        <v>-1.4340725003319621E-2</v>
      </c>
      <c r="F843" s="7">
        <v>-8.2520611363995355E-3</v>
      </c>
      <c r="G843" s="7"/>
      <c r="H843" s="7">
        <f t="shared" si="22"/>
        <v>-7.7321947503650179E-5</v>
      </c>
      <c r="I843" s="7">
        <f t="shared" si="22"/>
        <v>-1.0594371503136468E-2</v>
      </c>
      <c r="J843" s="7">
        <f t="shared" si="22"/>
        <v>-1.9525716641378144E-2</v>
      </c>
      <c r="K843" s="7">
        <f t="shared" si="22"/>
        <v>-6.0886638669200854E-3</v>
      </c>
      <c r="L843" s="7"/>
    </row>
    <row r="844" spans="1:12" x14ac:dyDescent="0.25">
      <c r="A844" s="2" t="s">
        <v>924</v>
      </c>
      <c r="B844" s="7">
        <v>1.1854186652048737E-2</v>
      </c>
      <c r="C844" s="7">
        <v>1.4518303432540236E-3</v>
      </c>
      <c r="D844" s="7">
        <v>6.3291139240506222E-2</v>
      </c>
      <c r="E844" s="7">
        <v>0.11175081192795999</v>
      </c>
      <c r="F844" s="7">
        <v>8.7131214858804373E-3</v>
      </c>
      <c r="G844" s="7"/>
      <c r="H844" s="7">
        <f t="shared" si="22"/>
        <v>3.1410651661682998E-3</v>
      </c>
      <c r="I844" s="7">
        <f t="shared" si="22"/>
        <v>-7.2612911426264137E-3</v>
      </c>
      <c r="J844" s="7">
        <f t="shared" si="22"/>
        <v>5.4578017754625785E-2</v>
      </c>
      <c r="K844" s="7">
        <f t="shared" si="22"/>
        <v>0.10303769044207955</v>
      </c>
      <c r="L844" s="7"/>
    </row>
    <row r="845" spans="1:12" x14ac:dyDescent="0.25">
      <c r="A845" s="2" t="s">
        <v>161</v>
      </c>
      <c r="B845" s="7">
        <v>-9.5018324962671263E-3</v>
      </c>
      <c r="C845" s="7">
        <v>-1.4713395320322897E-2</v>
      </c>
      <c r="D845" s="7">
        <v>4.237288135593209E-3</v>
      </c>
      <c r="E845" s="7">
        <v>7.8857312899867082E-3</v>
      </c>
      <c r="F845" s="7">
        <v>-8.9357940159231486E-3</v>
      </c>
      <c r="G845" s="7"/>
      <c r="H845" s="7">
        <f t="shared" si="22"/>
        <v>-5.6603848034397775E-4</v>
      </c>
      <c r="I845" s="7">
        <f t="shared" si="22"/>
        <v>-5.7776013043997487E-3</v>
      </c>
      <c r="J845" s="7">
        <f t="shared" si="22"/>
        <v>1.3173082151516358E-2</v>
      </c>
      <c r="K845" s="7">
        <f t="shared" si="22"/>
        <v>1.6821525305909857E-2</v>
      </c>
      <c r="L845" s="7"/>
    </row>
    <row r="846" spans="1:12" x14ac:dyDescent="0.25">
      <c r="A846" s="2" t="s">
        <v>925</v>
      </c>
      <c r="B846" s="7">
        <v>1.9301279833967344E-2</v>
      </c>
      <c r="C846" s="7">
        <v>2.9668595476065374E-2</v>
      </c>
      <c r="D846" s="7">
        <v>4.4247787610619538E-2</v>
      </c>
      <c r="E846" s="7">
        <v>1.4337458496830546E-2</v>
      </c>
      <c r="F846" s="7">
        <v>9.2407939601200084E-3</v>
      </c>
      <c r="G846" s="7"/>
      <c r="H846" s="7">
        <f t="shared" si="22"/>
        <v>1.0060485873847336E-2</v>
      </c>
      <c r="I846" s="7">
        <f t="shared" si="22"/>
        <v>2.0427801515945365E-2</v>
      </c>
      <c r="J846" s="7">
        <f t="shared" si="22"/>
        <v>3.5006993650499529E-2</v>
      </c>
      <c r="K846" s="7">
        <f t="shared" si="22"/>
        <v>5.0966645367105379E-3</v>
      </c>
      <c r="L846" s="7"/>
    </row>
    <row r="847" spans="1:12" x14ac:dyDescent="0.25">
      <c r="A847" s="2" t="s">
        <v>926</v>
      </c>
      <c r="B847" s="7">
        <v>8.8970920596655123E-2</v>
      </c>
      <c r="C847" s="7">
        <v>4.3015472402063049E-2</v>
      </c>
      <c r="D847" s="7">
        <v>-1.7391304347826098E-2</v>
      </c>
      <c r="E847" s="7">
        <v>7.5998700876908298E-2</v>
      </c>
      <c r="F847" s="7">
        <v>5.5434472345454289E-2</v>
      </c>
      <c r="G847" s="7"/>
      <c r="H847" s="7">
        <f t="shared" si="22"/>
        <v>3.3536448251200834E-2</v>
      </c>
      <c r="I847" s="7">
        <f t="shared" si="22"/>
        <v>-1.241899994339124E-2</v>
      </c>
      <c r="J847" s="7">
        <f t="shared" si="22"/>
        <v>-7.2825776693280386E-2</v>
      </c>
      <c r="K847" s="7">
        <f t="shared" si="22"/>
        <v>2.056422853145401E-2</v>
      </c>
      <c r="L847" s="7"/>
    </row>
    <row r="848" spans="1:12" x14ac:dyDescent="0.25">
      <c r="A848" s="2" t="s">
        <v>927</v>
      </c>
      <c r="B848" s="7">
        <v>-3.3211944646758917E-2</v>
      </c>
      <c r="C848" s="7">
        <v>-1.2140921409214189E-2</v>
      </c>
      <c r="D848" s="7">
        <v>-6.5040650406504086E-2</v>
      </c>
      <c r="E848" s="7">
        <v>-4.822256568778982E-2</v>
      </c>
      <c r="F848" s="7">
        <v>-2.0777877333723382E-2</v>
      </c>
      <c r="G848" s="7"/>
      <c r="H848" s="7">
        <f t="shared" si="22"/>
        <v>-1.2434067313035535E-2</v>
      </c>
      <c r="I848" s="7">
        <f t="shared" si="22"/>
        <v>8.6369559245091931E-3</v>
      </c>
      <c r="J848" s="7">
        <f t="shared" si="22"/>
        <v>-4.4262773072780703E-2</v>
      </c>
      <c r="K848" s="7">
        <f t="shared" si="22"/>
        <v>-2.7444688354066438E-2</v>
      </c>
      <c r="L848" s="7"/>
    </row>
    <row r="849" spans="1:12" x14ac:dyDescent="0.25">
      <c r="A849" s="2" t="s">
        <v>928</v>
      </c>
      <c r="B849" s="7">
        <v>4.1687998244717139E-3</v>
      </c>
      <c r="C849" s="7">
        <v>5.3400174367914666E-3</v>
      </c>
      <c r="D849" s="7">
        <v>1.6528925619834656E-2</v>
      </c>
      <c r="E849" s="7">
        <v>-2.2658610271903301E-2</v>
      </c>
      <c r="F849" s="7">
        <v>5.5978774823999267E-3</v>
      </c>
      <c r="G849" s="7"/>
      <c r="H849" s="7">
        <f t="shared" si="22"/>
        <v>-1.4290776579282127E-3</v>
      </c>
      <c r="I849" s="7">
        <f t="shared" si="22"/>
        <v>-2.578600456084601E-4</v>
      </c>
      <c r="J849" s="7">
        <f t="shared" si="22"/>
        <v>1.0931048137434729E-2</v>
      </c>
      <c r="K849" s="7">
        <f t="shared" si="22"/>
        <v>-2.8256487754303228E-2</v>
      </c>
      <c r="L849" s="7"/>
    </row>
    <row r="850" spans="1:12" x14ac:dyDescent="0.25">
      <c r="A850" s="2" t="s">
        <v>162</v>
      </c>
      <c r="B850" s="7">
        <v>3.8913362701908927E-3</v>
      </c>
      <c r="C850" s="7">
        <v>-1.3060513713538668E-3</v>
      </c>
      <c r="D850" s="7">
        <v>-8.1967213114754189E-3</v>
      </c>
      <c r="E850" s="7">
        <v>-1.5082956259425684E-3</v>
      </c>
      <c r="F850" s="7">
        <v>9.6139820450598101E-3</v>
      </c>
      <c r="G850" s="7"/>
      <c r="H850" s="7">
        <f t="shared" si="22"/>
        <v>-5.7226457748689175E-3</v>
      </c>
      <c r="I850" s="7">
        <f t="shared" si="22"/>
        <v>-1.0920033416413677E-2</v>
      </c>
      <c r="J850" s="7">
        <f t="shared" si="22"/>
        <v>-1.7810703356535229E-2</v>
      </c>
      <c r="K850" s="7">
        <f t="shared" si="22"/>
        <v>-1.1122277671002379E-2</v>
      </c>
      <c r="L850" s="7"/>
    </row>
    <row r="851" spans="1:12" x14ac:dyDescent="0.25">
      <c r="A851" s="2" t="s">
        <v>929</v>
      </c>
      <c r="B851" s="7">
        <v>-1.905320240363606E-3</v>
      </c>
      <c r="C851" s="7">
        <v>1.6259263355823395E-2</v>
      </c>
      <c r="D851" s="7">
        <v>8.2644628099173278E-3</v>
      </c>
      <c r="E851" s="7">
        <v>7.0563539480058113E-2</v>
      </c>
      <c r="F851" s="7">
        <v>1.3618682272863003E-2</v>
      </c>
      <c r="G851" s="7"/>
      <c r="H851" s="7">
        <f t="shared" si="22"/>
        <v>-1.5524002513226609E-2</v>
      </c>
      <c r="I851" s="7">
        <f t="shared" si="22"/>
        <v>2.6405810829603915E-3</v>
      </c>
      <c r="J851" s="7">
        <f t="shared" si="22"/>
        <v>-5.3542194629456752E-3</v>
      </c>
      <c r="K851" s="7">
        <f t="shared" si="22"/>
        <v>5.694485720719511E-2</v>
      </c>
      <c r="L851" s="7"/>
    </row>
    <row r="852" spans="1:12" x14ac:dyDescent="0.25">
      <c r="A852" s="2" t="s">
        <v>930</v>
      </c>
      <c r="B852" s="7">
        <v>-4.2385964912280638E-2</v>
      </c>
      <c r="C852" s="7">
        <v>-1.1059500110599529E-4</v>
      </c>
      <c r="D852" s="7">
        <v>5.6768558951965087E-2</v>
      </c>
      <c r="E852" s="7">
        <v>7.8112286411715637E-3</v>
      </c>
      <c r="F852" s="7">
        <v>-1.0585979163175718E-2</v>
      </c>
      <c r="G852" s="7"/>
      <c r="H852" s="7">
        <f t="shared" si="22"/>
        <v>-3.179998574910492E-2</v>
      </c>
      <c r="I852" s="7">
        <f t="shared" si="22"/>
        <v>1.0475384162069723E-2</v>
      </c>
      <c r="J852" s="7">
        <f t="shared" si="22"/>
        <v>6.7354538115140805E-2</v>
      </c>
      <c r="K852" s="7">
        <f t="shared" si="22"/>
        <v>1.8397207804347282E-2</v>
      </c>
      <c r="L852" s="7"/>
    </row>
    <row r="853" spans="1:12" x14ac:dyDescent="0.25">
      <c r="A853" s="2" t="s">
        <v>931</v>
      </c>
      <c r="B853" s="7">
        <v>-3.7357292440721501E-2</v>
      </c>
      <c r="C853" s="7">
        <v>-1.9518542615484691E-2</v>
      </c>
      <c r="D853" s="7">
        <v>4.3859649122808264E-3</v>
      </c>
      <c r="E853" s="7">
        <v>-1.7585931254995968E-2</v>
      </c>
      <c r="F853" s="7">
        <v>-2.5001944970306722E-2</v>
      </c>
      <c r="G853" s="7"/>
      <c r="H853" s="7">
        <f t="shared" si="22"/>
        <v>-1.2355347470414779E-2</v>
      </c>
      <c r="I853" s="7">
        <f t="shared" si="22"/>
        <v>5.4834023548220312E-3</v>
      </c>
      <c r="J853" s="7">
        <f t="shared" si="22"/>
        <v>2.9387909882587548E-2</v>
      </c>
      <c r="K853" s="7">
        <f t="shared" si="22"/>
        <v>7.4160137153107542E-3</v>
      </c>
      <c r="L853" s="7"/>
    </row>
    <row r="854" spans="1:12" x14ac:dyDescent="0.25">
      <c r="A854" s="2" t="s">
        <v>932</v>
      </c>
      <c r="B854" s="7">
        <v>-1.7521736244773267E-2</v>
      </c>
      <c r="C854" s="7">
        <v>-3.8885288399221896E-3</v>
      </c>
      <c r="D854" s="7">
        <v>2.7027027027026751E-2</v>
      </c>
      <c r="E854" s="7">
        <v>3.5939052666445814E-2</v>
      </c>
      <c r="F854" s="7">
        <v>-4.10126085362017E-3</v>
      </c>
      <c r="G854" s="7"/>
      <c r="H854" s="7">
        <f t="shared" si="22"/>
        <v>-1.3420475391153097E-2</v>
      </c>
      <c r="I854" s="7">
        <f t="shared" si="22"/>
        <v>2.1273201369798045E-4</v>
      </c>
      <c r="J854" s="7">
        <f t="shared" si="22"/>
        <v>3.1128287880646921E-2</v>
      </c>
      <c r="K854" s="7">
        <f t="shared" si="22"/>
        <v>4.0040313520065984E-2</v>
      </c>
      <c r="L854" s="7"/>
    </row>
    <row r="855" spans="1:12" x14ac:dyDescent="0.25">
      <c r="A855" s="2" t="s">
        <v>163</v>
      </c>
      <c r="B855" s="7">
        <v>-1.5421812716460925E-2</v>
      </c>
      <c r="C855" s="7">
        <v>-6.332510464741925E-3</v>
      </c>
      <c r="D855" s="7">
        <v>2.7777777777777901E-2</v>
      </c>
      <c r="E855" s="7">
        <v>-2.4781100280851787E-3</v>
      </c>
      <c r="F855" s="7">
        <v>-7.4543841930141408E-3</v>
      </c>
      <c r="G855" s="7"/>
      <c r="H855" s="7">
        <f t="shared" si="22"/>
        <v>-7.9674285234467845E-3</v>
      </c>
      <c r="I855" s="7">
        <f t="shared" si="22"/>
        <v>1.1218737282722158E-3</v>
      </c>
      <c r="J855" s="7">
        <f t="shared" si="22"/>
        <v>3.5232161970792042E-2</v>
      </c>
      <c r="K855" s="7">
        <f t="shared" si="22"/>
        <v>4.9762741649289621E-3</v>
      </c>
      <c r="L855" s="7"/>
    </row>
    <row r="856" spans="1:12" x14ac:dyDescent="0.25">
      <c r="A856" s="2" t="s">
        <v>933</v>
      </c>
      <c r="B856" s="7">
        <v>7.5555243182457099E-2</v>
      </c>
      <c r="C856" s="7">
        <v>3.0869661429519857E-2</v>
      </c>
      <c r="D856" s="7">
        <v>-1.3698630136986245E-2</v>
      </c>
      <c r="E856" s="7">
        <v>-3.1984647369262764E-2</v>
      </c>
      <c r="F856" s="7">
        <v>2.4626375646783716E-2</v>
      </c>
      <c r="G856" s="7"/>
      <c r="H856" s="7">
        <f t="shared" si="22"/>
        <v>5.0928867535673383E-2</v>
      </c>
      <c r="I856" s="7">
        <f t="shared" si="22"/>
        <v>6.243285782736141E-3</v>
      </c>
      <c r="J856" s="7">
        <f t="shared" si="22"/>
        <v>-3.8325005783769961E-2</v>
      </c>
      <c r="K856" s="7">
        <f t="shared" si="22"/>
        <v>-5.661102301604648E-2</v>
      </c>
      <c r="L856" s="7"/>
    </row>
    <row r="857" spans="1:12" x14ac:dyDescent="0.25">
      <c r="A857" s="2" t="s">
        <v>934</v>
      </c>
      <c r="B857" s="7">
        <v>-3.0459965928449684E-2</v>
      </c>
      <c r="C857" s="7">
        <v>8.8593576965667609E-4</v>
      </c>
      <c r="D857" s="7">
        <v>-1.7937219730941756E-2</v>
      </c>
      <c r="E857" s="7">
        <v>-3.8887181063633536E-2</v>
      </c>
      <c r="F857" s="7">
        <v>-6.0825980264187507E-3</v>
      </c>
      <c r="G857" s="7"/>
      <c r="H857" s="7">
        <f t="shared" si="22"/>
        <v>-2.4377367902030933E-2</v>
      </c>
      <c r="I857" s="7">
        <f t="shared" si="22"/>
        <v>6.9685337960754268E-3</v>
      </c>
      <c r="J857" s="7">
        <f t="shared" si="22"/>
        <v>-1.1854621704523005E-2</v>
      </c>
      <c r="K857" s="7">
        <f t="shared" si="22"/>
        <v>-3.2804583037214785E-2</v>
      </c>
      <c r="L857" s="7"/>
    </row>
    <row r="858" spans="1:12" x14ac:dyDescent="0.25">
      <c r="A858" s="2" t="s">
        <v>935</v>
      </c>
      <c r="B858" s="7">
        <v>-1.9640590553811177E-2</v>
      </c>
      <c r="C858" s="7">
        <v>3.5431716546267644E-2</v>
      </c>
      <c r="D858" s="7">
        <v>-3.8793103448275801E-2</v>
      </c>
      <c r="E858" s="7">
        <v>8.3610926049300538E-2</v>
      </c>
      <c r="F858" s="7">
        <v>-7.3877137474703813E-3</v>
      </c>
      <c r="G858" s="7"/>
      <c r="H858" s="7">
        <f t="shared" si="22"/>
        <v>-1.2252876806340796E-2</v>
      </c>
      <c r="I858" s="7">
        <f t="shared" si="22"/>
        <v>4.2819430293738026E-2</v>
      </c>
      <c r="J858" s="7">
        <f t="shared" si="22"/>
        <v>-3.1405389700805419E-2</v>
      </c>
      <c r="K858" s="7">
        <f t="shared" si="22"/>
        <v>9.0998639796770919E-2</v>
      </c>
      <c r="L858" s="7"/>
    </row>
    <row r="859" spans="1:12" x14ac:dyDescent="0.25">
      <c r="A859" s="2" t="s">
        <v>936</v>
      </c>
      <c r="B859" s="7">
        <v>1.9339462036091382E-2</v>
      </c>
      <c r="C859" s="7">
        <v>1.0330578512396382E-3</v>
      </c>
      <c r="D859" s="7">
        <v>2.2026431718061623E-2</v>
      </c>
      <c r="E859" s="7">
        <v>1.1672502918125272E-3</v>
      </c>
      <c r="F859" s="7">
        <v>1.6266649812763712E-2</v>
      </c>
      <c r="G859" s="7"/>
      <c r="H859" s="7">
        <f t="shared" si="22"/>
        <v>3.07281222332767E-3</v>
      </c>
      <c r="I859" s="7">
        <f t="shared" si="22"/>
        <v>-1.5233591961524073E-2</v>
      </c>
      <c r="J859" s="7">
        <f t="shared" si="22"/>
        <v>5.7597819052979116E-3</v>
      </c>
      <c r="K859" s="7">
        <f t="shared" si="22"/>
        <v>-1.5099399520951184E-2</v>
      </c>
      <c r="L859" s="7"/>
    </row>
    <row r="860" spans="1:12" x14ac:dyDescent="0.25">
      <c r="A860" s="2" t="s">
        <v>164</v>
      </c>
      <c r="B860" s="7">
        <v>1.4788197083822618E-2</v>
      </c>
      <c r="C860" s="7">
        <v>1.3376759334651656E-2</v>
      </c>
      <c r="D860" s="7">
        <v>-2.5751072961373467E-2</v>
      </c>
      <c r="E860" s="7">
        <v>-0.12516411378555792</v>
      </c>
      <c r="F860" s="7">
        <v>1.1881953234294862E-2</v>
      </c>
      <c r="G860" s="7"/>
      <c r="H860" s="7">
        <f t="shared" si="22"/>
        <v>2.9062438495277565E-3</v>
      </c>
      <c r="I860" s="7">
        <f t="shared" si="22"/>
        <v>1.4948061003567936E-3</v>
      </c>
      <c r="J860" s="7">
        <f t="shared" si="22"/>
        <v>-3.7633026195668329E-2</v>
      </c>
      <c r="K860" s="7">
        <f t="shared" si="22"/>
        <v>-0.13704606701985278</v>
      </c>
      <c r="L860" s="7"/>
    </row>
    <row r="861" spans="1:12" x14ac:dyDescent="0.25">
      <c r="A861" s="2" t="s">
        <v>937</v>
      </c>
      <c r="B861" s="7">
        <v>2.7113350841081907E-2</v>
      </c>
      <c r="C861" s="7">
        <v>3.279673234022118E-2</v>
      </c>
      <c r="D861" s="7">
        <v>2.6431718061673992E-2</v>
      </c>
      <c r="E861" s="7">
        <v>2.1929824561401912E-3</v>
      </c>
      <c r="F861" s="7">
        <v>2.3724828003862664E-2</v>
      </c>
      <c r="G861" s="7"/>
      <c r="H861" s="7">
        <f t="shared" si="22"/>
        <v>3.3885228372192433E-3</v>
      </c>
      <c r="I861" s="7">
        <f t="shared" si="22"/>
        <v>9.0719043363585161E-3</v>
      </c>
      <c r="J861" s="7">
        <f t="shared" si="22"/>
        <v>2.7068900578113286E-3</v>
      </c>
      <c r="K861" s="7">
        <f t="shared" si="22"/>
        <v>-2.1531845547722472E-2</v>
      </c>
      <c r="L861" s="7"/>
    </row>
    <row r="862" spans="1:12" x14ac:dyDescent="0.25">
      <c r="A862" s="2" t="s">
        <v>938</v>
      </c>
      <c r="B862" s="7">
        <v>-3.2543332154227889E-3</v>
      </c>
      <c r="C862" s="7">
        <v>-9.637120761451512E-3</v>
      </c>
      <c r="D862" s="7">
        <v>-2.5751072961373467E-2</v>
      </c>
      <c r="E862" s="7">
        <v>1.0638297872340496E-2</v>
      </c>
      <c r="F862" s="7">
        <v>-7.9509412312320782E-3</v>
      </c>
      <c r="G862" s="7"/>
      <c r="H862" s="7">
        <f t="shared" si="22"/>
        <v>4.6966080158092893E-3</v>
      </c>
      <c r="I862" s="7">
        <f t="shared" si="22"/>
        <v>-1.6861795302194338E-3</v>
      </c>
      <c r="J862" s="7">
        <f t="shared" si="22"/>
        <v>-1.7800131730141389E-2</v>
      </c>
      <c r="K862" s="7">
        <f t="shared" si="22"/>
        <v>1.8589239103572575E-2</v>
      </c>
      <c r="L862" s="7"/>
    </row>
    <row r="863" spans="1:12" x14ac:dyDescent="0.25">
      <c r="A863" s="2" t="s">
        <v>939</v>
      </c>
      <c r="B863" s="7">
        <v>7.0796460176980602E-4</v>
      </c>
      <c r="C863" s="7">
        <v>-1.5000585960389112E-2</v>
      </c>
      <c r="D863" s="7">
        <v>-1.2711864406779627E-2</v>
      </c>
      <c r="E863" s="7">
        <v>-6.648275862068953E-2</v>
      </c>
      <c r="F863" s="7">
        <v>-6.6720788821446053E-3</v>
      </c>
      <c r="G863" s="7"/>
      <c r="H863" s="7">
        <f t="shared" si="22"/>
        <v>7.3800434839144113E-3</v>
      </c>
      <c r="I863" s="7">
        <f t="shared" si="22"/>
        <v>-8.328507078244507E-3</v>
      </c>
      <c r="J863" s="7">
        <f t="shared" si="22"/>
        <v>-6.0397855246350218E-3</v>
      </c>
      <c r="K863" s="7">
        <f t="shared" si="22"/>
        <v>-5.9810679738544925E-2</v>
      </c>
      <c r="L863" s="7"/>
    </row>
    <row r="864" spans="1:12" x14ac:dyDescent="0.25">
      <c r="A864" s="2" t="s">
        <v>940</v>
      </c>
      <c r="B864" s="7">
        <v>9.4332880726077928E-3</v>
      </c>
      <c r="C864" s="7">
        <v>1.8257756563245797E-2</v>
      </c>
      <c r="D864" s="7">
        <v>2.6086956521739202E-2</v>
      </c>
      <c r="E864" s="7">
        <v>-5.623371279659839E-3</v>
      </c>
      <c r="F864" s="7">
        <v>1.1427561549232745E-2</v>
      </c>
      <c r="G864" s="7"/>
      <c r="H864" s="7">
        <f t="shared" si="22"/>
        <v>-1.9942734766249526E-3</v>
      </c>
      <c r="I864" s="7">
        <f t="shared" si="22"/>
        <v>6.8301950140130518E-3</v>
      </c>
      <c r="J864" s="7">
        <f t="shared" si="22"/>
        <v>1.4659394972506457E-2</v>
      </c>
      <c r="K864" s="7">
        <f t="shared" si="22"/>
        <v>-1.7050932828892584E-2</v>
      </c>
      <c r="L864" s="7"/>
    </row>
    <row r="865" spans="1:12" x14ac:dyDescent="0.25">
      <c r="A865" s="2" t="s">
        <v>165</v>
      </c>
      <c r="B865" s="7">
        <v>2.9124071486357428E-2</v>
      </c>
      <c r="C865" s="7">
        <v>2.0327633624297459E-3</v>
      </c>
      <c r="D865" s="7">
        <v>5.0228310502283158E-2</v>
      </c>
      <c r="E865" s="7">
        <v>5.1333813987022303E-2</v>
      </c>
      <c r="F865" s="7">
        <v>2.6480085513260976E-2</v>
      </c>
      <c r="G865" s="7"/>
      <c r="H865" s="7">
        <f t="shared" si="22"/>
        <v>2.6439859730964521E-3</v>
      </c>
      <c r="I865" s="7">
        <f t="shared" si="22"/>
        <v>-2.444732215083123E-2</v>
      </c>
      <c r="J865" s="7">
        <f t="shared" si="22"/>
        <v>2.3748224989022182E-2</v>
      </c>
      <c r="K865" s="7">
        <f t="shared" si="22"/>
        <v>2.4853728473761327E-2</v>
      </c>
      <c r="L865" s="7"/>
    </row>
    <row r="866" spans="1:12" x14ac:dyDescent="0.25">
      <c r="A866" s="2" t="s">
        <v>941</v>
      </c>
      <c r="B866" s="7">
        <v>-3.2241992882562243E-2</v>
      </c>
      <c r="C866" s="7">
        <v>-5.4703294089666343E-3</v>
      </c>
      <c r="D866" s="7">
        <v>5.2884615384615419E-2</v>
      </c>
      <c r="E866" s="7">
        <v>-2.6530039303761965E-2</v>
      </c>
      <c r="F866" s="7">
        <v>-2.3662705624933444E-2</v>
      </c>
      <c r="G866" s="7"/>
      <c r="H866" s="7">
        <f t="shared" si="22"/>
        <v>-8.5792872576287982E-3</v>
      </c>
      <c r="I866" s="7">
        <f t="shared" si="22"/>
        <v>1.819237621596681E-2</v>
      </c>
      <c r="J866" s="7">
        <f t="shared" si="22"/>
        <v>7.6547321009548863E-2</v>
      </c>
      <c r="K866" s="7">
        <f t="shared" si="22"/>
        <v>-2.8673336788285209E-3</v>
      </c>
      <c r="L866" s="7"/>
    </row>
    <row r="867" spans="1:12" x14ac:dyDescent="0.25">
      <c r="A867" s="2" t="s">
        <v>942</v>
      </c>
      <c r="B867" s="7">
        <v>3.3620245714706121E-2</v>
      </c>
      <c r="C867" s="7">
        <v>4.876527812422049E-2</v>
      </c>
      <c r="D867" s="7">
        <v>6.1224489795918435E-2</v>
      </c>
      <c r="E867" s="7">
        <v>-9.4549499443827845E-3</v>
      </c>
      <c r="F867" s="7">
        <v>2.5965675434648228E-2</v>
      </c>
      <c r="G867" s="7"/>
      <c r="H867" s="7">
        <f t="shared" si="22"/>
        <v>7.654570280057893E-3</v>
      </c>
      <c r="I867" s="7">
        <f t="shared" si="22"/>
        <v>2.2799602689572263E-2</v>
      </c>
      <c r="J867" s="7">
        <f t="shared" si="22"/>
        <v>3.5258814361270208E-2</v>
      </c>
      <c r="K867" s="7">
        <f t="shared" si="22"/>
        <v>-3.5420625379031012E-2</v>
      </c>
      <c r="L867" s="7"/>
    </row>
    <row r="868" spans="1:12" x14ac:dyDescent="0.25">
      <c r="A868" s="2" t="s">
        <v>943</v>
      </c>
      <c r="B868" s="7">
        <v>-4.6133567662565156E-3</v>
      </c>
      <c r="C868" s="7">
        <v>9.9875156054940462E-4</v>
      </c>
      <c r="D868" s="7">
        <v>4.2553191489361764E-2</v>
      </c>
      <c r="E868" s="7">
        <v>4.7499301480860012E-3</v>
      </c>
      <c r="F868" s="7">
        <v>-3.2907569019515748E-3</v>
      </c>
      <c r="G868" s="7"/>
      <c r="H868" s="7">
        <f t="shared" si="22"/>
        <v>-1.3225998643049408E-3</v>
      </c>
      <c r="I868" s="7">
        <f t="shared" si="22"/>
        <v>4.2895084625009794E-3</v>
      </c>
      <c r="J868" s="7">
        <f t="shared" si="22"/>
        <v>4.5843948391313338E-2</v>
      </c>
      <c r="K868" s="7">
        <f t="shared" si="22"/>
        <v>8.040687050037576E-3</v>
      </c>
      <c r="L868" s="7"/>
    </row>
    <row r="869" spans="1:12" x14ac:dyDescent="0.25">
      <c r="A869" s="2" t="s">
        <v>944</v>
      </c>
      <c r="B869" s="7">
        <v>-1.0219612959338931E-2</v>
      </c>
      <c r="C869" s="7">
        <v>3.5078927587071096E-3</v>
      </c>
      <c r="D869" s="7">
        <v>0</v>
      </c>
      <c r="E869" s="7">
        <v>-4.8770764119601351E-2</v>
      </c>
      <c r="F869" s="7">
        <v>-6.5192296512833758E-3</v>
      </c>
      <c r="G869" s="7"/>
      <c r="H869" s="7">
        <f t="shared" si="22"/>
        <v>-3.7003833080555548E-3</v>
      </c>
      <c r="I869" s="7">
        <f t="shared" si="22"/>
        <v>1.0027122409990485E-2</v>
      </c>
      <c r="J869" s="7">
        <f t="shared" si="22"/>
        <v>6.5192296512833758E-3</v>
      </c>
      <c r="K869" s="7">
        <f t="shared" si="22"/>
        <v>-4.2251534468317975E-2</v>
      </c>
      <c r="L869" s="7"/>
    </row>
    <row r="870" spans="1:12" x14ac:dyDescent="0.25">
      <c r="A870" s="2" t="s">
        <v>166</v>
      </c>
      <c r="B870" s="7">
        <v>2.3247366509262513E-3</v>
      </c>
      <c r="C870" s="7">
        <v>8.7198281309237569E-3</v>
      </c>
      <c r="D870" s="7">
        <v>-3.5897435897435881E-2</v>
      </c>
      <c r="E870" s="7">
        <v>-2.4627349319507497E-2</v>
      </c>
      <c r="F870" s="7">
        <v>-7.4924580867443691E-3</v>
      </c>
      <c r="G870" s="7"/>
      <c r="H870" s="7">
        <f t="shared" si="22"/>
        <v>9.8171947376706203E-3</v>
      </c>
      <c r="I870" s="7">
        <f t="shared" si="22"/>
        <v>1.6212286217668126E-2</v>
      </c>
      <c r="J870" s="7">
        <f t="shared" si="22"/>
        <v>-2.8404977810691512E-2</v>
      </c>
      <c r="K870" s="7">
        <f t="shared" si="22"/>
        <v>-1.7134891232763128E-2</v>
      </c>
      <c r="L870" s="7"/>
    </row>
    <row r="871" spans="1:12" x14ac:dyDescent="0.25">
      <c r="A871" s="2" t="s">
        <v>945</v>
      </c>
      <c r="B871" s="7">
        <v>-3.6738978306508074E-2</v>
      </c>
      <c r="C871" s="7">
        <v>-3.2404010760577195E-2</v>
      </c>
      <c r="D871" s="7">
        <v>3.1746031746031855E-2</v>
      </c>
      <c r="E871" s="7">
        <v>-3.6588411588411529E-2</v>
      </c>
      <c r="F871" s="7">
        <v>-2.8003589245083504E-2</v>
      </c>
      <c r="G871" s="7"/>
      <c r="H871" s="7">
        <f t="shared" si="22"/>
        <v>-8.7353890614245699E-3</v>
      </c>
      <c r="I871" s="7">
        <f t="shared" si="22"/>
        <v>-4.400421515493691E-3</v>
      </c>
      <c r="J871" s="7">
        <f t="shared" si="22"/>
        <v>5.974962099111536E-2</v>
      </c>
      <c r="K871" s="7">
        <f t="shared" si="22"/>
        <v>-8.5848223433280246E-3</v>
      </c>
      <c r="L871" s="7"/>
    </row>
    <row r="872" spans="1:12" x14ac:dyDescent="0.25">
      <c r="A872" s="2" t="s">
        <v>946</v>
      </c>
      <c r="B872" s="7">
        <v>-6.6041014946123244E-3</v>
      </c>
      <c r="C872" s="7">
        <v>-3.5158093440302074E-2</v>
      </c>
      <c r="D872" s="7">
        <v>1.6129032258064502E-2</v>
      </c>
      <c r="E872" s="7">
        <v>-7.4868979286246695E-4</v>
      </c>
      <c r="F872" s="7">
        <v>-1.0245078344716774E-2</v>
      </c>
      <c r="G872" s="7"/>
      <c r="H872" s="7">
        <f t="shared" si="22"/>
        <v>3.6409768501044493E-3</v>
      </c>
      <c r="I872" s="7">
        <f t="shared" si="22"/>
        <v>-2.49130150955853E-2</v>
      </c>
      <c r="J872" s="7">
        <f t="shared" si="22"/>
        <v>2.6374110602781276E-2</v>
      </c>
      <c r="K872" s="7">
        <f t="shared" si="22"/>
        <v>9.4963885518543067E-3</v>
      </c>
      <c r="L872" s="7"/>
    </row>
    <row r="873" spans="1:12" x14ac:dyDescent="0.25">
      <c r="A873" s="2" t="s">
        <v>947</v>
      </c>
      <c r="B873" s="7">
        <v>2.0200612984118127E-3</v>
      </c>
      <c r="C873" s="7">
        <v>-3.8782465624632723E-3</v>
      </c>
      <c r="D873" s="7">
        <v>-3.6269430051813378E-2</v>
      </c>
      <c r="E873" s="7">
        <v>3.2548823234852531E-3</v>
      </c>
      <c r="F873" s="7">
        <v>-2.0179744811957834E-3</v>
      </c>
      <c r="G873" s="7"/>
      <c r="H873" s="7">
        <f t="shared" si="22"/>
        <v>4.0380357796075961E-3</v>
      </c>
      <c r="I873" s="7">
        <f t="shared" si="22"/>
        <v>-1.8602720812674889E-3</v>
      </c>
      <c r="J873" s="7">
        <f t="shared" si="22"/>
        <v>-3.4251455570617595E-2</v>
      </c>
      <c r="K873" s="7">
        <f t="shared" si="22"/>
        <v>5.2728568046810365E-3</v>
      </c>
      <c r="L873" s="7"/>
    </row>
    <row r="874" spans="1:12" x14ac:dyDescent="0.25">
      <c r="A874" s="2" t="s">
        <v>948</v>
      </c>
      <c r="B874" s="7">
        <v>2.5648353218546749E-2</v>
      </c>
      <c r="C874" s="7">
        <v>2.1120844833793395E-2</v>
      </c>
      <c r="D874" s="7">
        <v>-2.5252525252525304E-2</v>
      </c>
      <c r="E874" s="7">
        <v>4.5549738219895053E-2</v>
      </c>
      <c r="F874" s="7">
        <v>3.0583700111188827E-2</v>
      </c>
      <c r="G874" s="7"/>
      <c r="H874" s="7">
        <f t="shared" si="22"/>
        <v>-4.9353468926420785E-3</v>
      </c>
      <c r="I874" s="7">
        <f t="shared" si="22"/>
        <v>-9.4628552773954322E-3</v>
      </c>
      <c r="J874" s="7">
        <f t="shared" si="22"/>
        <v>-5.5836225363714131E-2</v>
      </c>
      <c r="K874" s="7">
        <f t="shared" si="22"/>
        <v>1.4966038108706226E-2</v>
      </c>
      <c r="L874" s="7"/>
    </row>
    <row r="875" spans="1:12" x14ac:dyDescent="0.25">
      <c r="A875" s="2" t="s">
        <v>167</v>
      </c>
      <c r="B875" s="7">
        <v>3.0782826423153553E-2</v>
      </c>
      <c r="C875" s="7">
        <v>2.4717166748647434E-2</v>
      </c>
      <c r="D875" s="7">
        <v>3.125E-2</v>
      </c>
      <c r="E875" s="7">
        <v>5.660128998288938E-3</v>
      </c>
      <c r="F875" s="7">
        <v>2.5883947546031072E-2</v>
      </c>
      <c r="G875" s="7"/>
      <c r="H875" s="7">
        <f t="shared" si="22"/>
        <v>4.8988788771224812E-3</v>
      </c>
      <c r="I875" s="7">
        <f t="shared" si="22"/>
        <v>-1.1667807973836375E-3</v>
      </c>
      <c r="J875" s="7">
        <f t="shared" si="22"/>
        <v>5.366052453968928E-3</v>
      </c>
      <c r="K875" s="7">
        <f t="shared" si="22"/>
        <v>-2.0223818547742134E-2</v>
      </c>
      <c r="L875" s="7"/>
    </row>
    <row r="876" spans="1:12" x14ac:dyDescent="0.25">
      <c r="A876" s="2" t="s">
        <v>949</v>
      </c>
      <c r="B876" s="7">
        <v>-3.0071428571428638E-2</v>
      </c>
      <c r="C876" s="7">
        <v>-1.6091954022988686E-2</v>
      </c>
      <c r="D876" s="7">
        <v>0</v>
      </c>
      <c r="E876" s="7">
        <v>1.185402237613209E-2</v>
      </c>
      <c r="F876" s="7">
        <v>-1.506673588849794E-2</v>
      </c>
      <c r="G876" s="7"/>
      <c r="H876" s="7">
        <f t="shared" si="22"/>
        <v>-1.5004692682930698E-2</v>
      </c>
      <c r="I876" s="7">
        <f t="shared" si="22"/>
        <v>-1.0252181344907463E-3</v>
      </c>
      <c r="J876" s="7">
        <f t="shared" si="22"/>
        <v>1.506673588849794E-2</v>
      </c>
      <c r="K876" s="7">
        <f t="shared" si="22"/>
        <v>2.6920758264630029E-2</v>
      </c>
      <c r="L876" s="7"/>
    </row>
    <row r="877" spans="1:12" x14ac:dyDescent="0.25">
      <c r="A877" s="2" t="s">
        <v>950</v>
      </c>
      <c r="B877" s="7">
        <v>-4.9106839638660582E-2</v>
      </c>
      <c r="C877" s="7">
        <v>-1.7358221376768457E-2</v>
      </c>
      <c r="D877" s="7">
        <v>-0.16521739130434776</v>
      </c>
      <c r="E877" s="7">
        <v>-2.3920956838273555E-2</v>
      </c>
      <c r="F877" s="7">
        <v>-2.1126419721218426E-2</v>
      </c>
      <c r="G877" s="7"/>
      <c r="H877" s="7">
        <f t="shared" si="22"/>
        <v>-2.7980419917442156E-2</v>
      </c>
      <c r="I877" s="7">
        <f t="shared" si="22"/>
        <v>3.7681983444499689E-3</v>
      </c>
      <c r="J877" s="7">
        <f t="shared" si="22"/>
        <v>-0.14409097158312933</v>
      </c>
      <c r="K877" s="7">
        <f t="shared" si="22"/>
        <v>-2.7945371170551292E-3</v>
      </c>
      <c r="L877" s="7"/>
    </row>
    <row r="878" spans="1:12" x14ac:dyDescent="0.25">
      <c r="A878" s="2" t="s">
        <v>951</v>
      </c>
      <c r="B878" s="7">
        <v>-1.2674356223176031E-2</v>
      </c>
      <c r="C878" s="7">
        <v>1.6680768765864773E-2</v>
      </c>
      <c r="D878" s="7">
        <v>-1.7094017094017144E-2</v>
      </c>
      <c r="E878" s="7">
        <v>4.0162271805273875E-2</v>
      </c>
      <c r="F878" s="7">
        <v>1.9672140136923533E-2</v>
      </c>
      <c r="G878" s="7"/>
      <c r="H878" s="7">
        <f t="shared" si="22"/>
        <v>-3.2346496360099564E-2</v>
      </c>
      <c r="I878" s="7">
        <f t="shared" si="22"/>
        <v>-2.9913713710587597E-3</v>
      </c>
      <c r="J878" s="7">
        <f t="shared" si="22"/>
        <v>-3.6766157230940677E-2</v>
      </c>
      <c r="K878" s="7">
        <f t="shared" si="22"/>
        <v>2.0490131668350342E-2</v>
      </c>
      <c r="L878" s="7"/>
    </row>
    <row r="879" spans="1:12" x14ac:dyDescent="0.25">
      <c r="A879" s="2" t="s">
        <v>952</v>
      </c>
      <c r="B879" s="7">
        <v>6.6153638450114904E-3</v>
      </c>
      <c r="C879" s="7">
        <v>-5.1707551707550481E-3</v>
      </c>
      <c r="D879" s="7">
        <v>5.8823529411764719E-2</v>
      </c>
      <c r="E879" s="7">
        <v>-1.321056845476376E-2</v>
      </c>
      <c r="F879" s="7">
        <v>-2.1203598319033956E-3</v>
      </c>
      <c r="G879" s="7"/>
      <c r="H879" s="7">
        <f t="shared" si="22"/>
        <v>8.735723676914886E-3</v>
      </c>
      <c r="I879" s="7">
        <f t="shared" si="22"/>
        <v>-3.0503953388516525E-3</v>
      </c>
      <c r="J879" s="7">
        <f t="shared" si="22"/>
        <v>6.0943889243668115E-2</v>
      </c>
      <c r="K879" s="7">
        <f t="shared" si="22"/>
        <v>-1.1090208622860365E-2</v>
      </c>
      <c r="L879" s="7"/>
    </row>
    <row r="880" spans="1:12" x14ac:dyDescent="0.25">
      <c r="A880" s="2" t="s">
        <v>168</v>
      </c>
      <c r="B880" s="7">
        <v>2.2325959001419093E-3</v>
      </c>
      <c r="C880" s="7">
        <v>0</v>
      </c>
      <c r="D880" s="7">
        <v>9.1324200913243114E-3</v>
      </c>
      <c r="E880" s="7">
        <v>1.3361838588989983E-3</v>
      </c>
      <c r="F880" s="7">
        <v>-1.0340542018774879E-2</v>
      </c>
      <c r="G880" s="7"/>
      <c r="H880" s="7">
        <f t="shared" si="22"/>
        <v>1.2573137918916788E-2</v>
      </c>
      <c r="I880" s="7">
        <f t="shared" si="22"/>
        <v>1.0340542018774879E-2</v>
      </c>
      <c r="J880" s="7">
        <f t="shared" si="22"/>
        <v>1.947296211009919E-2</v>
      </c>
      <c r="K880" s="7">
        <f t="shared" si="22"/>
        <v>1.1676725877673877E-2</v>
      </c>
      <c r="L880" s="7"/>
    </row>
    <row r="881" spans="1:12" x14ac:dyDescent="0.25">
      <c r="A881" s="2" t="s">
        <v>953</v>
      </c>
      <c r="B881" s="7">
        <v>-1.5125266524520287E-2</v>
      </c>
      <c r="C881" s="7">
        <v>-1.0000000000000009E-2</v>
      </c>
      <c r="D881" s="7">
        <v>-6.4102564102564097E-2</v>
      </c>
      <c r="E881" s="7">
        <v>-2.3613829093281136E-2</v>
      </c>
      <c r="F881" s="7">
        <v>-1.7232616372049869E-2</v>
      </c>
      <c r="G881" s="7"/>
      <c r="H881" s="7">
        <f t="shared" si="22"/>
        <v>2.1073498475295827E-3</v>
      </c>
      <c r="I881" s="7">
        <f t="shared" si="22"/>
        <v>7.2326163720498604E-3</v>
      </c>
      <c r="J881" s="7">
        <f t="shared" si="22"/>
        <v>-4.6869947730514228E-2</v>
      </c>
      <c r="K881" s="7">
        <f t="shared" si="22"/>
        <v>-6.3812127212312664E-3</v>
      </c>
      <c r="L881" s="7"/>
    </row>
    <row r="882" spans="1:12" x14ac:dyDescent="0.25">
      <c r="A882" s="2" t="s">
        <v>954</v>
      </c>
      <c r="B882" s="7">
        <v>-6.3559322033897026E-3</v>
      </c>
      <c r="C882" s="7">
        <v>-5.9171597633136397E-3</v>
      </c>
      <c r="D882" s="7">
        <v>-3.3057851239669422E-2</v>
      </c>
      <c r="E882" s="7">
        <v>-1.0967741935483777E-2</v>
      </c>
      <c r="F882" s="7">
        <v>-8.4275962880581146E-3</v>
      </c>
      <c r="G882" s="7"/>
      <c r="H882" s="7">
        <f t="shared" si="22"/>
        <v>2.071664084668412E-3</v>
      </c>
      <c r="I882" s="7">
        <f t="shared" si="22"/>
        <v>2.5104365247444749E-3</v>
      </c>
      <c r="J882" s="7">
        <f t="shared" si="22"/>
        <v>-2.4630254951611308E-2</v>
      </c>
      <c r="K882" s="7">
        <f t="shared" si="22"/>
        <v>-2.5401456474256623E-3</v>
      </c>
      <c r="L882" s="7"/>
    </row>
    <row r="883" spans="1:12" x14ac:dyDescent="0.25">
      <c r="A883" s="2" t="s">
        <v>955</v>
      </c>
      <c r="B883" s="7">
        <v>-2.0302263734838122E-2</v>
      </c>
      <c r="C883" s="7">
        <v>-1.4577259475218707E-2</v>
      </c>
      <c r="D883" s="7">
        <v>-1.6260162601625994E-2</v>
      </c>
      <c r="E883" s="7">
        <v>-4.8846342660775699E-2</v>
      </c>
      <c r="F883" s="7">
        <v>-1.7116493297336777E-2</v>
      </c>
      <c r="G883" s="7"/>
      <c r="H883" s="7">
        <f t="shared" si="22"/>
        <v>-3.1857704375013451E-3</v>
      </c>
      <c r="I883" s="7">
        <f t="shared" si="22"/>
        <v>2.5392338221180699E-3</v>
      </c>
      <c r="J883" s="7">
        <f t="shared" si="22"/>
        <v>8.5633069571078302E-4</v>
      </c>
      <c r="K883" s="7">
        <f t="shared" si="22"/>
        <v>-3.1729849363438922E-2</v>
      </c>
      <c r="L883" s="7"/>
    </row>
    <row r="884" spans="1:12" x14ac:dyDescent="0.25">
      <c r="A884" s="2" t="s">
        <v>956</v>
      </c>
      <c r="B884" s="7">
        <v>1.5679557283088341E-2</v>
      </c>
      <c r="C884" s="7">
        <v>-1.0484622553588174E-3</v>
      </c>
      <c r="D884" s="7">
        <v>-2.3809523809523836E-2</v>
      </c>
      <c r="E884" s="7">
        <v>-2.1261261261261266E-2</v>
      </c>
      <c r="F884" s="7">
        <v>-1.1272112803181633E-2</v>
      </c>
      <c r="G884" s="7"/>
      <c r="H884" s="7">
        <f t="shared" si="22"/>
        <v>2.6951670086269974E-2</v>
      </c>
      <c r="I884" s="7">
        <f t="shared" si="22"/>
        <v>1.0223650547822816E-2</v>
      </c>
      <c r="J884" s="7">
        <f t="shared" si="22"/>
        <v>-1.2537411006342203E-2</v>
      </c>
      <c r="K884" s="7">
        <f t="shared" si="22"/>
        <v>-9.989148458079633E-3</v>
      </c>
      <c r="L884" s="7"/>
    </row>
    <row r="885" spans="1:12" x14ac:dyDescent="0.25">
      <c r="A885" s="2" t="s">
        <v>169</v>
      </c>
      <c r="B885" s="7">
        <v>2.5054024851431489E-2</v>
      </c>
      <c r="C885" s="7">
        <v>2.3304591004436048E-4</v>
      </c>
      <c r="D885" s="7">
        <v>0.125</v>
      </c>
      <c r="E885" s="7">
        <v>1.4254385964912242E-2</v>
      </c>
      <c r="F885" s="7">
        <v>6.8571487583035662E-3</v>
      </c>
      <c r="G885" s="7"/>
      <c r="H885" s="7">
        <f t="shared" si="22"/>
        <v>1.8196876093127923E-2</v>
      </c>
      <c r="I885" s="7">
        <f t="shared" si="22"/>
        <v>-6.6241028482592057E-3</v>
      </c>
      <c r="J885" s="7">
        <f t="shared" si="22"/>
        <v>0.11814285124169643</v>
      </c>
      <c r="K885" s="7">
        <f t="shared" si="22"/>
        <v>7.3972372066086756E-3</v>
      </c>
      <c r="L885" s="7"/>
    </row>
    <row r="886" spans="1:12" x14ac:dyDescent="0.25">
      <c r="A886" s="2" t="s">
        <v>957</v>
      </c>
      <c r="B886" s="7">
        <v>-1.0953780390061341E-2</v>
      </c>
      <c r="C886" s="7">
        <v>1.6339869281043473E-3</v>
      </c>
      <c r="D886" s="7">
        <v>-4.2735042735042583E-2</v>
      </c>
      <c r="E886" s="7">
        <v>-2.7027027027027084E-2</v>
      </c>
      <c r="F886" s="7">
        <v>-7.1821292629474787E-3</v>
      </c>
      <c r="G886" s="7"/>
      <c r="H886" s="7">
        <f t="shared" si="22"/>
        <v>-3.771651127113862E-3</v>
      </c>
      <c r="I886" s="7">
        <f t="shared" si="22"/>
        <v>8.816116191051826E-3</v>
      </c>
      <c r="J886" s="7">
        <f t="shared" si="22"/>
        <v>-3.5552913472095105E-2</v>
      </c>
      <c r="K886" s="7">
        <f t="shared" si="22"/>
        <v>-1.9844897764079605E-2</v>
      </c>
      <c r="L886" s="7"/>
    </row>
    <row r="887" spans="1:12" x14ac:dyDescent="0.25">
      <c r="A887" s="2" t="s">
        <v>958</v>
      </c>
      <c r="B887" s="7">
        <v>-1.8937160081253013E-2</v>
      </c>
      <c r="C887" s="7">
        <v>-9.4797687861271074E-3</v>
      </c>
      <c r="D887" s="7">
        <v>-2.5000000000000022E-2</v>
      </c>
      <c r="E887" s="7">
        <v>-1.065719360568429E-3</v>
      </c>
      <c r="F887" s="7">
        <v>-1.1317761485652666E-2</v>
      </c>
      <c r="G887" s="7"/>
      <c r="H887" s="7">
        <f t="shared" si="22"/>
        <v>-7.6193985956003463E-3</v>
      </c>
      <c r="I887" s="7">
        <f t="shared" si="22"/>
        <v>1.8379926995255591E-3</v>
      </c>
      <c r="J887" s="7">
        <f t="shared" si="22"/>
        <v>-1.3682238514347356E-2</v>
      </c>
      <c r="K887" s="7">
        <f t="shared" si="22"/>
        <v>1.0252042125084238E-2</v>
      </c>
      <c r="L887" s="7"/>
    </row>
    <row r="888" spans="1:12" x14ac:dyDescent="0.25">
      <c r="A888" s="2" t="s">
        <v>959</v>
      </c>
      <c r="B888" s="7">
        <v>9.5924847843344985E-3</v>
      </c>
      <c r="C888" s="7">
        <v>-2.4362734040153322E-2</v>
      </c>
      <c r="D888" s="7">
        <v>4.3478260869565188E-2</v>
      </c>
      <c r="E888" s="7">
        <v>-6.1198069907025809E-3</v>
      </c>
      <c r="F888" s="7">
        <v>3.3869946525153516E-3</v>
      </c>
      <c r="G888" s="7"/>
      <c r="H888" s="7">
        <f t="shared" si="22"/>
        <v>6.2054901318191469E-3</v>
      </c>
      <c r="I888" s="7">
        <f t="shared" si="22"/>
        <v>-2.7749728692668674E-2</v>
      </c>
      <c r="J888" s="7">
        <f t="shared" si="22"/>
        <v>4.0091266217049837E-2</v>
      </c>
      <c r="K888" s="7">
        <f t="shared" si="22"/>
        <v>-9.5068016432179325E-3</v>
      </c>
      <c r="L888" s="7"/>
    </row>
    <row r="889" spans="1:12" x14ac:dyDescent="0.25">
      <c r="A889" s="2" t="s">
        <v>960</v>
      </c>
      <c r="B889" s="7">
        <v>-5.8662348984929724E-2</v>
      </c>
      <c r="C889" s="7">
        <v>-3.0402449693788247E-2</v>
      </c>
      <c r="D889" s="7">
        <v>8.7719298245614308E-3</v>
      </c>
      <c r="E889" s="7">
        <v>-5.5154008673412691E-2</v>
      </c>
      <c r="F889" s="7">
        <v>-4.3236562775976095E-2</v>
      </c>
      <c r="G889" s="7"/>
      <c r="H889" s="7">
        <f t="shared" si="22"/>
        <v>-1.5425786208953629E-2</v>
      </c>
      <c r="I889" s="7">
        <f t="shared" si="22"/>
        <v>1.2834113082187848E-2</v>
      </c>
      <c r="J889" s="7">
        <f t="shared" si="22"/>
        <v>5.2008492600537526E-2</v>
      </c>
      <c r="K889" s="7">
        <f t="shared" si="22"/>
        <v>-1.1917445897436596E-2</v>
      </c>
      <c r="L889" s="7"/>
    </row>
    <row r="890" spans="1:12" x14ac:dyDescent="0.25">
      <c r="A890" s="2" t="s">
        <v>170</v>
      </c>
      <c r="B890" s="7">
        <v>3.8478949751018732E-2</v>
      </c>
      <c r="C890" s="7">
        <v>9.2715231788080832E-3</v>
      </c>
      <c r="D890" s="7">
        <v>1.7857142857142572E-2</v>
      </c>
      <c r="E890" s="7">
        <v>2.7771428571428558E-2</v>
      </c>
      <c r="F890" s="7">
        <v>1.058426104401855E-2</v>
      </c>
      <c r="G890" s="7"/>
      <c r="H890" s="7">
        <f t="shared" si="22"/>
        <v>2.7894688707000181E-2</v>
      </c>
      <c r="I890" s="7">
        <f t="shared" si="22"/>
        <v>-1.3127378652104671E-3</v>
      </c>
      <c r="J890" s="7">
        <f t="shared" si="22"/>
        <v>7.2728818131240214E-3</v>
      </c>
      <c r="K890" s="7">
        <f t="shared" si="22"/>
        <v>1.7187167527410008E-2</v>
      </c>
      <c r="L890" s="7"/>
    </row>
    <row r="891" spans="1:12" x14ac:dyDescent="0.25">
      <c r="A891" s="2" t="s">
        <v>961</v>
      </c>
      <c r="B891" s="7">
        <v>1.8844303880872326E-2</v>
      </c>
      <c r="C891" s="7">
        <v>3.2125768967874224E-2</v>
      </c>
      <c r="D891" s="7">
        <v>2.2831050228310668E-2</v>
      </c>
      <c r="E891" s="7">
        <v>2.9169607151258603E-2</v>
      </c>
      <c r="F891" s="7">
        <v>1.5271405678227268E-2</v>
      </c>
      <c r="G891" s="7"/>
      <c r="H891" s="7">
        <f t="shared" si="22"/>
        <v>3.5728982026450584E-3</v>
      </c>
      <c r="I891" s="7">
        <f t="shared" si="22"/>
        <v>1.6854363289646956E-2</v>
      </c>
      <c r="J891" s="7">
        <f t="shared" si="22"/>
        <v>7.5596445500833997E-3</v>
      </c>
      <c r="K891" s="7">
        <f t="shared" si="22"/>
        <v>1.3898201473031335E-2</v>
      </c>
      <c r="L891" s="7"/>
    </row>
    <row r="892" spans="1:12" x14ac:dyDescent="0.25">
      <c r="A892" s="2" t="s">
        <v>962</v>
      </c>
      <c r="B892" s="7">
        <v>-9.5927956147220383E-3</v>
      </c>
      <c r="C892" s="7">
        <v>-1.0595130748421999E-2</v>
      </c>
      <c r="D892" s="7">
        <v>3.3018867924528239E-2</v>
      </c>
      <c r="E892" s="7">
        <v>-1.1854951185495288E-2</v>
      </c>
      <c r="F892" s="7">
        <v>6.6107686934497867E-3</v>
      </c>
      <c r="G892" s="7"/>
      <c r="H892" s="7">
        <f t="shared" si="22"/>
        <v>-1.6203564308171825E-2</v>
      </c>
      <c r="I892" s="7">
        <f t="shared" si="22"/>
        <v>-1.7205899441871786E-2</v>
      </c>
      <c r="J892" s="7">
        <f t="shared" si="22"/>
        <v>2.6408099231078452E-2</v>
      </c>
      <c r="K892" s="7">
        <f t="shared" si="22"/>
        <v>-1.8465719878945075E-2</v>
      </c>
      <c r="L892" s="7"/>
    </row>
    <row r="893" spans="1:12" x14ac:dyDescent="0.25">
      <c r="A893" s="2" t="s">
        <v>963</v>
      </c>
      <c r="B893" s="7">
        <v>9.2202318229714919E-3</v>
      </c>
      <c r="C893" s="7">
        <v>3.3912131453210481E-2</v>
      </c>
      <c r="D893" s="7">
        <v>3.9215686274509887E-2</v>
      </c>
      <c r="E893" s="7">
        <v>2.4285714285714466E-2</v>
      </c>
      <c r="F893" s="7">
        <v>1.8340971140093032E-2</v>
      </c>
      <c r="G893" s="7"/>
      <c r="H893" s="7">
        <f t="shared" si="22"/>
        <v>-9.1207393171215401E-3</v>
      </c>
      <c r="I893" s="7">
        <f t="shared" si="22"/>
        <v>1.5571160313117449E-2</v>
      </c>
      <c r="J893" s="7">
        <f t="shared" si="22"/>
        <v>2.0874715134416855E-2</v>
      </c>
      <c r="K893" s="7">
        <f t="shared" si="22"/>
        <v>5.9447431456214339E-3</v>
      </c>
      <c r="L893" s="7"/>
    </row>
    <row r="894" spans="1:12" x14ac:dyDescent="0.25">
      <c r="A894" s="2" t="s">
        <v>964</v>
      </c>
      <c r="B894" s="7">
        <v>-8.2299150881776084E-3</v>
      </c>
      <c r="C894" s="7">
        <v>-4.155031832905165E-2</v>
      </c>
      <c r="D894" s="7">
        <v>0.10270270270270276</v>
      </c>
      <c r="E894" s="7">
        <v>-3.6476256022023423E-2</v>
      </c>
      <c r="F894" s="7">
        <v>-4.095039574340209E-3</v>
      </c>
      <c r="G894" s="7"/>
      <c r="H894" s="7">
        <f t="shared" si="22"/>
        <v>-4.1348755138373994E-3</v>
      </c>
      <c r="I894" s="7">
        <f t="shared" si="22"/>
        <v>-3.7455278754711441E-2</v>
      </c>
      <c r="J894" s="7">
        <f t="shared" si="22"/>
        <v>0.10679774227704297</v>
      </c>
      <c r="K894" s="7">
        <f t="shared" si="22"/>
        <v>-3.2381216447683214E-2</v>
      </c>
      <c r="L894" s="7"/>
    </row>
    <row r="895" spans="1:12" x14ac:dyDescent="0.25">
      <c r="A895" s="2" t="s">
        <v>965</v>
      </c>
      <c r="B895" s="7">
        <v>-1.3594484891437442E-2</v>
      </c>
      <c r="C895" s="7">
        <v>-3.1689379191001454E-2</v>
      </c>
      <c r="D895" s="7">
        <v>4.5197740112994378E-2</v>
      </c>
      <c r="E895" s="7">
        <v>-2.0449438202247094E-2</v>
      </c>
      <c r="F895" s="7">
        <v>-1.0736478566116592E-2</v>
      </c>
      <c r="G895" s="7"/>
      <c r="H895" s="7">
        <f t="shared" si="22"/>
        <v>-2.8580063253208499E-3</v>
      </c>
      <c r="I895" s="7">
        <f t="shared" si="22"/>
        <v>-2.0952900624884863E-2</v>
      </c>
      <c r="J895" s="7">
        <f t="shared" si="22"/>
        <v>5.593421867911097E-2</v>
      </c>
      <c r="K895" s="7">
        <f t="shared" si="22"/>
        <v>-9.7129596361305026E-3</v>
      </c>
      <c r="L895" s="7"/>
    </row>
    <row r="896" spans="1:12" x14ac:dyDescent="0.25">
      <c r="A896" s="2" t="s">
        <v>966</v>
      </c>
      <c r="B896" s="7">
        <v>4.7255308130502716E-3</v>
      </c>
      <c r="C896" s="7">
        <v>1.0270979020978954E-2</v>
      </c>
      <c r="D896" s="7">
        <v>-4.3243243243243246E-2</v>
      </c>
      <c r="E896" s="7">
        <v>-1.7768458227568673E-2</v>
      </c>
      <c r="F896" s="7">
        <v>2.9962073324905081E-3</v>
      </c>
      <c r="G896" s="7"/>
      <c r="H896" s="7">
        <f t="shared" si="22"/>
        <v>1.7293234805597635E-3</v>
      </c>
      <c r="I896" s="7">
        <f t="shared" si="22"/>
        <v>7.2747716884884461E-3</v>
      </c>
      <c r="J896" s="7">
        <f t="shared" si="22"/>
        <v>-4.6239450575733754E-2</v>
      </c>
      <c r="K896" s="7">
        <f t="shared" si="22"/>
        <v>-2.0764665560059181E-2</v>
      </c>
      <c r="L896" s="7"/>
    </row>
    <row r="897" spans="1:12" x14ac:dyDescent="0.25">
      <c r="A897" s="2" t="s">
        <v>967</v>
      </c>
      <c r="B897" s="7">
        <v>-1.0631484565133853E-2</v>
      </c>
      <c r="C897" s="7">
        <v>-4.0265534878659581E-3</v>
      </c>
      <c r="D897" s="7">
        <v>7.5581395348837344E-2</v>
      </c>
      <c r="E897" s="7">
        <v>1.6719030520646161E-2</v>
      </c>
      <c r="F897" s="7">
        <v>-7.8170469825595834E-3</v>
      </c>
      <c r="G897" s="7"/>
      <c r="H897" s="7">
        <f t="shared" si="22"/>
        <v>-2.8144375825742696E-3</v>
      </c>
      <c r="I897" s="7">
        <f t="shared" si="22"/>
        <v>3.7904934946936253E-3</v>
      </c>
      <c r="J897" s="7">
        <f t="shared" si="22"/>
        <v>8.3398442331396927E-2</v>
      </c>
      <c r="K897" s="7">
        <f t="shared" si="22"/>
        <v>2.4536077503205744E-2</v>
      </c>
      <c r="L897" s="7"/>
    </row>
    <row r="898" spans="1:12" x14ac:dyDescent="0.25">
      <c r="A898" s="2" t="s">
        <v>968</v>
      </c>
      <c r="B898" s="7">
        <v>-1.5324462382544035E-2</v>
      </c>
      <c r="C898" s="7">
        <v>-1.2466415905427186E-2</v>
      </c>
      <c r="D898" s="7">
        <v>-0.10416666666666663</v>
      </c>
      <c r="E898" s="7">
        <v>-2.8558971005014033E-2</v>
      </c>
      <c r="F898" s="7">
        <v>-1.1028107408059928E-2</v>
      </c>
      <c r="G898" s="7"/>
      <c r="H898" s="7">
        <f t="shared" si="22"/>
        <v>-4.2963549744841067E-3</v>
      </c>
      <c r="I898" s="7">
        <f t="shared" si="22"/>
        <v>-1.4383084973672577E-3</v>
      </c>
      <c r="J898" s="7">
        <f t="shared" si="22"/>
        <v>-9.3138559258606701E-2</v>
      </c>
      <c r="K898" s="7">
        <f t="shared" ref="K898:K961" si="23">E898-$F898</f>
        <v>-1.7530863596954105E-2</v>
      </c>
      <c r="L898" s="7"/>
    </row>
    <row r="899" spans="1:12" x14ac:dyDescent="0.25">
      <c r="A899" s="2" t="s">
        <v>171</v>
      </c>
      <c r="B899" s="7">
        <v>-1.3684145051937602E-2</v>
      </c>
      <c r="C899" s="7">
        <v>-2.0938552188552229E-2</v>
      </c>
      <c r="D899" s="7">
        <v>1.0526315789473717E-2</v>
      </c>
      <c r="E899" s="7">
        <v>-1.4290319114644845E-2</v>
      </c>
      <c r="F899" s="7">
        <v>-6.6664037893761074E-3</v>
      </c>
      <c r="G899" s="7"/>
      <c r="H899" s="7">
        <f t="shared" ref="H899:K962" si="24">B899-$F899</f>
        <v>-7.0177412625614943E-3</v>
      </c>
      <c r="I899" s="7">
        <f t="shared" si="24"/>
        <v>-1.4272148399176121E-2</v>
      </c>
      <c r="J899" s="7">
        <f t="shared" si="24"/>
        <v>1.7192719578849824E-2</v>
      </c>
      <c r="K899" s="7">
        <f t="shared" si="23"/>
        <v>-7.6239153252687375E-3</v>
      </c>
      <c r="L899" s="7"/>
    </row>
    <row r="900" spans="1:12" x14ac:dyDescent="0.25">
      <c r="A900" s="2" t="s">
        <v>969</v>
      </c>
      <c r="B900" s="7">
        <v>-3.7708744837493202E-2</v>
      </c>
      <c r="C900" s="7">
        <v>-9.5460169410868878E-2</v>
      </c>
      <c r="D900" s="7">
        <v>-1.5544041450777257E-2</v>
      </c>
      <c r="E900" s="7">
        <v>-1.8973331927901405E-2</v>
      </c>
      <c r="F900" s="7">
        <v>-3.3688010821315006E-2</v>
      </c>
      <c r="G900" s="7"/>
      <c r="H900" s="7">
        <f t="shared" si="24"/>
        <v>-4.0207340161781957E-3</v>
      </c>
      <c r="I900" s="7">
        <f t="shared" si="24"/>
        <v>-6.1772158589553872E-2</v>
      </c>
      <c r="J900" s="7">
        <f t="shared" si="24"/>
        <v>1.8143969370537749E-2</v>
      </c>
      <c r="K900" s="7">
        <f t="shared" si="23"/>
        <v>1.4714678893413602E-2</v>
      </c>
      <c r="L900" s="7"/>
    </row>
    <row r="901" spans="1:12" x14ac:dyDescent="0.25">
      <c r="A901" s="2" t="s">
        <v>970</v>
      </c>
      <c r="B901" s="7">
        <v>1.4944414069618883E-2</v>
      </c>
      <c r="C901" s="7">
        <v>1.2235067437379454E-2</v>
      </c>
      <c r="D901" s="7">
        <v>-3.0150753768844241E-2</v>
      </c>
      <c r="E901" s="7">
        <v>7.9663138727665839E-2</v>
      </c>
      <c r="F901" s="7">
        <v>1.4091582000449021E-2</v>
      </c>
      <c r="G901" s="7"/>
      <c r="H901" s="7">
        <f t="shared" si="24"/>
        <v>8.5283206916986209E-4</v>
      </c>
      <c r="I901" s="7">
        <f t="shared" si="24"/>
        <v>-1.8565145630695667E-3</v>
      </c>
      <c r="J901" s="7">
        <f t="shared" si="24"/>
        <v>-4.4242335769293262E-2</v>
      </c>
      <c r="K901" s="7">
        <f t="shared" si="23"/>
        <v>6.5571556727216818E-2</v>
      </c>
      <c r="L901" s="7"/>
    </row>
    <row r="902" spans="1:12" x14ac:dyDescent="0.25">
      <c r="A902" s="2" t="s">
        <v>971</v>
      </c>
      <c r="B902" s="7">
        <v>1.7648490749757606E-3</v>
      </c>
      <c r="C902" s="7">
        <v>-4.98466257668706E-3</v>
      </c>
      <c r="D902" s="7">
        <v>3.1088082901554515E-2</v>
      </c>
      <c r="E902" s="7">
        <v>3.000820536865545E-2</v>
      </c>
      <c r="F902" s="7">
        <v>2.9161509713642175E-3</v>
      </c>
      <c r="G902" s="7"/>
      <c r="H902" s="7">
        <f t="shared" si="24"/>
        <v>-1.1513018963884569E-3</v>
      </c>
      <c r="I902" s="7">
        <f t="shared" si="24"/>
        <v>-7.9008135480512776E-3</v>
      </c>
      <c r="J902" s="7">
        <f t="shared" si="24"/>
        <v>2.8171931930190297E-2</v>
      </c>
      <c r="K902" s="7">
        <f t="shared" si="23"/>
        <v>2.7092054397291232E-2</v>
      </c>
      <c r="L902" s="7"/>
    </row>
    <row r="903" spans="1:12" x14ac:dyDescent="0.25">
      <c r="A903" s="2" t="s">
        <v>972</v>
      </c>
      <c r="B903" s="7">
        <v>-2.0042514424537528E-3</v>
      </c>
      <c r="C903" s="7">
        <v>1.1516314779269621E-3</v>
      </c>
      <c r="D903" s="7">
        <v>-2.5252525252525304E-2</v>
      </c>
      <c r="E903" s="7">
        <v>-2.2222222222222365E-3</v>
      </c>
      <c r="F903" s="7">
        <v>-2.2378014446627903E-3</v>
      </c>
      <c r="G903" s="7"/>
      <c r="H903" s="7">
        <f t="shared" si="24"/>
        <v>2.3355000220903754E-4</v>
      </c>
      <c r="I903" s="7">
        <f t="shared" si="24"/>
        <v>3.3894329225897524E-3</v>
      </c>
      <c r="J903" s="7">
        <f t="shared" si="24"/>
        <v>-2.3014723807862514E-2</v>
      </c>
      <c r="K903" s="7">
        <f t="shared" si="23"/>
        <v>1.5579222440553764E-5</v>
      </c>
      <c r="L903" s="7"/>
    </row>
    <row r="904" spans="1:12" x14ac:dyDescent="0.25">
      <c r="A904" s="2" t="s">
        <v>172</v>
      </c>
      <c r="B904" s="7">
        <v>-2.3022607250934524E-2</v>
      </c>
      <c r="C904" s="7">
        <v>-2.4892382556616077E-2</v>
      </c>
      <c r="D904" s="7">
        <v>3.125E-2</v>
      </c>
      <c r="E904" s="7">
        <v>4.4642857142855874E-3</v>
      </c>
      <c r="F904" s="7">
        <v>-2.1400124867564707E-2</v>
      </c>
      <c r="G904" s="7"/>
      <c r="H904" s="7">
        <f t="shared" si="24"/>
        <v>-1.6224823833698165E-3</v>
      </c>
      <c r="I904" s="7">
        <f t="shared" si="24"/>
        <v>-3.4922576890513701E-3</v>
      </c>
      <c r="J904" s="7">
        <f t="shared" si="24"/>
        <v>5.2650124867564707E-2</v>
      </c>
      <c r="K904" s="7">
        <f t="shared" si="23"/>
        <v>2.5864410581850295E-2</v>
      </c>
      <c r="L904" s="7"/>
    </row>
    <row r="905" spans="1:12" x14ac:dyDescent="0.25">
      <c r="A905" s="2" t="s">
        <v>973</v>
      </c>
      <c r="B905" s="7">
        <v>-1.513557737260407E-2</v>
      </c>
      <c r="C905" s="7">
        <v>9.3589143659311702E-5</v>
      </c>
      <c r="D905" s="7">
        <v>-5.4187192118226535E-2</v>
      </c>
      <c r="E905" s="7">
        <v>-1.2299837549315407E-2</v>
      </c>
      <c r="F905" s="7">
        <v>-1.2899942573545653E-2</v>
      </c>
      <c r="G905" s="7"/>
      <c r="H905" s="7">
        <f t="shared" si="24"/>
        <v>-2.2356347990584169E-3</v>
      </c>
      <c r="I905" s="7">
        <f t="shared" si="24"/>
        <v>1.2993531717204965E-2</v>
      </c>
      <c r="J905" s="7">
        <f t="shared" si="24"/>
        <v>-4.1287249544680882E-2</v>
      </c>
      <c r="K905" s="7">
        <f t="shared" si="23"/>
        <v>6.0010502423024636E-4</v>
      </c>
      <c r="L905" s="7"/>
    </row>
    <row r="906" spans="1:12" x14ac:dyDescent="0.25">
      <c r="A906" s="2" t="s">
        <v>974</v>
      </c>
      <c r="B906" s="7">
        <v>-2.2739198880531442E-3</v>
      </c>
      <c r="C906" s="7">
        <v>-5.1210428305401567E-3</v>
      </c>
      <c r="D906" s="7">
        <v>2.0100502512562679E-2</v>
      </c>
      <c r="E906" s="7">
        <v>1.0909090909090979E-2</v>
      </c>
      <c r="F906" s="7">
        <v>2.2695154935377104E-3</v>
      </c>
      <c r="G906" s="7"/>
      <c r="H906" s="7">
        <f t="shared" si="24"/>
        <v>-4.5434353815908546E-3</v>
      </c>
      <c r="I906" s="7">
        <f t="shared" si="24"/>
        <v>-7.3905583240778672E-3</v>
      </c>
      <c r="J906" s="7">
        <f t="shared" si="24"/>
        <v>1.7830987019024969E-2</v>
      </c>
      <c r="K906" s="7">
        <f t="shared" si="23"/>
        <v>8.6395754155532689E-3</v>
      </c>
      <c r="L906" s="7"/>
    </row>
    <row r="907" spans="1:12" x14ac:dyDescent="0.25">
      <c r="A907" s="2" t="s">
        <v>975</v>
      </c>
      <c r="B907" s="7">
        <v>8.7636748617807569E-3</v>
      </c>
      <c r="C907" s="7">
        <v>-1.8819660149826278E-2</v>
      </c>
      <c r="D907" s="7">
        <v>2.577319587628879E-2</v>
      </c>
      <c r="E907" s="7">
        <v>-3.1139902261620556E-2</v>
      </c>
      <c r="F907" s="7">
        <v>-7.2377589891293725E-3</v>
      </c>
      <c r="G907" s="7"/>
      <c r="H907" s="7">
        <f t="shared" si="24"/>
        <v>1.6001433850910129E-2</v>
      </c>
      <c r="I907" s="7">
        <f t="shared" si="24"/>
        <v>-1.1581901160696906E-2</v>
      </c>
      <c r="J907" s="7">
        <f t="shared" si="24"/>
        <v>3.3010954865418163E-2</v>
      </c>
      <c r="K907" s="7">
        <f t="shared" si="23"/>
        <v>-2.3902143272491183E-2</v>
      </c>
      <c r="L907" s="7"/>
    </row>
    <row r="908" spans="1:12" x14ac:dyDescent="0.25">
      <c r="A908" s="2" t="s">
        <v>976</v>
      </c>
      <c r="B908" s="7">
        <v>-8.8147146970662948E-4</v>
      </c>
      <c r="C908" s="7">
        <v>-7.7055570664491535E-3</v>
      </c>
      <c r="D908" s="7">
        <v>2.6455026455026509E-2</v>
      </c>
      <c r="E908" s="7">
        <v>-1.6431924882629123E-2</v>
      </c>
      <c r="F908" s="7">
        <v>1.8756661407353103E-3</v>
      </c>
      <c r="G908" s="7"/>
      <c r="H908" s="7">
        <f t="shared" si="24"/>
        <v>-2.7571376104419398E-3</v>
      </c>
      <c r="I908" s="7">
        <f t="shared" si="24"/>
        <v>-9.5812232071844639E-3</v>
      </c>
      <c r="J908" s="7">
        <f t="shared" si="24"/>
        <v>2.4579360314291199E-2</v>
      </c>
      <c r="K908" s="7">
        <f t="shared" si="23"/>
        <v>-1.8307591023364433E-2</v>
      </c>
      <c r="L908" s="7"/>
    </row>
    <row r="909" spans="1:12" x14ac:dyDescent="0.25">
      <c r="A909" s="2" t="s">
        <v>173</v>
      </c>
      <c r="B909" s="7">
        <v>6.3276167947958761E-3</v>
      </c>
      <c r="C909" s="7">
        <v>-5.3201082055907012E-3</v>
      </c>
      <c r="D909" s="7">
        <v>5.3191489361701372E-3</v>
      </c>
      <c r="E909" s="7">
        <v>-6.0000000000001164E-3</v>
      </c>
      <c r="F909" s="7">
        <v>3.96948705068767E-3</v>
      </c>
      <c r="G909" s="7"/>
      <c r="H909" s="7">
        <f t="shared" si="24"/>
        <v>2.3581297441082061E-3</v>
      </c>
      <c r="I909" s="7">
        <f t="shared" si="24"/>
        <v>-9.2895952562783712E-3</v>
      </c>
      <c r="J909" s="7">
        <f t="shared" si="24"/>
        <v>1.3496618854824671E-3</v>
      </c>
      <c r="K909" s="7">
        <f t="shared" si="23"/>
        <v>-9.9694870506877864E-3</v>
      </c>
      <c r="L909" s="7"/>
    </row>
    <row r="910" spans="1:12" x14ac:dyDescent="0.25">
      <c r="A910" s="2" t="s">
        <v>977</v>
      </c>
      <c r="B910" s="7">
        <v>2.1381976322783158E-2</v>
      </c>
      <c r="C910" s="7">
        <v>1.7151242777217357E-2</v>
      </c>
      <c r="D910" s="7">
        <v>-1.0526315789473717E-2</v>
      </c>
      <c r="E910" s="7">
        <v>-1.1098779134294245E-3</v>
      </c>
      <c r="F910" s="7">
        <v>1.7322396708554288E-2</v>
      </c>
      <c r="G910" s="7"/>
      <c r="H910" s="7">
        <f t="shared" si="24"/>
        <v>4.0595796142288698E-3</v>
      </c>
      <c r="I910" s="7">
        <f t="shared" si="24"/>
        <v>-1.7115393133693146E-4</v>
      </c>
      <c r="J910" s="7">
        <f t="shared" si="24"/>
        <v>-2.7848712498028005E-2</v>
      </c>
      <c r="K910" s="7">
        <f t="shared" si="23"/>
        <v>-1.8432274621983713E-2</v>
      </c>
      <c r="L910" s="7"/>
    </row>
    <row r="911" spans="1:12" x14ac:dyDescent="0.25">
      <c r="A911" s="2" t="s">
        <v>978</v>
      </c>
      <c r="B911" s="7">
        <v>-4.3899212219615791E-3</v>
      </c>
      <c r="C911" s="7">
        <v>1.9297923175887188E-3</v>
      </c>
      <c r="D911" s="7">
        <v>2.7027027027026973E-2</v>
      </c>
      <c r="E911" s="7">
        <v>2.6429710640236914E-2</v>
      </c>
      <c r="F911" s="7">
        <v>-7.0542296876174859E-4</v>
      </c>
      <c r="G911" s="7"/>
      <c r="H911" s="7">
        <f t="shared" si="24"/>
        <v>-3.6844982531998305E-3</v>
      </c>
      <c r="I911" s="7">
        <f t="shared" si="24"/>
        <v>2.6352152863504674E-3</v>
      </c>
      <c r="J911" s="7">
        <f t="shared" si="24"/>
        <v>2.7732449995788722E-2</v>
      </c>
      <c r="K911" s="7">
        <f t="shared" si="23"/>
        <v>2.7135133608998663E-2</v>
      </c>
      <c r="L911" s="7"/>
    </row>
    <row r="912" spans="1:12" x14ac:dyDescent="0.25">
      <c r="A912" s="2" t="s">
        <v>979</v>
      </c>
      <c r="B912" s="7">
        <v>2.6164763961740167E-2</v>
      </c>
      <c r="C912" s="7">
        <v>1.0399257195914391E-2</v>
      </c>
      <c r="D912" s="7">
        <v>-3.6458333333333259E-2</v>
      </c>
      <c r="E912" s="7">
        <v>1.36258660508084E-2</v>
      </c>
      <c r="F912" s="7">
        <v>2.1290634013103604E-2</v>
      </c>
      <c r="G912" s="7"/>
      <c r="H912" s="7">
        <f t="shared" si="24"/>
        <v>4.874129948636563E-3</v>
      </c>
      <c r="I912" s="7">
        <f t="shared" si="24"/>
        <v>-1.0891376817189213E-2</v>
      </c>
      <c r="J912" s="7">
        <f t="shared" si="24"/>
        <v>-5.7748967346436864E-2</v>
      </c>
      <c r="K912" s="7">
        <f t="shared" si="23"/>
        <v>-7.6647679622952047E-3</v>
      </c>
      <c r="L912" s="7"/>
    </row>
    <row r="913" spans="1:12" x14ac:dyDescent="0.25">
      <c r="A913" s="2" t="s">
        <v>980</v>
      </c>
      <c r="B913" s="7">
        <v>3.0864197530866555E-4</v>
      </c>
      <c r="C913" s="7">
        <v>-4.345012480355015E-3</v>
      </c>
      <c r="D913" s="7">
        <v>2.6737967914438387E-2</v>
      </c>
      <c r="E913" s="7">
        <v>3.8251999536338399E-3</v>
      </c>
      <c r="F913" s="7">
        <v>-4.248730694724312E-3</v>
      </c>
      <c r="G913" s="7"/>
      <c r="H913" s="7">
        <f t="shared" si="24"/>
        <v>4.5573726700329775E-3</v>
      </c>
      <c r="I913" s="7">
        <f t="shared" si="24"/>
        <v>-9.6281785630702998E-5</v>
      </c>
      <c r="J913" s="7">
        <f t="shared" si="24"/>
        <v>3.0986698609162699E-2</v>
      </c>
      <c r="K913" s="7">
        <f t="shared" si="23"/>
        <v>8.0739306483581519E-3</v>
      </c>
      <c r="L913" s="7"/>
    </row>
    <row r="914" spans="1:12" x14ac:dyDescent="0.25">
      <c r="A914" s="2" t="s">
        <v>174</v>
      </c>
      <c r="B914" s="7">
        <v>-2.8928417554009433E-3</v>
      </c>
      <c r="C914" s="7">
        <v>7.2632461123010028E-3</v>
      </c>
      <c r="D914" s="7">
        <v>3.3149171270718369E-2</v>
      </c>
      <c r="E914" s="7">
        <v>-1.8543799772468783E-2</v>
      </c>
      <c r="F914" s="7">
        <v>-1.2375789770792123E-3</v>
      </c>
      <c r="G914" s="7"/>
      <c r="H914" s="7">
        <f t="shared" si="24"/>
        <v>-1.6552627783217311E-3</v>
      </c>
      <c r="I914" s="7">
        <f t="shared" si="24"/>
        <v>8.5008250893802151E-3</v>
      </c>
      <c r="J914" s="7">
        <f t="shared" si="24"/>
        <v>3.4386750247797582E-2</v>
      </c>
      <c r="K914" s="7">
        <f t="shared" si="23"/>
        <v>-1.7306220795389571E-2</v>
      </c>
      <c r="L914" s="7"/>
    </row>
    <row r="915" spans="1:12" x14ac:dyDescent="0.25">
      <c r="A915" s="2" t="s">
        <v>981</v>
      </c>
      <c r="B915" s="7">
        <v>-1.4136447449292211E-3</v>
      </c>
      <c r="C915" s="7">
        <v>-4.7265987025023604E-3</v>
      </c>
      <c r="D915" s="7">
        <v>2.2598870056497189E-2</v>
      </c>
      <c r="E915" s="7">
        <v>-5.0037825570085293E-2</v>
      </c>
      <c r="F915" s="7">
        <v>-1.6257460367924415E-3</v>
      </c>
      <c r="G915" s="7"/>
      <c r="H915" s="7">
        <f t="shared" si="24"/>
        <v>2.1210129186322035E-4</v>
      </c>
      <c r="I915" s="7">
        <f t="shared" si="24"/>
        <v>-3.1008526657099189E-3</v>
      </c>
      <c r="J915" s="7">
        <f t="shared" si="24"/>
        <v>2.422461609328963E-2</v>
      </c>
      <c r="K915" s="7">
        <f t="shared" si="23"/>
        <v>-4.8412079533292851E-2</v>
      </c>
      <c r="L915" s="7"/>
    </row>
    <row r="916" spans="1:12" x14ac:dyDescent="0.25">
      <c r="A916" s="2" t="s">
        <v>982</v>
      </c>
      <c r="B916" s="7">
        <v>-1.9017238206244791E-3</v>
      </c>
      <c r="C916" s="7">
        <v>3.2239548454989109E-2</v>
      </c>
      <c r="D916" s="7">
        <v>-1.6666666666666718E-2</v>
      </c>
      <c r="E916" s="7">
        <v>1.7931793179317923E-2</v>
      </c>
      <c r="F916" s="7">
        <v>-7.7734484990998887E-4</v>
      </c>
      <c r="G916" s="7"/>
      <c r="H916" s="7">
        <f t="shared" si="24"/>
        <v>-1.1243789707144902E-3</v>
      </c>
      <c r="I916" s="7">
        <f t="shared" si="24"/>
        <v>3.3016893304899098E-2</v>
      </c>
      <c r="J916" s="7">
        <f t="shared" si="24"/>
        <v>-1.588932181675673E-2</v>
      </c>
      <c r="K916" s="7">
        <f t="shared" si="23"/>
        <v>1.8709138029227912E-2</v>
      </c>
      <c r="L916" s="7"/>
    </row>
    <row r="917" spans="1:12" x14ac:dyDescent="0.25">
      <c r="A917" s="2" t="s">
        <v>983</v>
      </c>
      <c r="B917" s="7">
        <v>3.8214126488758771E-2</v>
      </c>
      <c r="C917" s="7">
        <v>1.2299050939376333E-2</v>
      </c>
      <c r="D917" s="7">
        <v>-1.6393442622950838E-2</v>
      </c>
      <c r="E917" s="7">
        <v>3.3424283765348006E-2</v>
      </c>
      <c r="F917" s="7">
        <v>1.5638481713144525E-2</v>
      </c>
      <c r="G917" s="7"/>
      <c r="H917" s="7">
        <f t="shared" si="24"/>
        <v>2.2575644775614245E-2</v>
      </c>
      <c r="I917" s="7">
        <f t="shared" si="24"/>
        <v>-3.3394307737681928E-3</v>
      </c>
      <c r="J917" s="7">
        <f t="shared" si="24"/>
        <v>-3.2031924336095363E-2</v>
      </c>
      <c r="K917" s="7">
        <f t="shared" si="23"/>
        <v>1.7785802052203481E-2</v>
      </c>
      <c r="L917" s="7"/>
    </row>
    <row r="918" spans="1:12" x14ac:dyDescent="0.25">
      <c r="A918" s="2" t="s">
        <v>984</v>
      </c>
      <c r="B918" s="7">
        <v>-9.2756183745582588E-3</v>
      </c>
      <c r="C918" s="7">
        <v>-1.1298353121409366E-2</v>
      </c>
      <c r="D918" s="7">
        <v>1.6666666666666607E-2</v>
      </c>
      <c r="E918" s="7">
        <v>2.5174825174825166E-2</v>
      </c>
      <c r="F918" s="7">
        <v>-6.6624095876541833E-3</v>
      </c>
      <c r="G918" s="7"/>
      <c r="H918" s="7">
        <f t="shared" si="24"/>
        <v>-2.6132087869040754E-3</v>
      </c>
      <c r="I918" s="7">
        <f t="shared" si="24"/>
        <v>-4.6359435337551824E-3</v>
      </c>
      <c r="J918" s="7">
        <f t="shared" si="24"/>
        <v>2.3329076254320791E-2</v>
      </c>
      <c r="K918" s="7">
        <f t="shared" si="23"/>
        <v>3.1837234762479349E-2</v>
      </c>
      <c r="L918" s="7"/>
    </row>
    <row r="919" spans="1:12" x14ac:dyDescent="0.25">
      <c r="A919" s="2" t="s">
        <v>175</v>
      </c>
      <c r="B919" s="7">
        <v>-6.1457418788412044E-3</v>
      </c>
      <c r="C919" s="7">
        <v>8.6248203162431203E-4</v>
      </c>
      <c r="D919" s="7">
        <v>5.2631578947368363E-2</v>
      </c>
      <c r="E919" s="7">
        <v>1.0957935666313201E-2</v>
      </c>
      <c r="F919" s="7">
        <v>-2.8230463236237346E-3</v>
      </c>
      <c r="G919" s="7"/>
      <c r="H919" s="7">
        <f t="shared" si="24"/>
        <v>-3.3226955552174697E-3</v>
      </c>
      <c r="I919" s="7">
        <f t="shared" si="24"/>
        <v>3.6855283552480467E-3</v>
      </c>
      <c r="J919" s="7">
        <f t="shared" si="24"/>
        <v>5.5454625270992097E-2</v>
      </c>
      <c r="K919" s="7">
        <f t="shared" si="23"/>
        <v>1.3780981989936936E-2</v>
      </c>
      <c r="L919" s="7"/>
    </row>
    <row r="920" spans="1:12" x14ac:dyDescent="0.25">
      <c r="A920" s="2" t="s">
        <v>985</v>
      </c>
      <c r="B920" s="7">
        <v>3.277202072538854E-2</v>
      </c>
      <c r="C920" s="7">
        <v>2.0438098963426521E-2</v>
      </c>
      <c r="D920" s="7">
        <v>-5.8139534883721034E-3</v>
      </c>
      <c r="E920" s="7">
        <v>-0.1112158341187558</v>
      </c>
      <c r="F920" s="7">
        <v>1.4207733466259809E-2</v>
      </c>
      <c r="G920" s="7"/>
      <c r="H920" s="7">
        <f t="shared" si="24"/>
        <v>1.8564287259128731E-2</v>
      </c>
      <c r="I920" s="7">
        <f t="shared" si="24"/>
        <v>6.2303654971667122E-3</v>
      </c>
      <c r="J920" s="7">
        <f t="shared" si="24"/>
        <v>-2.0021686954631912E-2</v>
      </c>
      <c r="K920" s="7">
        <f t="shared" si="23"/>
        <v>-0.12542356758501561</v>
      </c>
      <c r="L920" s="7"/>
    </row>
    <row r="921" spans="1:12" x14ac:dyDescent="0.25">
      <c r="A921" s="2" t="s">
        <v>986</v>
      </c>
      <c r="B921" s="7">
        <v>3.5749106272344733E-3</v>
      </c>
      <c r="C921" s="7">
        <v>1.087386318703043E-2</v>
      </c>
      <c r="D921" s="7">
        <v>-8.0213903743315607E-2</v>
      </c>
      <c r="E921" s="7">
        <v>-2.1719086159205037E-2</v>
      </c>
      <c r="F921" s="7">
        <v>1.2133382708562568E-2</v>
      </c>
      <c r="G921" s="7"/>
      <c r="H921" s="7">
        <f t="shared" si="24"/>
        <v>-8.5584720813280946E-3</v>
      </c>
      <c r="I921" s="7">
        <f t="shared" si="24"/>
        <v>-1.2595195215321375E-3</v>
      </c>
      <c r="J921" s="7">
        <f t="shared" si="24"/>
        <v>-9.2347286451878174E-2</v>
      </c>
      <c r="K921" s="7">
        <f t="shared" si="23"/>
        <v>-3.3852468867767604E-2</v>
      </c>
      <c r="L921" s="7"/>
    </row>
    <row r="922" spans="1:12" x14ac:dyDescent="0.25">
      <c r="A922" s="2" t="s">
        <v>987</v>
      </c>
      <c r="B922" s="7">
        <v>3.4285714285714253E-2</v>
      </c>
      <c r="C922" s="7">
        <v>-1.3361942845996344E-2</v>
      </c>
      <c r="D922" s="7">
        <v>6.25E-2</v>
      </c>
      <c r="E922" s="7">
        <v>1.3182478721195823E-2</v>
      </c>
      <c r="F922" s="7">
        <v>2.6156259165274642E-2</v>
      </c>
      <c r="G922" s="7"/>
      <c r="H922" s="7">
        <f t="shared" si="24"/>
        <v>8.1294551204396104E-3</v>
      </c>
      <c r="I922" s="7">
        <f t="shared" si="24"/>
        <v>-3.9518202011270986E-2</v>
      </c>
      <c r="J922" s="7">
        <f t="shared" si="24"/>
        <v>3.6343740834725358E-2</v>
      </c>
      <c r="K922" s="7">
        <f t="shared" si="23"/>
        <v>-1.297378044407882E-2</v>
      </c>
      <c r="L922" s="7"/>
    </row>
    <row r="923" spans="1:12" x14ac:dyDescent="0.25">
      <c r="A923" s="2" t="s">
        <v>988</v>
      </c>
      <c r="B923" s="7">
        <v>-8.8619402985075091E-3</v>
      </c>
      <c r="C923" s="7">
        <v>4.9437052200614007E-2</v>
      </c>
      <c r="D923" s="7">
        <v>-2.2222222222222254E-2</v>
      </c>
      <c r="E923" s="7">
        <v>3.7507814127943906E-3</v>
      </c>
      <c r="F923" s="7">
        <v>-1.1543193070554847E-2</v>
      </c>
      <c r="G923" s="7"/>
      <c r="H923" s="7">
        <f t="shared" si="24"/>
        <v>2.6812527720473378E-3</v>
      </c>
      <c r="I923" s="7">
        <f t="shared" si="24"/>
        <v>6.0980245271168854E-2</v>
      </c>
      <c r="J923" s="7">
        <f t="shared" si="24"/>
        <v>-1.0679029151667407E-2</v>
      </c>
      <c r="K923" s="7">
        <f t="shared" si="23"/>
        <v>1.5293974483349237E-2</v>
      </c>
      <c r="L923" s="7"/>
    </row>
    <row r="924" spans="1:12" x14ac:dyDescent="0.25">
      <c r="A924" s="2" t="s">
        <v>176</v>
      </c>
      <c r="B924" s="7">
        <v>-7.4074074074071961E-3</v>
      </c>
      <c r="C924" s="7">
        <v>0</v>
      </c>
      <c r="D924" s="7">
        <v>3.4482758620689724E-2</v>
      </c>
      <c r="E924" s="7">
        <v>4.5002616431188969E-3</v>
      </c>
      <c r="F924" s="7">
        <v>1.3151152429682345E-3</v>
      </c>
      <c r="G924" s="7"/>
      <c r="H924" s="7">
        <f t="shared" si="24"/>
        <v>-8.7225226503754305E-3</v>
      </c>
      <c r="I924" s="7">
        <f t="shared" si="24"/>
        <v>-1.3151152429682345E-3</v>
      </c>
      <c r="J924" s="7">
        <f t="shared" si="24"/>
        <v>3.316764337772149E-2</v>
      </c>
      <c r="K924" s="7">
        <f t="shared" si="23"/>
        <v>3.1851464001506624E-3</v>
      </c>
      <c r="L924" s="7"/>
    </row>
    <row r="925" spans="1:12" x14ac:dyDescent="0.25">
      <c r="A925" s="2" t="s">
        <v>989</v>
      </c>
      <c r="B925" s="7">
        <v>-8.0692777012399963E-3</v>
      </c>
      <c r="C925" s="7">
        <v>1.2297601967616867E-3</v>
      </c>
      <c r="D925" s="7">
        <v>1.1627906976744207E-2</v>
      </c>
      <c r="E925" s="7">
        <v>-4.2968750000000111E-2</v>
      </c>
      <c r="F925" s="7">
        <v>-9.3324497680640217E-3</v>
      </c>
      <c r="G925" s="7"/>
      <c r="H925" s="7">
        <f t="shared" si="24"/>
        <v>1.2631720668240254E-3</v>
      </c>
      <c r="I925" s="7">
        <f t="shared" si="24"/>
        <v>1.0562209964825708E-2</v>
      </c>
      <c r="J925" s="7">
        <f t="shared" si="24"/>
        <v>2.0960356744808228E-2</v>
      </c>
      <c r="K925" s="7">
        <f t="shared" si="23"/>
        <v>-3.3636300231936089E-2</v>
      </c>
      <c r="L925" s="7"/>
    </row>
    <row r="926" spans="1:12" x14ac:dyDescent="0.25">
      <c r="A926" s="2" t="s">
        <v>990</v>
      </c>
      <c r="B926" s="7">
        <v>1.5049610441499661E-2</v>
      </c>
      <c r="C926" s="7">
        <v>7.0175438596491446E-3</v>
      </c>
      <c r="D926" s="7">
        <v>-2.2727272727272707E-2</v>
      </c>
      <c r="E926" s="7">
        <v>1.1242783348526242E-2</v>
      </c>
      <c r="F926" s="7">
        <v>9.8613601353569891E-3</v>
      </c>
      <c r="G926" s="7"/>
      <c r="H926" s="7">
        <f t="shared" si="24"/>
        <v>5.1882503061426721E-3</v>
      </c>
      <c r="I926" s="7">
        <f t="shared" si="24"/>
        <v>-2.8438162757078445E-3</v>
      </c>
      <c r="J926" s="7">
        <f t="shared" si="24"/>
        <v>-3.2588632862629696E-2</v>
      </c>
      <c r="K926" s="7">
        <f t="shared" si="23"/>
        <v>1.3814232131692528E-3</v>
      </c>
      <c r="L926" s="7"/>
    </row>
    <row r="927" spans="1:12" x14ac:dyDescent="0.25">
      <c r="A927" s="2" t="s">
        <v>991</v>
      </c>
      <c r="B927" s="7">
        <v>1.3566414686825068E-2</v>
      </c>
      <c r="C927" s="7">
        <v>6.7532467532467333E-3</v>
      </c>
      <c r="D927" s="7">
        <v>2.3255813953488413E-2</v>
      </c>
      <c r="E927" s="7">
        <v>-7.539203860072341E-3</v>
      </c>
      <c r="F927" s="7">
        <v>5.8958160281861183E-3</v>
      </c>
      <c r="G927" s="7"/>
      <c r="H927" s="7">
        <f t="shared" si="24"/>
        <v>7.6705986586389496E-3</v>
      </c>
      <c r="I927" s="7">
        <f t="shared" si="24"/>
        <v>8.5743072506061502E-4</v>
      </c>
      <c r="J927" s="7">
        <f t="shared" si="24"/>
        <v>1.7359997925302295E-2</v>
      </c>
      <c r="K927" s="7">
        <f t="shared" si="23"/>
        <v>-1.3435019888258459E-2</v>
      </c>
      <c r="L927" s="7"/>
    </row>
    <row r="928" spans="1:12" x14ac:dyDescent="0.25">
      <c r="A928" s="2" t="s">
        <v>992</v>
      </c>
      <c r="B928" s="7">
        <v>2.6678677846303067E-2</v>
      </c>
      <c r="C928" s="7">
        <v>2.4917474177403864E-2</v>
      </c>
      <c r="D928" s="7">
        <v>7.4999999999999956E-2</v>
      </c>
      <c r="E928" s="7">
        <v>1.5620214395099641E-2</v>
      </c>
      <c r="F928" s="7">
        <v>2.7628333137554417E-2</v>
      </c>
      <c r="G928" s="7"/>
      <c r="H928" s="7">
        <f t="shared" si="24"/>
        <v>-9.4965529125135006E-4</v>
      </c>
      <c r="I928" s="7">
        <f t="shared" si="24"/>
        <v>-2.7108589601505528E-3</v>
      </c>
      <c r="J928" s="7">
        <f t="shared" si="24"/>
        <v>4.7371666862445538E-2</v>
      </c>
      <c r="K928" s="7">
        <f t="shared" si="23"/>
        <v>-1.2008118742454776E-2</v>
      </c>
      <c r="L928" s="7"/>
    </row>
    <row r="929" spans="1:12" x14ac:dyDescent="0.25">
      <c r="A929" s="2" t="s">
        <v>177</v>
      </c>
      <c r="B929" s="7">
        <v>-2.0631150322361624E-2</v>
      </c>
      <c r="C929" s="7">
        <v>-9.3881856540084518E-3</v>
      </c>
      <c r="D929" s="7">
        <v>4.5751633986928164E-2</v>
      </c>
      <c r="E929" s="7">
        <v>6.7838421214923006E-3</v>
      </c>
      <c r="F929" s="7">
        <v>-8.3636194203708936E-3</v>
      </c>
      <c r="G929" s="7"/>
      <c r="H929" s="7">
        <f t="shared" si="24"/>
        <v>-1.2267530901990731E-2</v>
      </c>
      <c r="I929" s="7">
        <f t="shared" si="24"/>
        <v>-1.0245662336375583E-3</v>
      </c>
      <c r="J929" s="7">
        <f t="shared" si="24"/>
        <v>5.4115253407299058E-2</v>
      </c>
      <c r="K929" s="7">
        <f t="shared" si="23"/>
        <v>1.5147461541863194E-2</v>
      </c>
      <c r="L929" s="7"/>
    </row>
    <row r="930" spans="1:12" x14ac:dyDescent="0.25">
      <c r="A930" s="2" t="s">
        <v>993</v>
      </c>
      <c r="B930" s="7">
        <v>1.1463481603514403E-2</v>
      </c>
      <c r="C930" s="7">
        <v>1.4229164437787434E-2</v>
      </c>
      <c r="D930" s="7">
        <v>4.081632653061229E-2</v>
      </c>
      <c r="E930" s="7">
        <v>-1.2685203978079929E-2</v>
      </c>
      <c r="F930" s="7">
        <v>1.9201241036518768E-2</v>
      </c>
      <c r="G930" s="7"/>
      <c r="H930" s="7">
        <f t="shared" si="24"/>
        <v>-7.7377594330043653E-3</v>
      </c>
      <c r="I930" s="7">
        <f t="shared" si="24"/>
        <v>-4.9720765987313342E-3</v>
      </c>
      <c r="J930" s="7">
        <f t="shared" si="24"/>
        <v>2.1615085494093522E-2</v>
      </c>
      <c r="K930" s="7">
        <f t="shared" si="23"/>
        <v>-3.1886445014598697E-2</v>
      </c>
      <c r="L930" s="7"/>
    </row>
    <row r="931" spans="1:12" x14ac:dyDescent="0.25">
      <c r="A931" s="2" t="s">
        <v>994</v>
      </c>
      <c r="B931" s="7">
        <v>2.0453908657887432E-2</v>
      </c>
      <c r="C931" s="7">
        <v>-5.3464499572275503E-4</v>
      </c>
      <c r="D931" s="7">
        <v>-6.7567567567567988E-3</v>
      </c>
      <c r="E931" s="7">
        <v>-4.8933500627352466E-2</v>
      </c>
      <c r="F931" s="7">
        <v>-2.99859539478875E-3</v>
      </c>
      <c r="G931" s="7"/>
      <c r="H931" s="7">
        <f t="shared" si="24"/>
        <v>2.3452504052676182E-2</v>
      </c>
      <c r="I931" s="7">
        <f t="shared" si="24"/>
        <v>2.463950399065995E-3</v>
      </c>
      <c r="J931" s="7">
        <f t="shared" si="24"/>
        <v>-3.7581613619680487E-3</v>
      </c>
      <c r="K931" s="7">
        <f t="shared" si="23"/>
        <v>-4.5934905232563716E-2</v>
      </c>
      <c r="L931" s="7"/>
    </row>
    <row r="932" spans="1:12" x14ac:dyDescent="0.25">
      <c r="A932" s="2" t="s">
        <v>995</v>
      </c>
      <c r="B932" s="7">
        <v>-2.5153717160425471E-3</v>
      </c>
      <c r="C932" s="7">
        <v>-1.4022140221402246E-2</v>
      </c>
      <c r="D932" s="7">
        <v>9.6296296296296102E-2</v>
      </c>
      <c r="E932" s="7">
        <v>-1.0605476282298243E-3</v>
      </c>
      <c r="F932" s="7">
        <v>-4.4568974546977946E-3</v>
      </c>
      <c r="G932" s="7"/>
      <c r="H932" s="7">
        <f t="shared" si="24"/>
        <v>1.9415257386552476E-3</v>
      </c>
      <c r="I932" s="7">
        <f t="shared" si="24"/>
        <v>-9.5652427667044515E-3</v>
      </c>
      <c r="J932" s="7">
        <f t="shared" si="24"/>
        <v>0.1007531937509939</v>
      </c>
      <c r="K932" s="7">
        <f t="shared" si="23"/>
        <v>3.3963498264679703E-3</v>
      </c>
      <c r="L932" s="7"/>
    </row>
    <row r="933" spans="1:12" x14ac:dyDescent="0.25">
      <c r="A933" s="2" t="s">
        <v>996</v>
      </c>
      <c r="B933" s="7">
        <v>6.823777699613176E-3</v>
      </c>
      <c r="C933" s="7">
        <v>9.2572887848476615E-3</v>
      </c>
      <c r="D933" s="7">
        <v>0</v>
      </c>
      <c r="E933" s="7">
        <v>-3.2673457620603363E-3</v>
      </c>
      <c r="F933" s="7">
        <v>-9.2439089567069033E-3</v>
      </c>
      <c r="G933" s="7"/>
      <c r="H933" s="7">
        <f t="shared" si="24"/>
        <v>1.6067686656320079E-2</v>
      </c>
      <c r="I933" s="7">
        <f t="shared" si="24"/>
        <v>1.8501197741554565E-2</v>
      </c>
      <c r="J933" s="7">
        <f t="shared" si="24"/>
        <v>9.2439089567069033E-3</v>
      </c>
      <c r="K933" s="7">
        <f t="shared" si="23"/>
        <v>5.9765631946465669E-3</v>
      </c>
      <c r="L933" s="7"/>
    </row>
    <row r="934" spans="1:12" x14ac:dyDescent="0.25">
      <c r="A934" s="2" t="s">
        <v>178</v>
      </c>
      <c r="B934" s="7">
        <v>-1.4762960909342926E-2</v>
      </c>
      <c r="C934" s="7">
        <v>2.2395222352564748E-3</v>
      </c>
      <c r="D934" s="7">
        <v>-2.1739130434782483E-2</v>
      </c>
      <c r="E934" s="7">
        <v>-9.3711896882076262E-2</v>
      </c>
      <c r="F934" s="7">
        <v>-1.1527473598367033E-2</v>
      </c>
      <c r="G934" s="7"/>
      <c r="H934" s="7">
        <f t="shared" si="24"/>
        <v>-3.235487310975893E-3</v>
      </c>
      <c r="I934" s="7">
        <f t="shared" si="24"/>
        <v>1.3766995833623508E-2</v>
      </c>
      <c r="J934" s="7">
        <f t="shared" si="24"/>
        <v>-1.021165683641545E-2</v>
      </c>
      <c r="K934" s="7">
        <f t="shared" si="23"/>
        <v>-8.2184423283709229E-2</v>
      </c>
      <c r="L934" s="7"/>
    </row>
    <row r="935" spans="1:12" x14ac:dyDescent="0.25">
      <c r="A935" s="2" t="s">
        <v>997</v>
      </c>
      <c r="B935" s="7">
        <v>4.7353760445683069E-3</v>
      </c>
      <c r="C935" s="7">
        <v>-1.0238547603968695E-2</v>
      </c>
      <c r="D935" s="7">
        <v>7.2992700729925808E-3</v>
      </c>
      <c r="E935" s="7">
        <v>-1.2131119332358331E-2</v>
      </c>
      <c r="F935" s="7">
        <v>-8.3021149894169088E-4</v>
      </c>
      <c r="G935" s="7"/>
      <c r="H935" s="7">
        <f t="shared" si="24"/>
        <v>5.5655875435099977E-3</v>
      </c>
      <c r="I935" s="7">
        <f t="shared" si="24"/>
        <v>-9.4083361050270042E-3</v>
      </c>
      <c r="J935" s="7">
        <f t="shared" si="24"/>
        <v>8.1294815719342717E-3</v>
      </c>
      <c r="K935" s="7">
        <f t="shared" si="23"/>
        <v>-1.130090783341664E-2</v>
      </c>
      <c r="L935" s="7"/>
    </row>
    <row r="936" spans="1:12" x14ac:dyDescent="0.25">
      <c r="A936" s="2" t="s">
        <v>998</v>
      </c>
      <c r="B936" s="7">
        <v>2.3958927552766518E-2</v>
      </c>
      <c r="C936" s="7">
        <v>1.5857913098635823E-3</v>
      </c>
      <c r="D936" s="7">
        <v>3.007518796992481E-2</v>
      </c>
      <c r="E936" s="7">
        <v>2.7402103774418984E-2</v>
      </c>
      <c r="F936" s="7">
        <v>1.4964578110208349E-2</v>
      </c>
      <c r="G936" s="7"/>
      <c r="H936" s="7">
        <f t="shared" si="24"/>
        <v>8.9943494425581694E-3</v>
      </c>
      <c r="I936" s="7">
        <f t="shared" si="24"/>
        <v>-1.3378786800344766E-2</v>
      </c>
      <c r="J936" s="7">
        <f t="shared" si="24"/>
        <v>1.5110609859716462E-2</v>
      </c>
      <c r="K936" s="7">
        <f t="shared" si="23"/>
        <v>1.2437525664210636E-2</v>
      </c>
      <c r="L936" s="7"/>
    </row>
    <row r="937" spans="1:12" x14ac:dyDescent="0.25">
      <c r="A937" s="2" t="s">
        <v>999</v>
      </c>
      <c r="B937" s="7">
        <v>9.6472282217423544E-3</v>
      </c>
      <c r="C937" s="7">
        <v>4.8868585998087521E-3</v>
      </c>
      <c r="D937" s="7">
        <v>-4.9999999999999933E-2</v>
      </c>
      <c r="E937" s="7">
        <v>-8.414409676571144E-3</v>
      </c>
      <c r="F937" s="7">
        <v>3.5731157621645693E-3</v>
      </c>
      <c r="G937" s="7"/>
      <c r="H937" s="7">
        <f t="shared" si="24"/>
        <v>6.0741124595777851E-3</v>
      </c>
      <c r="I937" s="7">
        <f t="shared" si="24"/>
        <v>1.3137428376441829E-3</v>
      </c>
      <c r="J937" s="7">
        <f t="shared" si="24"/>
        <v>-5.3573115762164503E-2</v>
      </c>
      <c r="K937" s="7">
        <f t="shared" si="23"/>
        <v>-1.1987525438735713E-2</v>
      </c>
      <c r="L937" s="7"/>
    </row>
    <row r="938" spans="1:12" x14ac:dyDescent="0.25">
      <c r="A938" s="2" t="s">
        <v>1000</v>
      </c>
      <c r="B938" s="7">
        <v>1.8926056338028241E-2</v>
      </c>
      <c r="C938" s="7">
        <v>5.6623931623931423E-3</v>
      </c>
      <c r="D938" s="7">
        <v>-4.7619047619047672E-2</v>
      </c>
      <c r="E938" s="7">
        <v>3.5675381263616579E-2</v>
      </c>
      <c r="F938" s="7">
        <v>1.5841770513915776E-3</v>
      </c>
      <c r="G938" s="7"/>
      <c r="H938" s="7">
        <f t="shared" si="24"/>
        <v>1.7341879286636663E-2</v>
      </c>
      <c r="I938" s="7">
        <f t="shared" si="24"/>
        <v>4.0782161110015647E-3</v>
      </c>
      <c r="J938" s="7">
        <f t="shared" si="24"/>
        <v>-4.920322467043925E-2</v>
      </c>
      <c r="K938" s="7">
        <f t="shared" si="23"/>
        <v>3.4091204212225001E-2</v>
      </c>
      <c r="L938" s="7"/>
    </row>
    <row r="939" spans="1:12" x14ac:dyDescent="0.25">
      <c r="A939" s="2" t="s">
        <v>1001</v>
      </c>
      <c r="B939" s="7">
        <v>1.6175922474841453E-2</v>
      </c>
      <c r="C939" s="7">
        <v>-7.1072451469184061E-3</v>
      </c>
      <c r="D939" s="7">
        <v>-3.289473684210531E-2</v>
      </c>
      <c r="E939" s="7">
        <v>2.037791774731379E-2</v>
      </c>
      <c r="F939" s="7">
        <v>1.0553762105785847E-2</v>
      </c>
      <c r="G939" s="7"/>
      <c r="H939" s="7">
        <f t="shared" si="24"/>
        <v>5.6221603690556066E-3</v>
      </c>
      <c r="I939" s="7">
        <f t="shared" si="24"/>
        <v>-1.7661007252704253E-2</v>
      </c>
      <c r="J939" s="7">
        <f t="shared" si="24"/>
        <v>-4.3448498947891157E-2</v>
      </c>
      <c r="K939" s="7">
        <f t="shared" si="23"/>
        <v>9.824155641527943E-3</v>
      </c>
      <c r="L939" s="7"/>
    </row>
    <row r="940" spans="1:12" x14ac:dyDescent="0.25">
      <c r="A940" s="2" t="s">
        <v>1002</v>
      </c>
      <c r="B940" s="7">
        <v>-1.8079344166300637E-2</v>
      </c>
      <c r="C940" s="7">
        <v>-2.855933996192217E-3</v>
      </c>
      <c r="D940" s="7">
        <v>0</v>
      </c>
      <c r="E940" s="7">
        <v>-2.0237771122606496E-2</v>
      </c>
      <c r="F940" s="7">
        <v>-8.7592273026031453E-3</v>
      </c>
      <c r="G940" s="7"/>
      <c r="H940" s="7">
        <f t="shared" si="24"/>
        <v>-9.3201168636974918E-3</v>
      </c>
      <c r="I940" s="7">
        <f t="shared" si="24"/>
        <v>5.9032933064109283E-3</v>
      </c>
      <c r="J940" s="7">
        <f t="shared" si="24"/>
        <v>8.7592273026031453E-3</v>
      </c>
      <c r="K940" s="7">
        <f t="shared" si="23"/>
        <v>-1.1478543820003351E-2</v>
      </c>
      <c r="L940" s="7"/>
    </row>
    <row r="941" spans="1:12" x14ac:dyDescent="0.25">
      <c r="A941" s="2" t="s">
        <v>1003</v>
      </c>
      <c r="B941" s="7">
        <v>1.3050570962479524E-2</v>
      </c>
      <c r="C941" s="7">
        <v>-4.2131872761743683E-3</v>
      </c>
      <c r="D941" s="7">
        <v>-3.1847133757961776E-2</v>
      </c>
      <c r="E941" s="7">
        <v>-6.31256199837682E-3</v>
      </c>
      <c r="F941" s="7">
        <v>-7.1175308448145902E-4</v>
      </c>
      <c r="G941" s="7"/>
      <c r="H941" s="7">
        <f t="shared" si="24"/>
        <v>1.3762324046960983E-2</v>
      </c>
      <c r="I941" s="7">
        <f t="shared" si="24"/>
        <v>-3.5014341916929093E-3</v>
      </c>
      <c r="J941" s="7">
        <f t="shared" si="24"/>
        <v>-3.1135380673480317E-2</v>
      </c>
      <c r="K941" s="7">
        <f t="shared" si="23"/>
        <v>-5.600808913895361E-3</v>
      </c>
      <c r="L941" s="7"/>
    </row>
    <row r="942" spans="1:12" x14ac:dyDescent="0.25">
      <c r="A942" s="2" t="s">
        <v>1004</v>
      </c>
      <c r="B942" s="7">
        <v>-2.9784172661870389E-2</v>
      </c>
      <c r="C942" s="7">
        <v>-1.8606574322927449E-2</v>
      </c>
      <c r="D942" s="7">
        <v>-1.2578616352201255E-2</v>
      </c>
      <c r="E942" s="7">
        <v>-1.6583894998226323E-2</v>
      </c>
      <c r="F942" s="7">
        <v>-2.0143021607082812E-2</v>
      </c>
      <c r="G942" s="7"/>
      <c r="H942" s="7">
        <f t="shared" si="24"/>
        <v>-9.6411510547875778E-3</v>
      </c>
      <c r="I942" s="7">
        <f t="shared" si="24"/>
        <v>1.5364472841553622E-3</v>
      </c>
      <c r="J942" s="7">
        <f t="shared" si="24"/>
        <v>7.5644052548815566E-3</v>
      </c>
      <c r="K942" s="7">
        <f t="shared" si="23"/>
        <v>3.5591266088564888E-3</v>
      </c>
      <c r="L942" s="7"/>
    </row>
    <row r="943" spans="1:12" x14ac:dyDescent="0.25">
      <c r="A943" s="2" t="s">
        <v>179</v>
      </c>
      <c r="B943" s="7">
        <v>0</v>
      </c>
      <c r="C943" s="7">
        <v>-1.1444921316166035E-2</v>
      </c>
      <c r="D943" s="7">
        <v>4.6052631578947345E-2</v>
      </c>
      <c r="E943" s="7">
        <v>9.4897045658013379E-3</v>
      </c>
      <c r="F943" s="7">
        <v>-2.973101484249896E-3</v>
      </c>
      <c r="G943" s="7"/>
      <c r="H943" s="7">
        <f t="shared" si="24"/>
        <v>2.973101484249896E-3</v>
      </c>
      <c r="I943" s="7">
        <f t="shared" si="24"/>
        <v>-8.4718198319161386E-3</v>
      </c>
      <c r="J943" s="7">
        <f t="shared" si="24"/>
        <v>4.9025733063197241E-2</v>
      </c>
      <c r="K943" s="7">
        <f t="shared" si="23"/>
        <v>1.2462806050051234E-2</v>
      </c>
      <c r="L943" s="7"/>
    </row>
    <row r="944" spans="1:12" x14ac:dyDescent="0.25">
      <c r="A944" s="2" t="s">
        <v>1005</v>
      </c>
      <c r="B944" s="7">
        <v>2.4544851477850793E-2</v>
      </c>
      <c r="C944" s="7">
        <v>3.2169602362619898E-2</v>
      </c>
      <c r="D944" s="7">
        <v>4.8275862068965614E-2</v>
      </c>
      <c r="E944" s="7">
        <v>4.9121818352587665E-2</v>
      </c>
      <c r="F944" s="7">
        <v>3.0563290855777359E-2</v>
      </c>
      <c r="G944" s="7"/>
      <c r="H944" s="7">
        <f t="shared" si="24"/>
        <v>-6.0184393779265655E-3</v>
      </c>
      <c r="I944" s="7">
        <f t="shared" si="24"/>
        <v>1.6063115068425393E-3</v>
      </c>
      <c r="J944" s="7">
        <f t="shared" si="24"/>
        <v>1.7712571213188255E-2</v>
      </c>
      <c r="K944" s="7">
        <f t="shared" si="23"/>
        <v>1.8558527496810306E-2</v>
      </c>
      <c r="L944" s="7"/>
    </row>
    <row r="945" spans="1:12" x14ac:dyDescent="0.25">
      <c r="A945" s="2" t="s">
        <v>1006</v>
      </c>
      <c r="B945" s="7">
        <v>2.153452300278591E-2</v>
      </c>
      <c r="C945" s="7">
        <v>-1.8949363090851046E-3</v>
      </c>
      <c r="D945" s="7">
        <v>0</v>
      </c>
      <c r="E945" s="7">
        <v>6.6192669737632714E-2</v>
      </c>
      <c r="F945" s="7">
        <v>9.5321937609877949E-3</v>
      </c>
      <c r="G945" s="7"/>
      <c r="H945" s="7">
        <f t="shared" si="24"/>
        <v>1.2002329241798115E-2</v>
      </c>
      <c r="I945" s="7">
        <f t="shared" si="24"/>
        <v>-1.1427130070072899E-2</v>
      </c>
      <c r="J945" s="7">
        <f t="shared" si="24"/>
        <v>-9.5321937609877949E-3</v>
      </c>
      <c r="K945" s="7">
        <f t="shared" si="23"/>
        <v>5.666047597664492E-2</v>
      </c>
      <c r="L945" s="7"/>
    </row>
    <row r="946" spans="1:12" x14ac:dyDescent="0.25">
      <c r="A946" s="2" t="s">
        <v>1007</v>
      </c>
      <c r="B946" s="7">
        <v>-3.8253825382537077E-3</v>
      </c>
      <c r="C946" s="7">
        <v>2.956393200295615E-3</v>
      </c>
      <c r="D946" s="7">
        <v>-2.684563758389269E-2</v>
      </c>
      <c r="E946" s="7">
        <v>-1.1678543151227294E-2</v>
      </c>
      <c r="F946" s="7">
        <v>-1.3015334188627437E-3</v>
      </c>
      <c r="G946" s="7"/>
      <c r="H946" s="7">
        <f t="shared" si="24"/>
        <v>-2.523849119390964E-3</v>
      </c>
      <c r="I946" s="7">
        <f t="shared" si="24"/>
        <v>4.2579266191583587E-3</v>
      </c>
      <c r="J946" s="7">
        <f t="shared" si="24"/>
        <v>-2.5544104165029946E-2</v>
      </c>
      <c r="K946" s="7">
        <f t="shared" si="23"/>
        <v>-1.037700973236455E-2</v>
      </c>
      <c r="L946" s="7"/>
    </row>
    <row r="947" spans="1:12" x14ac:dyDescent="0.25">
      <c r="A947" s="2" t="s">
        <v>1008</v>
      </c>
      <c r="B947" s="7">
        <v>3.2767836393214012E-2</v>
      </c>
      <c r="C947" s="7">
        <v>1.2686330478908214E-3</v>
      </c>
      <c r="D947" s="7">
        <v>0.10370370370370363</v>
      </c>
      <c r="E947" s="7">
        <v>4.0576725025746718E-2</v>
      </c>
      <c r="F947" s="7">
        <v>2.447725615264873E-2</v>
      </c>
      <c r="G947" s="7"/>
      <c r="H947" s="7">
        <f t="shared" si="24"/>
        <v>8.2905802405652818E-3</v>
      </c>
      <c r="I947" s="7">
        <f t="shared" si="24"/>
        <v>-2.3208623104757908E-2</v>
      </c>
      <c r="J947" s="7">
        <f t="shared" si="24"/>
        <v>7.9226447551054902E-2</v>
      </c>
      <c r="K947" s="7">
        <f t="shared" si="23"/>
        <v>1.6099468873097988E-2</v>
      </c>
      <c r="L947" s="7"/>
    </row>
    <row r="948" spans="1:12" x14ac:dyDescent="0.25">
      <c r="A948" s="2" t="s">
        <v>1009</v>
      </c>
      <c r="B948" s="7">
        <v>1.1518570756934743E-2</v>
      </c>
      <c r="C948" s="7">
        <v>-8.3866233357794417E-3</v>
      </c>
      <c r="D948" s="7">
        <v>-2.8776978417266008E-2</v>
      </c>
      <c r="E948" s="7">
        <v>7.7841203943953552E-3</v>
      </c>
      <c r="F948" s="7">
        <v>2.2008470670371594E-3</v>
      </c>
      <c r="G948" s="7"/>
      <c r="H948" s="7">
        <f t="shared" si="24"/>
        <v>9.3177236898975835E-3</v>
      </c>
      <c r="I948" s="7">
        <f t="shared" si="24"/>
        <v>-1.0587470402816601E-2</v>
      </c>
      <c r="J948" s="7">
        <f t="shared" si="24"/>
        <v>-3.0977825484303168E-2</v>
      </c>
      <c r="K948" s="7">
        <f t="shared" si="23"/>
        <v>5.5832733273581958E-3</v>
      </c>
      <c r="L948" s="7"/>
    </row>
    <row r="949" spans="1:12" x14ac:dyDescent="0.25">
      <c r="A949" s="2" t="s">
        <v>1010</v>
      </c>
      <c r="B949" s="7">
        <v>-3.9656859056362292E-2</v>
      </c>
      <c r="C949" s="7">
        <v>-2.5240138974044535E-2</v>
      </c>
      <c r="D949" s="7">
        <v>-5.4421768707483054E-2</v>
      </c>
      <c r="E949" s="7">
        <v>-6.0916179337231924E-2</v>
      </c>
      <c r="F949" s="7">
        <v>-3.2511959134456814E-2</v>
      </c>
      <c r="G949" s="7"/>
      <c r="H949" s="7">
        <f t="shared" si="24"/>
        <v>-7.1448999219054787E-3</v>
      </c>
      <c r="I949" s="7">
        <f t="shared" si="24"/>
        <v>7.271820160412279E-3</v>
      </c>
      <c r="J949" s="7">
        <f t="shared" si="24"/>
        <v>-2.190980957302624E-2</v>
      </c>
      <c r="K949" s="7">
        <f t="shared" si="23"/>
        <v>-2.840422020277511E-2</v>
      </c>
      <c r="L949" s="7"/>
    </row>
    <row r="950" spans="1:12" x14ac:dyDescent="0.25">
      <c r="A950" s="2" t="s">
        <v>1011</v>
      </c>
      <c r="B950" s="7">
        <v>2.0112074921317058E-2</v>
      </c>
      <c r="C950" s="7">
        <v>-6.799959403227418E-3</v>
      </c>
      <c r="D950" s="7">
        <v>2.7972027972027913E-2</v>
      </c>
      <c r="E950" s="7">
        <v>2.6615969581748944E-2</v>
      </c>
      <c r="F950" s="7">
        <v>1.4592502168395916E-2</v>
      </c>
      <c r="G950" s="7"/>
      <c r="H950" s="7">
        <f t="shared" si="24"/>
        <v>5.5195727529211425E-3</v>
      </c>
      <c r="I950" s="7">
        <f t="shared" si="24"/>
        <v>-2.1392461571623334E-2</v>
      </c>
      <c r="J950" s="7">
        <f t="shared" si="24"/>
        <v>1.3379525803631998E-2</v>
      </c>
      <c r="K950" s="7">
        <f t="shared" si="23"/>
        <v>1.2023467413353028E-2</v>
      </c>
      <c r="L950" s="7"/>
    </row>
    <row r="951" spans="1:12" x14ac:dyDescent="0.25">
      <c r="A951" s="2" t="s">
        <v>1012</v>
      </c>
      <c r="B951" s="7">
        <v>6.7233384853169209E-3</v>
      </c>
      <c r="C951" s="7">
        <v>-8.1538151801893166E-3</v>
      </c>
      <c r="D951" s="7">
        <v>2.877697841726623E-2</v>
      </c>
      <c r="E951" s="7">
        <v>6.8191534843950352E-2</v>
      </c>
      <c r="F951" s="7">
        <v>-3.7737056722930706E-3</v>
      </c>
      <c r="G951" s="7"/>
      <c r="H951" s="7">
        <f t="shared" si="24"/>
        <v>1.0497044157609992E-2</v>
      </c>
      <c r="I951" s="7">
        <f t="shared" si="24"/>
        <v>-4.380109507896246E-3</v>
      </c>
      <c r="J951" s="7">
        <f t="shared" si="24"/>
        <v>3.2550684089559301E-2</v>
      </c>
      <c r="K951" s="7">
        <f t="shared" si="23"/>
        <v>7.1965240516243423E-2</v>
      </c>
      <c r="L951" s="7"/>
    </row>
    <row r="952" spans="1:12" x14ac:dyDescent="0.25">
      <c r="A952" s="2" t="s">
        <v>180</v>
      </c>
      <c r="B952" s="7">
        <v>-3.8347205707491061E-2</v>
      </c>
      <c r="C952" s="7">
        <v>-9.3737534902272879E-3</v>
      </c>
      <c r="D952" s="7">
        <v>-5.4421768707483054E-2</v>
      </c>
      <c r="E952" s="7">
        <v>-0.10305819192790722</v>
      </c>
      <c r="F952" s="7">
        <v>-3.8768374153391849E-2</v>
      </c>
      <c r="G952" s="7"/>
      <c r="H952" s="7">
        <f t="shared" si="24"/>
        <v>4.2116844590078806E-4</v>
      </c>
      <c r="I952" s="7">
        <f t="shared" si="24"/>
        <v>2.9394620663164561E-2</v>
      </c>
      <c r="J952" s="7">
        <f t="shared" si="24"/>
        <v>-1.5653394554091205E-2</v>
      </c>
      <c r="K952" s="7">
        <f t="shared" si="23"/>
        <v>-6.4289817774515368E-2</v>
      </c>
      <c r="L952" s="7"/>
    </row>
    <row r="953" spans="1:12" x14ac:dyDescent="0.25">
      <c r="A953" s="2" t="s">
        <v>1013</v>
      </c>
      <c r="B953" s="7">
        <v>-3.8582452129179767E-2</v>
      </c>
      <c r="C953" s="7">
        <v>-4.5225173759878112E-2</v>
      </c>
      <c r="D953" s="7">
        <v>2.7972027972027913E-2</v>
      </c>
      <c r="E953" s="7">
        <v>-5.7487783845933116E-4</v>
      </c>
      <c r="F953" s="7">
        <v>-2.9110313553120881E-2</v>
      </c>
      <c r="G953" s="7"/>
      <c r="H953" s="7">
        <f t="shared" si="24"/>
        <v>-9.4721385760588861E-3</v>
      </c>
      <c r="I953" s="7">
        <f t="shared" si="24"/>
        <v>-1.6114860206757231E-2</v>
      </c>
      <c r="J953" s="7">
        <f t="shared" si="24"/>
        <v>5.7082341525148794E-2</v>
      </c>
      <c r="K953" s="7">
        <f t="shared" si="23"/>
        <v>2.853543571466155E-2</v>
      </c>
      <c r="L953" s="7"/>
    </row>
    <row r="954" spans="1:12" x14ac:dyDescent="0.25">
      <c r="A954" s="2" t="s">
        <v>1014</v>
      </c>
      <c r="B954" s="7">
        <v>-3.5955365752858515E-2</v>
      </c>
      <c r="C954" s="7">
        <v>-8.5897677930903971E-3</v>
      </c>
      <c r="D954" s="7">
        <v>-7.1428571428571508E-2</v>
      </c>
      <c r="E954" s="7">
        <v>-8.1249999999999933E-2</v>
      </c>
      <c r="F954" s="7">
        <v>-2.3798705952956634E-2</v>
      </c>
      <c r="G954" s="7"/>
      <c r="H954" s="7">
        <f t="shared" si="24"/>
        <v>-1.2156659799901881E-2</v>
      </c>
      <c r="I954" s="7">
        <f t="shared" si="24"/>
        <v>1.5208938159866237E-2</v>
      </c>
      <c r="J954" s="7">
        <f t="shared" si="24"/>
        <v>-4.7629865475614874E-2</v>
      </c>
      <c r="K954" s="7">
        <f t="shared" si="23"/>
        <v>-5.74512940470433E-2</v>
      </c>
      <c r="L954" s="7"/>
    </row>
    <row r="955" spans="1:12" x14ac:dyDescent="0.25">
      <c r="A955" s="2" t="s">
        <v>1015</v>
      </c>
      <c r="B955" s="7">
        <v>-5.0712719298244835E-3</v>
      </c>
      <c r="C955" s="7">
        <v>-9.8140013085334932E-3</v>
      </c>
      <c r="D955" s="7">
        <v>-5.5214723926380271E-2</v>
      </c>
      <c r="E955" s="7">
        <v>0.14666397496719497</v>
      </c>
      <c r="F955" s="7">
        <v>-1.0793908688002896E-2</v>
      </c>
      <c r="G955" s="7"/>
      <c r="H955" s="7">
        <f t="shared" si="24"/>
        <v>5.7226367581784121E-3</v>
      </c>
      <c r="I955" s="7">
        <f t="shared" si="24"/>
        <v>9.7990737946940243E-4</v>
      </c>
      <c r="J955" s="7">
        <f t="shared" si="24"/>
        <v>-4.4420815238377376E-2</v>
      </c>
      <c r="K955" s="7">
        <f t="shared" si="23"/>
        <v>0.15745788365519786</v>
      </c>
      <c r="L955" s="7"/>
    </row>
    <row r="956" spans="1:12" x14ac:dyDescent="0.25">
      <c r="A956" s="2" t="s">
        <v>1016</v>
      </c>
      <c r="B956" s="7">
        <v>1.7573221757322122E-2</v>
      </c>
      <c r="C956" s="7">
        <v>4.5066190967983921E-3</v>
      </c>
      <c r="D956" s="7">
        <v>7.2368421052631415E-2</v>
      </c>
      <c r="E956" s="7">
        <v>5.3599914920769987E-2</v>
      </c>
      <c r="F956" s="7">
        <v>9.5233935794130087E-3</v>
      </c>
      <c r="G956" s="7"/>
      <c r="H956" s="7">
        <f t="shared" si="24"/>
        <v>8.049828177909113E-3</v>
      </c>
      <c r="I956" s="7">
        <f t="shared" si="24"/>
        <v>-5.0167744826146166E-3</v>
      </c>
      <c r="J956" s="7">
        <f t="shared" si="24"/>
        <v>6.2845027473218407E-2</v>
      </c>
      <c r="K956" s="7">
        <f t="shared" si="23"/>
        <v>4.4076521341356978E-2</v>
      </c>
      <c r="L956" s="7"/>
    </row>
    <row r="957" spans="1:12" x14ac:dyDescent="0.25">
      <c r="A957" s="2" t="s">
        <v>181</v>
      </c>
      <c r="B957" s="7">
        <v>5.2576235541534899E-3</v>
      </c>
      <c r="C957" s="7">
        <v>1.598645852924685E-3</v>
      </c>
      <c r="D957" s="7">
        <v>-1.2987012987012991E-2</v>
      </c>
      <c r="E957" s="7">
        <v>6.2245820153637554E-2</v>
      </c>
      <c r="F957" s="7">
        <v>3.1373675320187644E-3</v>
      </c>
      <c r="G957" s="7"/>
      <c r="H957" s="7">
        <f t="shared" si="24"/>
        <v>2.1202560221347255E-3</v>
      </c>
      <c r="I957" s="7">
        <f t="shared" si="24"/>
        <v>-1.5387216790940794E-3</v>
      </c>
      <c r="J957" s="7">
        <f t="shared" si="24"/>
        <v>-1.6124380519031756E-2</v>
      </c>
      <c r="K957" s="7">
        <f t="shared" si="23"/>
        <v>5.910845262161879E-2</v>
      </c>
      <c r="L957" s="7"/>
    </row>
    <row r="958" spans="1:12" x14ac:dyDescent="0.25">
      <c r="A958" s="2" t="s">
        <v>1017</v>
      </c>
      <c r="B958" s="7">
        <v>-3.8552267978701926E-2</v>
      </c>
      <c r="C958" s="7">
        <v>-1.4914312181565581E-2</v>
      </c>
      <c r="D958" s="7">
        <v>6.944444444444442E-2</v>
      </c>
      <c r="E958" s="7">
        <v>-4.4060475161987078E-2</v>
      </c>
      <c r="F958" s="7">
        <v>-1.6347364741597592E-2</v>
      </c>
      <c r="G958" s="7"/>
      <c r="H958" s="7">
        <f t="shared" si="24"/>
        <v>-2.2204903237104334E-2</v>
      </c>
      <c r="I958" s="7">
        <f t="shared" si="24"/>
        <v>1.433052560032011E-3</v>
      </c>
      <c r="J958" s="7">
        <f t="shared" si="24"/>
        <v>8.5791809186042012E-2</v>
      </c>
      <c r="K958" s="7">
        <f t="shared" si="23"/>
        <v>-2.7713110420389486E-2</v>
      </c>
      <c r="L958" s="7"/>
    </row>
    <row r="959" spans="1:12" x14ac:dyDescent="0.25">
      <c r="A959" s="2" t="s">
        <v>1018</v>
      </c>
      <c r="B959" s="7">
        <v>1.6790021929824706E-2</v>
      </c>
      <c r="C959" s="7">
        <v>1.2094505906619313E-2</v>
      </c>
      <c r="D959" s="7">
        <v>-3.3557046979865834E-2</v>
      </c>
      <c r="E959" s="7">
        <v>4.4203879115922273E-2</v>
      </c>
      <c r="F959" s="7">
        <v>1.8431056049039052E-2</v>
      </c>
      <c r="G959" s="7"/>
      <c r="H959" s="7">
        <f t="shared" si="24"/>
        <v>-1.6410341192143463E-3</v>
      </c>
      <c r="I959" s="7">
        <f t="shared" si="24"/>
        <v>-6.336550142419739E-3</v>
      </c>
      <c r="J959" s="7">
        <f t="shared" si="24"/>
        <v>-5.1988103028904886E-2</v>
      </c>
      <c r="K959" s="7">
        <f t="shared" si="23"/>
        <v>2.5772823066883221E-2</v>
      </c>
      <c r="L959" s="7"/>
    </row>
    <row r="960" spans="1:12" x14ac:dyDescent="0.25">
      <c r="A960" s="2" t="s">
        <v>1019</v>
      </c>
      <c r="B960" s="7">
        <v>-8.9010612803852585E-4</v>
      </c>
      <c r="C960" s="7">
        <v>-1.9308569326958569E-2</v>
      </c>
      <c r="D960" s="7">
        <v>2.7586206896551779E-2</v>
      </c>
      <c r="E960" s="7">
        <v>-2.7844770883578063E-2</v>
      </c>
      <c r="F960" s="7">
        <v>-7.4827874109120174E-3</v>
      </c>
      <c r="G960" s="7"/>
      <c r="H960" s="7">
        <f t="shared" si="24"/>
        <v>6.5926812828734915E-3</v>
      </c>
      <c r="I960" s="7">
        <f t="shared" si="24"/>
        <v>-1.1825781916046552E-2</v>
      </c>
      <c r="J960" s="7">
        <f t="shared" si="24"/>
        <v>3.5068994307463797E-2</v>
      </c>
      <c r="K960" s="7">
        <f t="shared" si="23"/>
        <v>-2.0361983472666045E-2</v>
      </c>
      <c r="L960" s="7"/>
    </row>
    <row r="961" spans="1:12" x14ac:dyDescent="0.25">
      <c r="A961" s="2" t="s">
        <v>1020</v>
      </c>
      <c r="B961" s="7">
        <v>-5.3122658857182037E-3</v>
      </c>
      <c r="C961" s="7">
        <v>-1.4689680499448965E-3</v>
      </c>
      <c r="D961" s="7">
        <v>-0.1049382716049384</v>
      </c>
      <c r="E961" s="7">
        <v>2.8294442565663491E-2</v>
      </c>
      <c r="F961" s="7">
        <v>-6.2742891223209751E-3</v>
      </c>
      <c r="G961" s="7"/>
      <c r="H961" s="7">
        <f t="shared" si="24"/>
        <v>9.6202323660277145E-4</v>
      </c>
      <c r="I961" s="7">
        <f t="shared" si="24"/>
        <v>4.8053210723760786E-3</v>
      </c>
      <c r="J961" s="7">
        <f t="shared" si="24"/>
        <v>-9.8663982482617429E-2</v>
      </c>
      <c r="K961" s="7">
        <f t="shared" si="23"/>
        <v>3.4568731687984466E-2</v>
      </c>
      <c r="L961" s="7"/>
    </row>
    <row r="962" spans="1:12" x14ac:dyDescent="0.25">
      <c r="A962" s="2" t="s">
        <v>1021</v>
      </c>
      <c r="B962" s="7">
        <v>4.0757017295151687E-2</v>
      </c>
      <c r="C962" s="7">
        <v>1.6803584764749857E-2</v>
      </c>
      <c r="D962" s="7">
        <v>3.8461538461538547E-2</v>
      </c>
      <c r="E962" s="7">
        <v>-1.136743564025422E-2</v>
      </c>
      <c r="F962" s="7">
        <v>2.4742227391912897E-2</v>
      </c>
      <c r="G962" s="7"/>
      <c r="H962" s="7">
        <f t="shared" si="24"/>
        <v>1.6014789903238791E-2</v>
      </c>
      <c r="I962" s="7">
        <f t="shared" si="24"/>
        <v>-7.9386426271630395E-3</v>
      </c>
      <c r="J962" s="7">
        <f t="shared" si="24"/>
        <v>1.371931106962565E-2</v>
      </c>
      <c r="K962" s="7">
        <f t="shared" si="24"/>
        <v>-3.6109663032167116E-2</v>
      </c>
      <c r="L962" s="7"/>
    </row>
    <row r="963" spans="1:12" x14ac:dyDescent="0.25">
      <c r="A963" s="2" t="s">
        <v>1022</v>
      </c>
      <c r="B963" s="7">
        <v>2.3208587177255602E-2</v>
      </c>
      <c r="C963" s="7">
        <v>8.5679314565485498E-3</v>
      </c>
      <c r="D963" s="7">
        <v>-1.2658227848101222E-2</v>
      </c>
      <c r="E963" s="7">
        <v>0.14788281949597026</v>
      </c>
      <c r="F963" s="7">
        <v>1.988322907058282E-2</v>
      </c>
      <c r="G963" s="7"/>
      <c r="H963" s="7">
        <f t="shared" ref="H963:K1026" si="25">B963-$F963</f>
        <v>3.3253581066727822E-3</v>
      </c>
      <c r="I963" s="7">
        <f t="shared" si="25"/>
        <v>-1.131529761403427E-2</v>
      </c>
      <c r="J963" s="7">
        <f t="shared" si="25"/>
        <v>-3.2541456918684042E-2</v>
      </c>
      <c r="K963" s="7">
        <f t="shared" si="25"/>
        <v>0.12799959042538744</v>
      </c>
      <c r="L963" s="7"/>
    </row>
    <row r="964" spans="1:12" x14ac:dyDescent="0.25">
      <c r="A964" s="2" t="s">
        <v>1023</v>
      </c>
      <c r="B964" s="7">
        <v>1.1617775196048896E-3</v>
      </c>
      <c r="C964" s="7">
        <v>2.8253908457331889E-4</v>
      </c>
      <c r="D964" s="7">
        <v>3.9473684210526327E-2</v>
      </c>
      <c r="E964" s="7">
        <v>-1.9152196118487064E-3</v>
      </c>
      <c r="F964" s="7">
        <v>9.4507646873762674E-3</v>
      </c>
      <c r="G964" s="7"/>
      <c r="H964" s="7">
        <f t="shared" si="25"/>
        <v>-8.2889871677713778E-3</v>
      </c>
      <c r="I964" s="7">
        <f t="shared" si="25"/>
        <v>-9.1682256028029485E-3</v>
      </c>
      <c r="J964" s="7">
        <f t="shared" si="25"/>
        <v>3.002291952315006E-2</v>
      </c>
      <c r="K964" s="7">
        <f t="shared" si="25"/>
        <v>-1.1365984299224974E-2</v>
      </c>
      <c r="L964" s="7"/>
    </row>
    <row r="965" spans="1:12" x14ac:dyDescent="0.25">
      <c r="A965" s="2" t="s">
        <v>1024</v>
      </c>
      <c r="B965" s="7">
        <v>-1.9228030195128865E-2</v>
      </c>
      <c r="C965" s="7">
        <v>9.507510933637553E-3</v>
      </c>
      <c r="D965" s="7">
        <v>-8.9820359281437057E-2</v>
      </c>
      <c r="E965" s="7">
        <v>-5.4563013037180252E-2</v>
      </c>
      <c r="F965" s="7">
        <v>-8.1207927021075266E-3</v>
      </c>
      <c r="G965" s="7"/>
      <c r="H965" s="7">
        <f t="shared" si="25"/>
        <v>-1.1107237493021338E-2</v>
      </c>
      <c r="I965" s="7">
        <f t="shared" si="25"/>
        <v>1.762830363574508E-2</v>
      </c>
      <c r="J965" s="7">
        <f t="shared" si="25"/>
        <v>-8.169956657932953E-2</v>
      </c>
      <c r="K965" s="7">
        <f t="shared" si="25"/>
        <v>-4.6442220335072726E-2</v>
      </c>
      <c r="L965" s="7"/>
    </row>
    <row r="966" spans="1:12" x14ac:dyDescent="0.25">
      <c r="A966" s="2" t="s">
        <v>182</v>
      </c>
      <c r="B966" s="7">
        <v>4.0071105844011523E-2</v>
      </c>
      <c r="C966" s="7">
        <v>3.8175224279444198E-3</v>
      </c>
      <c r="D966" s="7">
        <v>-0.11170212765957444</v>
      </c>
      <c r="E966" s="7">
        <v>5.095850521718015E-3</v>
      </c>
      <c r="F966" s="7">
        <v>1.8555067976295359E-2</v>
      </c>
      <c r="G966" s="7"/>
      <c r="H966" s="7">
        <f t="shared" si="25"/>
        <v>2.1516037867716165E-2</v>
      </c>
      <c r="I966" s="7">
        <f t="shared" si="25"/>
        <v>-1.4737545548350939E-2</v>
      </c>
      <c r="J966" s="7">
        <f t="shared" si="25"/>
        <v>-0.13025719563586979</v>
      </c>
      <c r="K966" s="7">
        <f t="shared" si="25"/>
        <v>-1.3459217454577344E-2</v>
      </c>
      <c r="L966" s="7"/>
    </row>
    <row r="967" spans="1:12" x14ac:dyDescent="0.25">
      <c r="A967" s="2" t="s">
        <v>1025</v>
      </c>
      <c r="B967" s="7">
        <v>1.7808117533575363E-3</v>
      </c>
      <c r="C967" s="7">
        <v>-2.1296469269568519E-2</v>
      </c>
      <c r="D967" s="7">
        <v>-5.0505050505050497E-2</v>
      </c>
      <c r="E967" s="7">
        <v>-1.0326609029778999E-2</v>
      </c>
      <c r="F967" s="7">
        <v>1.4612424662696633E-4</v>
      </c>
      <c r="G967" s="7"/>
      <c r="H967" s="7">
        <f t="shared" si="25"/>
        <v>1.63468750673057E-3</v>
      </c>
      <c r="I967" s="7">
        <f t="shared" si="25"/>
        <v>-2.1442593516195485E-2</v>
      </c>
      <c r="J967" s="7">
        <f t="shared" si="25"/>
        <v>-5.0651174751677464E-2</v>
      </c>
      <c r="K967" s="7">
        <f t="shared" si="25"/>
        <v>-1.0472733276405966E-2</v>
      </c>
      <c r="L967" s="7"/>
    </row>
    <row r="968" spans="1:12" x14ac:dyDescent="0.25">
      <c r="A968" s="2" t="s">
        <v>1026</v>
      </c>
      <c r="B968" s="7">
        <v>-2.4677956288898462E-2</v>
      </c>
      <c r="C968" s="7">
        <v>-3.2585420351921579E-3</v>
      </c>
      <c r="D968" s="7">
        <v>7.0270270270270219E-2</v>
      </c>
      <c r="E968" s="7">
        <v>4.341534008682979E-3</v>
      </c>
      <c r="F968" s="7">
        <v>-5.8338090771927753E-3</v>
      </c>
      <c r="G968" s="7"/>
      <c r="H968" s="7">
        <f t="shared" si="25"/>
        <v>-1.8844147211705686E-2</v>
      </c>
      <c r="I968" s="7">
        <f t="shared" si="25"/>
        <v>2.5752670420006174E-3</v>
      </c>
      <c r="J968" s="7">
        <f t="shared" si="25"/>
        <v>7.6104079347462994E-2</v>
      </c>
      <c r="K968" s="7">
        <f t="shared" si="25"/>
        <v>1.0175343085875754E-2</v>
      </c>
      <c r="L968" s="7"/>
    </row>
    <row r="969" spans="1:12" x14ac:dyDescent="0.25">
      <c r="A969" s="2" t="s">
        <v>1027</v>
      </c>
      <c r="B969" s="7">
        <v>-5.6405353728489427E-2</v>
      </c>
      <c r="C969" s="7">
        <v>-2.239009738782205E-2</v>
      </c>
      <c r="D969" s="7">
        <v>0</v>
      </c>
      <c r="E969" s="7">
        <v>-5.0824175824175755E-2</v>
      </c>
      <c r="F969" s="7">
        <v>-4.0395221150201222E-2</v>
      </c>
      <c r="G969" s="7"/>
      <c r="H969" s="7">
        <f t="shared" si="25"/>
        <v>-1.6010132578288205E-2</v>
      </c>
      <c r="I969" s="7">
        <f t="shared" si="25"/>
        <v>1.8005123762379172E-2</v>
      </c>
      <c r="J969" s="7">
        <f t="shared" si="25"/>
        <v>4.0395221150201222E-2</v>
      </c>
      <c r="K969" s="7">
        <f t="shared" si="25"/>
        <v>-1.0428954673974533E-2</v>
      </c>
      <c r="L969" s="7"/>
    </row>
    <row r="970" spans="1:12" x14ac:dyDescent="0.25">
      <c r="A970" s="2" t="s">
        <v>1028</v>
      </c>
      <c r="B970" s="7">
        <v>2.5418388068062514E-2</v>
      </c>
      <c r="C970" s="7">
        <v>1.2253547079417615E-2</v>
      </c>
      <c r="D970" s="7">
        <v>-5.1282051282051211E-2</v>
      </c>
      <c r="E970" s="7">
        <v>6.3679532448557286E-2</v>
      </c>
      <c r="F970" s="7">
        <v>2.0169610355263545E-2</v>
      </c>
      <c r="G970" s="7"/>
      <c r="H970" s="7">
        <f t="shared" si="25"/>
        <v>5.2487777127989688E-3</v>
      </c>
      <c r="I970" s="7">
        <f t="shared" si="25"/>
        <v>-7.9160632758459304E-3</v>
      </c>
      <c r="J970" s="7">
        <f t="shared" si="25"/>
        <v>-7.1451661637314756E-2</v>
      </c>
      <c r="K970" s="7">
        <f t="shared" si="25"/>
        <v>4.350992209329374E-2</v>
      </c>
      <c r="L970" s="7"/>
    </row>
    <row r="971" spans="1:12" x14ac:dyDescent="0.25">
      <c r="A971" s="2" t="s">
        <v>183</v>
      </c>
      <c r="B971" s="7">
        <v>-1.0668514028403187E-2</v>
      </c>
      <c r="C971" s="7">
        <v>8.0802451936472508E-3</v>
      </c>
      <c r="D971" s="7">
        <v>0.10169491525423724</v>
      </c>
      <c r="E971" s="7">
        <v>-1.7113451412159031E-2</v>
      </c>
      <c r="F971" s="7">
        <v>-3.9464299471405617E-3</v>
      </c>
      <c r="G971" s="7"/>
      <c r="H971" s="7">
        <f t="shared" si="25"/>
        <v>-6.7220840812626248E-3</v>
      </c>
      <c r="I971" s="7">
        <f t="shared" si="25"/>
        <v>1.2026675140787813E-2</v>
      </c>
      <c r="J971" s="7">
        <f t="shared" si="25"/>
        <v>0.1056413452013778</v>
      </c>
      <c r="K971" s="7">
        <f t="shared" si="25"/>
        <v>-1.3167021465018469E-2</v>
      </c>
      <c r="L971" s="7"/>
    </row>
    <row r="972" spans="1:12" x14ac:dyDescent="0.25">
      <c r="A972" s="2" t="s">
        <v>1029</v>
      </c>
      <c r="B972" s="7">
        <v>3.195596225336006E-2</v>
      </c>
      <c r="C972" s="7">
        <v>-1.9466073414904361E-3</v>
      </c>
      <c r="D972" s="7">
        <v>9.259259259259256E-2</v>
      </c>
      <c r="E972" s="7">
        <v>8.5053889105310976E-2</v>
      </c>
      <c r="F972" s="7">
        <v>2.386974310955492E-2</v>
      </c>
      <c r="G972" s="7"/>
      <c r="H972" s="7">
        <f t="shared" si="25"/>
        <v>8.0862191438051401E-3</v>
      </c>
      <c r="I972" s="7">
        <f t="shared" si="25"/>
        <v>-2.5816350451045356E-2</v>
      </c>
      <c r="J972" s="7">
        <f t="shared" si="25"/>
        <v>6.872284948303764E-2</v>
      </c>
      <c r="K972" s="7">
        <f t="shared" si="25"/>
        <v>6.1184145995756056E-2</v>
      </c>
      <c r="L972" s="7"/>
    </row>
    <row r="973" spans="1:12" x14ac:dyDescent="0.25">
      <c r="A973" s="2" t="s">
        <v>1030</v>
      </c>
      <c r="B973" s="7">
        <v>-2.692173913043483E-2</v>
      </c>
      <c r="C973" s="7">
        <v>2.1687659816270299E-2</v>
      </c>
      <c r="D973" s="7">
        <v>-1.8181818181818077E-2</v>
      </c>
      <c r="E973" s="7">
        <v>-7.8587992785364991E-3</v>
      </c>
      <c r="F973" s="7">
        <v>-1.2960017076728558E-3</v>
      </c>
      <c r="G973" s="7"/>
      <c r="H973" s="7">
        <f t="shared" si="25"/>
        <v>-2.5625737422761974E-2</v>
      </c>
      <c r="I973" s="7">
        <f t="shared" si="25"/>
        <v>2.2983661523943155E-2</v>
      </c>
      <c r="J973" s="7">
        <f t="shared" si="25"/>
        <v>-1.6885816474145221E-2</v>
      </c>
      <c r="K973" s="7">
        <f t="shared" si="25"/>
        <v>-6.5627975708636432E-3</v>
      </c>
      <c r="L973" s="7"/>
    </row>
    <row r="974" spans="1:12" x14ac:dyDescent="0.25">
      <c r="A974" s="2" t="s">
        <v>1031</v>
      </c>
      <c r="B974" s="7">
        <v>-5.1843545940241542E-2</v>
      </c>
      <c r="C974" s="7">
        <v>-1.8132787799888472E-2</v>
      </c>
      <c r="D974" s="7">
        <v>-1.19760479041916E-2</v>
      </c>
      <c r="E974" s="7">
        <v>-3.3615537848605492E-2</v>
      </c>
      <c r="F974" s="7">
        <v>-1.6463178415666024E-2</v>
      </c>
      <c r="G974" s="7"/>
      <c r="H974" s="7">
        <f t="shared" si="25"/>
        <v>-3.5380367524575518E-2</v>
      </c>
      <c r="I974" s="7">
        <f t="shared" si="25"/>
        <v>-1.669609384222448E-3</v>
      </c>
      <c r="J974" s="7">
        <f t="shared" si="25"/>
        <v>4.4871305114744242E-3</v>
      </c>
      <c r="K974" s="7">
        <f t="shared" si="25"/>
        <v>-1.7152359432939468E-2</v>
      </c>
      <c r="L974" s="7"/>
    </row>
    <row r="975" spans="1:12" x14ac:dyDescent="0.25">
      <c r="A975" s="2" t="s">
        <v>1032</v>
      </c>
      <c r="B975" s="7">
        <v>1.6152815013404931E-2</v>
      </c>
      <c r="C975" s="7">
        <v>-2.1474067333939972E-2</v>
      </c>
      <c r="D975" s="7">
        <v>0.11333333333333329</v>
      </c>
      <c r="E975" s="7">
        <v>-3.1028918952463735E-3</v>
      </c>
      <c r="F975" s="7">
        <v>2.4578827632515399E-3</v>
      </c>
      <c r="G975" s="7"/>
      <c r="H975" s="7">
        <f t="shared" si="25"/>
        <v>1.3694932250153391E-2</v>
      </c>
      <c r="I975" s="7">
        <f t="shared" si="25"/>
        <v>-2.3931950097191512E-2</v>
      </c>
      <c r="J975" s="7">
        <f t="shared" si="25"/>
        <v>0.11087545057008175</v>
      </c>
      <c r="K975" s="7">
        <f t="shared" si="25"/>
        <v>-5.5607746584979134E-3</v>
      </c>
      <c r="L975" s="7"/>
    </row>
    <row r="976" spans="1:12" x14ac:dyDescent="0.25">
      <c r="A976" s="2" t="s">
        <v>184</v>
      </c>
      <c r="B976" s="7">
        <v>-3.3240458757208713E-2</v>
      </c>
      <c r="C976" s="7">
        <v>1.9102373887240454E-2</v>
      </c>
      <c r="D976" s="7">
        <v>-0.15254237288135597</v>
      </c>
      <c r="E976" s="7">
        <v>-5.7881197380729721E-2</v>
      </c>
      <c r="F976" s="7">
        <v>-3.2037134944001844E-2</v>
      </c>
      <c r="G976" s="7"/>
      <c r="H976" s="7">
        <f t="shared" si="25"/>
        <v>-1.2033238132068691E-3</v>
      </c>
      <c r="I976" s="7">
        <f t="shared" si="25"/>
        <v>5.1139508831242297E-2</v>
      </c>
      <c r="J976" s="7">
        <f t="shared" si="25"/>
        <v>-0.12050523793735413</v>
      </c>
      <c r="K976" s="7">
        <f t="shared" si="25"/>
        <v>-2.5844062436727877E-2</v>
      </c>
      <c r="L976" s="7"/>
    </row>
    <row r="977" spans="1:12" x14ac:dyDescent="0.25">
      <c r="A977" s="2" t="s">
        <v>1033</v>
      </c>
      <c r="B977" s="7">
        <v>4.7526041666667851E-3</v>
      </c>
      <c r="C977" s="7">
        <v>4.6386492253458478E-4</v>
      </c>
      <c r="D977" s="7">
        <v>-6.8421052631578938E-2</v>
      </c>
      <c r="E977" s="7">
        <v>-4.8509123275478405E-2</v>
      </c>
      <c r="F977" s="7">
        <v>-5.6741590645473794E-3</v>
      </c>
      <c r="G977" s="7"/>
      <c r="H977" s="7">
        <f t="shared" si="25"/>
        <v>1.0426763231214164E-2</v>
      </c>
      <c r="I977" s="7">
        <f t="shared" si="25"/>
        <v>6.1380239870819642E-3</v>
      </c>
      <c r="J977" s="7">
        <f t="shared" si="25"/>
        <v>-6.2746893567031559E-2</v>
      </c>
      <c r="K977" s="7">
        <f t="shared" si="25"/>
        <v>-4.2834964210931026E-2</v>
      </c>
      <c r="L977" s="7"/>
    </row>
    <row r="978" spans="1:12" x14ac:dyDescent="0.25">
      <c r="A978" s="2" t="s">
        <v>1034</v>
      </c>
      <c r="B978" s="7">
        <v>-5.5699004057543355E-2</v>
      </c>
      <c r="C978" s="7">
        <v>-3.0926908208217196E-2</v>
      </c>
      <c r="D978" s="7">
        <v>-1.041666666666663E-2</v>
      </c>
      <c r="E978" s="7">
        <v>-6.676357595265292E-2</v>
      </c>
      <c r="F978" s="7">
        <v>-3.5649753381843063E-2</v>
      </c>
      <c r="G978" s="7"/>
      <c r="H978" s="7">
        <f t="shared" si="25"/>
        <v>-2.0049250675700292E-2</v>
      </c>
      <c r="I978" s="7">
        <f t="shared" si="25"/>
        <v>4.722845173625867E-3</v>
      </c>
      <c r="J978" s="7">
        <f t="shared" si="25"/>
        <v>2.5233086715176434E-2</v>
      </c>
      <c r="K978" s="7">
        <f t="shared" si="25"/>
        <v>-3.1113822570809857E-2</v>
      </c>
      <c r="L978" s="7"/>
    </row>
    <row r="979" spans="1:12" x14ac:dyDescent="0.25">
      <c r="A979" s="2" t="s">
        <v>1035</v>
      </c>
      <c r="B979" s="7">
        <v>4.0957378727761506E-2</v>
      </c>
      <c r="C979" s="7">
        <v>4.157692667852797E-2</v>
      </c>
      <c r="D979" s="7">
        <v>2.6737967914438387E-2</v>
      </c>
      <c r="E979" s="7">
        <v>1.0280079723067326E-2</v>
      </c>
      <c r="F979" s="7">
        <v>2.9862434977535601E-2</v>
      </c>
      <c r="G979" s="7"/>
      <c r="H979" s="7">
        <f t="shared" si="25"/>
        <v>1.1094943750225905E-2</v>
      </c>
      <c r="I979" s="7">
        <f t="shared" si="25"/>
        <v>1.1714491700992369E-2</v>
      </c>
      <c r="J979" s="7">
        <f t="shared" si="25"/>
        <v>-3.1244670630972138E-3</v>
      </c>
      <c r="K979" s="7">
        <f t="shared" si="25"/>
        <v>-1.9582355254468276E-2</v>
      </c>
      <c r="L979" s="7"/>
    </row>
    <row r="980" spans="1:12" x14ac:dyDescent="0.25">
      <c r="A980" s="2" t="s">
        <v>1036</v>
      </c>
      <c r="B980" s="7">
        <v>9.6271887316661253E-3</v>
      </c>
      <c r="C980" s="7">
        <v>1.4824669770977961E-2</v>
      </c>
      <c r="D980" s="7">
        <v>6.25E-2</v>
      </c>
      <c r="E980" s="7">
        <v>-8.2188930503538371E-3</v>
      </c>
      <c r="F980" s="7">
        <v>4.8371027439124692E-3</v>
      </c>
      <c r="G980" s="7"/>
      <c r="H980" s="7">
        <f t="shared" si="25"/>
        <v>4.7900859877536561E-3</v>
      </c>
      <c r="I980" s="7">
        <f t="shared" si="25"/>
        <v>9.9875670270654915E-3</v>
      </c>
      <c r="J980" s="7">
        <f t="shared" si="25"/>
        <v>5.7662897256087531E-2</v>
      </c>
      <c r="K980" s="7">
        <f t="shared" si="25"/>
        <v>-1.3055995794266306E-2</v>
      </c>
      <c r="L980" s="7"/>
    </row>
    <row r="981" spans="1:12" x14ac:dyDescent="0.25">
      <c r="A981" s="2" t="s">
        <v>185</v>
      </c>
      <c r="B981" s="7">
        <v>2.0069921015148928E-3</v>
      </c>
      <c r="C981" s="7">
        <v>1.172964138063648E-2</v>
      </c>
      <c r="D981" s="7">
        <v>-2.7624309392265234E-2</v>
      </c>
      <c r="E981" s="7">
        <v>4.2403210063984398E-2</v>
      </c>
      <c r="F981" s="7">
        <v>5.6753139573999523E-3</v>
      </c>
      <c r="G981" s="7"/>
      <c r="H981" s="7">
        <f t="shared" si="25"/>
        <v>-3.6683218558850594E-3</v>
      </c>
      <c r="I981" s="7">
        <f t="shared" si="25"/>
        <v>6.0543274232365274E-3</v>
      </c>
      <c r="J981" s="7">
        <f t="shared" si="25"/>
        <v>-3.3299623349665186E-2</v>
      </c>
      <c r="K981" s="7">
        <f t="shared" si="25"/>
        <v>3.6727896106584446E-2</v>
      </c>
      <c r="L981" s="7"/>
    </row>
    <row r="982" spans="1:12" x14ac:dyDescent="0.25">
      <c r="A982" s="2" t="s">
        <v>1037</v>
      </c>
      <c r="B982" s="7">
        <v>-3.6611987775213684E-2</v>
      </c>
      <c r="C982" s="7">
        <v>-1.9883151149641898E-2</v>
      </c>
      <c r="D982" s="7">
        <v>-6.2176165803108696E-2</v>
      </c>
      <c r="E982" s="7">
        <v>6.7987028028723584E-2</v>
      </c>
      <c r="F982" s="7">
        <v>-3.6284548104956182E-2</v>
      </c>
      <c r="G982" s="7"/>
      <c r="H982" s="7">
        <f t="shared" si="25"/>
        <v>-3.2743967025750109E-4</v>
      </c>
      <c r="I982" s="7">
        <f t="shared" si="25"/>
        <v>1.6401396955314285E-2</v>
      </c>
      <c r="J982" s="7">
        <f t="shared" si="25"/>
        <v>-2.5891617698152514E-2</v>
      </c>
      <c r="K982" s="7">
        <f t="shared" si="25"/>
        <v>0.10427157613367977</v>
      </c>
      <c r="L982" s="7"/>
    </row>
    <row r="983" spans="1:12" x14ac:dyDescent="0.25">
      <c r="A983" s="2" t="s">
        <v>1038</v>
      </c>
      <c r="B983" s="7">
        <v>4.5176010430247659E-2</v>
      </c>
      <c r="C983" s="7">
        <v>2.0384615384615445E-2</v>
      </c>
      <c r="D983" s="7">
        <v>-4.9261083743842304E-2</v>
      </c>
      <c r="E983" s="7">
        <v>2.9327610872675436E-2</v>
      </c>
      <c r="F983" s="7">
        <v>2.474689050564538E-2</v>
      </c>
      <c r="G983" s="7"/>
      <c r="H983" s="7">
        <f t="shared" si="25"/>
        <v>2.0429119924602279E-2</v>
      </c>
      <c r="I983" s="7">
        <f t="shared" si="25"/>
        <v>-4.3622751210299349E-3</v>
      </c>
      <c r="J983" s="7">
        <f t="shared" si="25"/>
        <v>-7.4007974249487685E-2</v>
      </c>
      <c r="K983" s="7">
        <f t="shared" si="25"/>
        <v>4.5807203670300556E-3</v>
      </c>
      <c r="L983" s="7"/>
    </row>
    <row r="984" spans="1:12" x14ac:dyDescent="0.25">
      <c r="A984" s="2" t="s">
        <v>1039</v>
      </c>
      <c r="B984" s="7">
        <v>-1.4971034303195019E-3</v>
      </c>
      <c r="C984" s="7">
        <v>-9.6144601480663283E-5</v>
      </c>
      <c r="D984" s="7">
        <v>0.12777777777777755</v>
      </c>
      <c r="E984" s="7">
        <v>5.1654964894684019E-2</v>
      </c>
      <c r="F984" s="7">
        <v>2.0981030848821192E-3</v>
      </c>
      <c r="G984" s="7"/>
      <c r="H984" s="7">
        <f t="shared" si="25"/>
        <v>-3.595206515201621E-3</v>
      </c>
      <c r="I984" s="7">
        <f t="shared" si="25"/>
        <v>-2.1942476863627824E-3</v>
      </c>
      <c r="J984" s="7">
        <f t="shared" si="25"/>
        <v>0.12567967469289543</v>
      </c>
      <c r="K984" s="7">
        <f t="shared" si="25"/>
        <v>4.95568618098019E-2</v>
      </c>
      <c r="L984" s="7"/>
    </row>
    <row r="985" spans="1:12" x14ac:dyDescent="0.25">
      <c r="A985" s="2" t="s">
        <v>1040</v>
      </c>
      <c r="B985" s="7">
        <v>-3.7345698352027168E-2</v>
      </c>
      <c r="C985" s="7">
        <v>-2.9485863581226068E-2</v>
      </c>
      <c r="D985" s="7">
        <v>4.6511627906976827E-2</v>
      </c>
      <c r="E985" s="7">
        <v>-2.158979391560345E-2</v>
      </c>
      <c r="F985" s="7">
        <v>-2.8146327383778869E-2</v>
      </c>
      <c r="G985" s="7"/>
      <c r="H985" s="7">
        <f t="shared" si="25"/>
        <v>-9.1993709682482994E-3</v>
      </c>
      <c r="I985" s="7">
        <f t="shared" si="25"/>
        <v>-1.3395361974471998E-3</v>
      </c>
      <c r="J985" s="7">
        <f t="shared" si="25"/>
        <v>7.4657955290755695E-2</v>
      </c>
      <c r="K985" s="7">
        <f t="shared" si="25"/>
        <v>6.5565334681754184E-3</v>
      </c>
      <c r="L985" s="7"/>
    </row>
    <row r="986" spans="1:12" x14ac:dyDescent="0.25">
      <c r="A986" s="2" t="s">
        <v>186</v>
      </c>
      <c r="B986" s="7">
        <v>6.7499369164774059E-3</v>
      </c>
      <c r="C986" s="7">
        <v>-3.8111173080498384E-3</v>
      </c>
      <c r="D986" s="7">
        <v>-0.12690355329949243</v>
      </c>
      <c r="E986" s="7">
        <v>-7.5480886291697802E-3</v>
      </c>
      <c r="F986" s="7">
        <v>5.6978589721381478E-3</v>
      </c>
      <c r="G986" s="7"/>
      <c r="H986" s="7">
        <f t="shared" si="25"/>
        <v>1.0520779443392581E-3</v>
      </c>
      <c r="I986" s="7">
        <f t="shared" si="25"/>
        <v>-9.5089762801879862E-3</v>
      </c>
      <c r="J986" s="7">
        <f t="shared" si="25"/>
        <v>-0.13260141227163058</v>
      </c>
      <c r="K986" s="7">
        <f t="shared" si="25"/>
        <v>-1.3245947601307928E-2</v>
      </c>
      <c r="L986" s="7"/>
    </row>
    <row r="987" spans="1:12" x14ac:dyDescent="0.25">
      <c r="A987" s="2" t="s">
        <v>1041</v>
      </c>
      <c r="B987" s="7">
        <v>-2.7842511958788174E-2</v>
      </c>
      <c r="C987" s="7">
        <v>-1.7175223826055186E-2</v>
      </c>
      <c r="D987" s="7">
        <v>-3.9024390243902363E-2</v>
      </c>
      <c r="E987" s="7">
        <v>5.8780308596619868E-3</v>
      </c>
      <c r="F987" s="7">
        <v>-2.773997077607282E-2</v>
      </c>
      <c r="G987" s="7"/>
      <c r="H987" s="7">
        <f t="shared" si="25"/>
        <v>-1.025411827153544E-4</v>
      </c>
      <c r="I987" s="7">
        <f t="shared" si="25"/>
        <v>1.0564746950017634E-2</v>
      </c>
      <c r="J987" s="7">
        <f t="shared" si="25"/>
        <v>-1.1284419467829543E-2</v>
      </c>
      <c r="K987" s="7">
        <f t="shared" si="25"/>
        <v>3.3618001635734807E-2</v>
      </c>
      <c r="L987" s="7"/>
    </row>
    <row r="988" spans="1:12" x14ac:dyDescent="0.25">
      <c r="A988" s="2" t="s">
        <v>1042</v>
      </c>
      <c r="B988" s="7">
        <v>-4.8214830637778316E-3</v>
      </c>
      <c r="C988" s="7">
        <v>7.9189686924494573E-3</v>
      </c>
      <c r="D988" s="7">
        <v>4.9019607843137081E-3</v>
      </c>
      <c r="E988" s="7">
        <v>-3.8275821458014336E-2</v>
      </c>
      <c r="F988" s="7">
        <v>-1.475294038502506E-2</v>
      </c>
      <c r="G988" s="7"/>
      <c r="H988" s="7">
        <f t="shared" si="25"/>
        <v>9.9314573212472279E-3</v>
      </c>
      <c r="I988" s="7">
        <f t="shared" si="25"/>
        <v>2.2671909077474517E-2</v>
      </c>
      <c r="J988" s="7">
        <f t="shared" si="25"/>
        <v>1.9654901169338768E-2</v>
      </c>
      <c r="K988" s="7">
        <f t="shared" si="25"/>
        <v>-2.3522881072989277E-2</v>
      </c>
      <c r="L988" s="7"/>
    </row>
    <row r="989" spans="1:12" x14ac:dyDescent="0.25">
      <c r="A989" s="2" t="s">
        <v>1043</v>
      </c>
      <c r="B989" s="7">
        <v>-1.0364589684185299E-3</v>
      </c>
      <c r="C989" s="7">
        <v>3.2332563510391044E-3</v>
      </c>
      <c r="D989" s="7">
        <v>9.6774193548387011E-2</v>
      </c>
      <c r="E989" s="7">
        <v>-4.3806306306306331E-2</v>
      </c>
      <c r="F989" s="7">
        <v>-6.1852759058855789E-4</v>
      </c>
      <c r="G989" s="7"/>
      <c r="H989" s="7">
        <f t="shared" si="25"/>
        <v>-4.1793137782997203E-4</v>
      </c>
      <c r="I989" s="7">
        <f t="shared" si="25"/>
        <v>3.8517839416276622E-3</v>
      </c>
      <c r="J989" s="7">
        <f t="shared" si="25"/>
        <v>9.7392721138975569E-2</v>
      </c>
      <c r="K989" s="7">
        <f t="shared" si="25"/>
        <v>-4.3187778715717773E-2</v>
      </c>
      <c r="L989" s="7"/>
    </row>
    <row r="990" spans="1:12" x14ac:dyDescent="0.25">
      <c r="A990" s="2" t="s">
        <v>1044</v>
      </c>
      <c r="B990" s="7">
        <v>1.4159401471588673E-2</v>
      </c>
      <c r="C990" s="7">
        <v>2.684500094858655E-2</v>
      </c>
      <c r="D990" s="7">
        <v>-6.9999999999999951E-2</v>
      </c>
      <c r="E990" s="7">
        <v>-1.278488048916071E-2</v>
      </c>
      <c r="F990" s="7">
        <v>1.6057599693967584E-2</v>
      </c>
      <c r="G990" s="7"/>
      <c r="H990" s="7">
        <f t="shared" si="25"/>
        <v>-1.8981982223789107E-3</v>
      </c>
      <c r="I990" s="7">
        <f t="shared" si="25"/>
        <v>1.0787401254618967E-2</v>
      </c>
      <c r="J990" s="7">
        <f t="shared" si="25"/>
        <v>-8.6057599693967535E-2</v>
      </c>
      <c r="K990" s="7">
        <f t="shared" si="25"/>
        <v>-2.8842480183128294E-2</v>
      </c>
      <c r="L990" s="7"/>
    </row>
    <row r="991" spans="1:12" x14ac:dyDescent="0.25">
      <c r="A991" s="2" t="s">
        <v>187</v>
      </c>
      <c r="B991" s="7">
        <v>-1.3584439641864954E-3</v>
      </c>
      <c r="C991" s="7">
        <v>-8.1851538244426258E-3</v>
      </c>
      <c r="D991" s="7">
        <v>5.2631578947368363E-2</v>
      </c>
      <c r="E991" s="7">
        <v>-8.159664792149024E-3</v>
      </c>
      <c r="F991" s="7">
        <v>-2.0489050878880199E-4</v>
      </c>
      <c r="G991" s="7"/>
      <c r="H991" s="7">
        <f t="shared" si="25"/>
        <v>-1.1535534553976934E-3</v>
      </c>
      <c r="I991" s="7">
        <f t="shared" si="25"/>
        <v>-7.9802633156538239E-3</v>
      </c>
      <c r="J991" s="7">
        <f t="shared" si="25"/>
        <v>5.2836469456157165E-2</v>
      </c>
      <c r="K991" s="7">
        <f t="shared" si="25"/>
        <v>-7.954774283360222E-3</v>
      </c>
      <c r="L991" s="7"/>
    </row>
    <row r="992" spans="1:12" x14ac:dyDescent="0.25">
      <c r="A992" s="2" t="s">
        <v>1045</v>
      </c>
      <c r="B992" s="7">
        <v>-3.0007187350263642E-2</v>
      </c>
      <c r="C992" s="7">
        <v>-8.5812890588563562E-3</v>
      </c>
      <c r="D992" s="7">
        <v>-4.0404040404040442E-2</v>
      </c>
      <c r="E992" s="7">
        <v>-4.5368421052631613E-2</v>
      </c>
      <c r="F992" s="7">
        <v>-1.2144137417661627E-2</v>
      </c>
      <c r="G992" s="7"/>
      <c r="H992" s="7">
        <f t="shared" si="25"/>
        <v>-1.7863049932602015E-2</v>
      </c>
      <c r="I992" s="7">
        <f t="shared" si="25"/>
        <v>3.5628483588052706E-3</v>
      </c>
      <c r="J992" s="7">
        <f t="shared" si="25"/>
        <v>-2.8259902986378815E-2</v>
      </c>
      <c r="K992" s="7">
        <f t="shared" si="25"/>
        <v>-3.3224283634969987E-2</v>
      </c>
      <c r="L992" s="7"/>
    </row>
    <row r="993" spans="1:12" x14ac:dyDescent="0.25">
      <c r="A993" s="2" t="s">
        <v>1046</v>
      </c>
      <c r="B993" s="7">
        <v>1.6375479393681225E-2</v>
      </c>
      <c r="C993" s="7">
        <v>4.6659201194465538E-4</v>
      </c>
      <c r="D993" s="7">
        <v>8.7912087912087822E-2</v>
      </c>
      <c r="E993" s="7">
        <v>2.8502058482000603E-3</v>
      </c>
      <c r="F993" s="7">
        <v>1.1174658040455254E-2</v>
      </c>
      <c r="G993" s="7"/>
      <c r="H993" s="7">
        <f t="shared" si="25"/>
        <v>5.2008213532259706E-3</v>
      </c>
      <c r="I993" s="7">
        <f t="shared" si="25"/>
        <v>-1.0708066028510599E-2</v>
      </c>
      <c r="J993" s="7">
        <f t="shared" si="25"/>
        <v>7.6737429871632568E-2</v>
      </c>
      <c r="K993" s="7">
        <f t="shared" si="25"/>
        <v>-8.3244521922551939E-3</v>
      </c>
      <c r="L993" s="7"/>
    </row>
    <row r="994" spans="1:12" x14ac:dyDescent="0.25">
      <c r="A994" s="2" t="s">
        <v>1047</v>
      </c>
      <c r="B994" s="7">
        <v>1.1514778325123265E-2</v>
      </c>
      <c r="C994" s="7">
        <v>-1.0252147409254619E-2</v>
      </c>
      <c r="D994" s="7">
        <v>-2.1505376344086002E-2</v>
      </c>
      <c r="E994" s="7">
        <v>-1.7731231854002383E-2</v>
      </c>
      <c r="F994" s="7">
        <v>-3.4175405039739148E-3</v>
      </c>
      <c r="G994" s="7"/>
      <c r="H994" s="7">
        <f t="shared" si="25"/>
        <v>1.493231882909718E-2</v>
      </c>
      <c r="I994" s="7">
        <f t="shared" si="25"/>
        <v>-6.8346069052807046E-3</v>
      </c>
      <c r="J994" s="7">
        <f t="shared" si="25"/>
        <v>-1.8087835840112088E-2</v>
      </c>
      <c r="K994" s="7">
        <f t="shared" si="25"/>
        <v>-1.4313691350028468E-2</v>
      </c>
      <c r="L994" s="7"/>
    </row>
    <row r="995" spans="1:12" x14ac:dyDescent="0.25">
      <c r="A995" s="2" t="s">
        <v>188</v>
      </c>
      <c r="B995" s="7">
        <v>-2.5502550255025458E-2</v>
      </c>
      <c r="C995" s="7">
        <v>2.1288411699369458E-3</v>
      </c>
      <c r="D995" s="7">
        <v>-6.9999999999999951E-2</v>
      </c>
      <c r="E995" s="7">
        <v>-1.9121236777868145E-2</v>
      </c>
      <c r="F995" s="7">
        <v>-1.6877289295676778E-2</v>
      </c>
      <c r="G995" s="7"/>
      <c r="H995" s="7">
        <f t="shared" si="25"/>
        <v>-8.6252609593486795E-3</v>
      </c>
      <c r="I995" s="7">
        <f t="shared" si="25"/>
        <v>1.9006130465613724E-2</v>
      </c>
      <c r="J995" s="7">
        <f t="shared" si="25"/>
        <v>-5.3122710704323173E-2</v>
      </c>
      <c r="K995" s="7">
        <f t="shared" si="25"/>
        <v>-2.2439474821913663E-3</v>
      </c>
      <c r="L995" s="7"/>
    </row>
    <row r="996" spans="1:12" x14ac:dyDescent="0.25">
      <c r="A996" s="2" t="s">
        <v>1048</v>
      </c>
      <c r="B996" s="7">
        <v>-1.1917467093561007E-2</v>
      </c>
      <c r="C996" s="7">
        <v>-9.247272054743183E-4</v>
      </c>
      <c r="D996" s="7">
        <v>8.6956521739130377E-2</v>
      </c>
      <c r="E996" s="7">
        <v>-7.069278933548806E-3</v>
      </c>
      <c r="F996" s="7">
        <v>-2.6509873983658894E-3</v>
      </c>
      <c r="G996" s="7"/>
      <c r="H996" s="7">
        <f t="shared" si="25"/>
        <v>-9.2664796951951178E-3</v>
      </c>
      <c r="I996" s="7">
        <f t="shared" si="25"/>
        <v>1.7262601928915711E-3</v>
      </c>
      <c r="J996" s="7">
        <f t="shared" si="25"/>
        <v>8.9607509137496266E-2</v>
      </c>
      <c r="K996" s="7">
        <f t="shared" si="25"/>
        <v>-4.4182915351829166E-3</v>
      </c>
      <c r="L996" s="7"/>
    </row>
    <row r="997" spans="1:12" x14ac:dyDescent="0.25">
      <c r="A997" s="2" t="s">
        <v>1049</v>
      </c>
      <c r="B997" s="7">
        <v>1.7818959372770671E-3</v>
      </c>
      <c r="C997" s="7">
        <v>-2.3985239852398754E-3</v>
      </c>
      <c r="D997" s="7">
        <v>3.9548022598870025E-2</v>
      </c>
      <c r="E997" s="7">
        <v>-3.1683942890670891E-2</v>
      </c>
      <c r="F997" s="7">
        <v>4.2533724601945266E-3</v>
      </c>
      <c r="G997" s="7"/>
      <c r="H997" s="7">
        <f t="shared" si="25"/>
        <v>-2.4714765229174596E-3</v>
      </c>
      <c r="I997" s="7">
        <f t="shared" si="25"/>
        <v>-6.6518964454344021E-3</v>
      </c>
      <c r="J997" s="7">
        <f t="shared" si="25"/>
        <v>3.5294650138675498E-2</v>
      </c>
      <c r="K997" s="7">
        <f t="shared" si="25"/>
        <v>-3.5937315350865418E-2</v>
      </c>
      <c r="L997" s="7"/>
    </row>
    <row r="998" spans="1:12" x14ac:dyDescent="0.25">
      <c r="A998" s="2" t="s">
        <v>1050</v>
      </c>
      <c r="B998" s="7">
        <v>-1.8423507462686506E-2</v>
      </c>
      <c r="C998" s="7">
        <v>9.4049725300306974E-3</v>
      </c>
      <c r="D998" s="7">
        <v>5.3571428571428603E-2</v>
      </c>
      <c r="E998" s="7">
        <v>-2.9975336748245041E-2</v>
      </c>
      <c r="F998" s="7">
        <v>-9.7168693868892042E-3</v>
      </c>
      <c r="G998" s="7"/>
      <c r="H998" s="7">
        <f t="shared" si="25"/>
        <v>-8.7066380757973016E-3</v>
      </c>
      <c r="I998" s="7">
        <f t="shared" si="25"/>
        <v>1.9121841916919902E-2</v>
      </c>
      <c r="J998" s="7">
        <f t="shared" si="25"/>
        <v>6.3288297958317807E-2</v>
      </c>
      <c r="K998" s="7">
        <f t="shared" si="25"/>
        <v>-2.0258467361355836E-2</v>
      </c>
      <c r="L998" s="7"/>
    </row>
    <row r="999" spans="1:12" x14ac:dyDescent="0.25">
      <c r="A999" s="2" t="s">
        <v>1051</v>
      </c>
      <c r="B999" s="7">
        <v>-1.8932677458102121E-2</v>
      </c>
      <c r="C999" s="7">
        <v>-4.1728486646884777E-3</v>
      </c>
      <c r="D999" s="7">
        <v>7.6923076923076872E-2</v>
      </c>
      <c r="E999" s="7">
        <v>-5.5291692804014692E-2</v>
      </c>
      <c r="F999" s="7">
        <v>-1.2551716914267819E-2</v>
      </c>
      <c r="G999" s="7"/>
      <c r="H999" s="7">
        <f t="shared" si="25"/>
        <v>-6.380960543834302E-3</v>
      </c>
      <c r="I999" s="7">
        <f t="shared" si="25"/>
        <v>8.378868249579341E-3</v>
      </c>
      <c r="J999" s="7">
        <f t="shared" si="25"/>
        <v>8.947479383734469E-2</v>
      </c>
      <c r="K999" s="7">
        <f t="shared" si="25"/>
        <v>-4.2739975889746873E-2</v>
      </c>
      <c r="L999" s="7"/>
    </row>
    <row r="1000" spans="1:12" x14ac:dyDescent="0.25">
      <c r="A1000" s="2" t="s">
        <v>189</v>
      </c>
      <c r="B1000" s="7">
        <v>2.365478072486682E-2</v>
      </c>
      <c r="C1000" s="7">
        <v>-1.1115227862170673E-3</v>
      </c>
      <c r="D1000" s="7">
        <v>1.2987012987013102E-2</v>
      </c>
      <c r="E1000" s="7">
        <v>6.6214408561054983E-2</v>
      </c>
      <c r="F1000" s="7">
        <v>8.0908782936564005E-3</v>
      </c>
      <c r="G1000" s="7"/>
      <c r="H1000" s="7">
        <f t="shared" si="25"/>
        <v>1.5563902431210419E-2</v>
      </c>
      <c r="I1000" s="7">
        <f t="shared" si="25"/>
        <v>-9.2024010798734679E-3</v>
      </c>
      <c r="J1000" s="7">
        <f t="shared" si="25"/>
        <v>4.8961346933567018E-3</v>
      </c>
      <c r="K1000" s="7">
        <f t="shared" si="25"/>
        <v>5.8123530267398582E-2</v>
      </c>
      <c r="L1000" s="7"/>
    </row>
    <row r="1001" spans="1:12" x14ac:dyDescent="0.25">
      <c r="A1001" s="2" t="s">
        <v>1052</v>
      </c>
      <c r="B1001" s="7">
        <v>-1.6951133972411547E-3</v>
      </c>
      <c r="C1001" s="7">
        <v>5.4950172301386768E-3</v>
      </c>
      <c r="D1001" s="7">
        <v>2.6666666666666616E-2</v>
      </c>
      <c r="E1001" s="7">
        <v>1.2871382947837073E-2</v>
      </c>
      <c r="F1001" s="7">
        <v>3.4102873691344016E-3</v>
      </c>
      <c r="G1001" s="7"/>
      <c r="H1001" s="7">
        <f t="shared" si="25"/>
        <v>-5.1054007663755563E-3</v>
      </c>
      <c r="I1001" s="7">
        <f t="shared" si="25"/>
        <v>2.0847298610042753E-3</v>
      </c>
      <c r="J1001" s="7">
        <f t="shared" si="25"/>
        <v>2.3256379297532215E-2</v>
      </c>
      <c r="K1001" s="7">
        <f t="shared" si="25"/>
        <v>9.4610955787026718E-3</v>
      </c>
      <c r="L1001" s="7"/>
    </row>
    <row r="1002" spans="1:12" x14ac:dyDescent="0.25">
      <c r="A1002" s="2" t="s">
        <v>1053</v>
      </c>
      <c r="B1002" s="7">
        <v>-1.7797680560339812E-2</v>
      </c>
      <c r="C1002" s="7">
        <v>-1.6848273967585259E-2</v>
      </c>
      <c r="D1002" s="7">
        <v>3.4482758620689724E-2</v>
      </c>
      <c r="E1002" s="7">
        <v>-6.674494219653182E-2</v>
      </c>
      <c r="F1002" s="7">
        <v>-1.5652532890091164E-2</v>
      </c>
      <c r="G1002" s="7"/>
      <c r="H1002" s="7">
        <f t="shared" si="25"/>
        <v>-2.1451476702486483E-3</v>
      </c>
      <c r="I1002" s="7">
        <f t="shared" si="25"/>
        <v>-1.1957410774940946E-3</v>
      </c>
      <c r="J1002" s="7">
        <f t="shared" si="25"/>
        <v>5.0135291510780888E-2</v>
      </c>
      <c r="K1002" s="7">
        <f t="shared" si="25"/>
        <v>-5.1092409306440656E-2</v>
      </c>
      <c r="L1002" s="7"/>
    </row>
    <row r="1003" spans="1:12" x14ac:dyDescent="0.25">
      <c r="A1003" s="2" t="s">
        <v>1054</v>
      </c>
      <c r="B1003" s="7">
        <v>-6.6157180335347787E-3</v>
      </c>
      <c r="C1003" s="7">
        <v>-4.2851932895697775E-3</v>
      </c>
      <c r="D1003" s="7">
        <v>0.10687022900763354</v>
      </c>
      <c r="E1003" s="7">
        <v>-1.0826416456153343E-3</v>
      </c>
      <c r="F1003" s="7">
        <v>-6.2937213921756552E-3</v>
      </c>
      <c r="G1003" s="7"/>
      <c r="H1003" s="7">
        <f t="shared" si="25"/>
        <v>-3.2199664135912354E-4</v>
      </c>
      <c r="I1003" s="7">
        <f t="shared" si="25"/>
        <v>2.0085281026058777E-3</v>
      </c>
      <c r="J1003" s="7">
        <f t="shared" si="25"/>
        <v>0.1131639503998092</v>
      </c>
      <c r="K1003" s="7">
        <f t="shared" si="25"/>
        <v>5.2110797465603209E-3</v>
      </c>
      <c r="L1003" s="7"/>
    </row>
    <row r="1004" spans="1:12" x14ac:dyDescent="0.25">
      <c r="A1004" s="2" t="s">
        <v>1055</v>
      </c>
      <c r="B1004" s="7">
        <v>1.9122348154606117E-2</v>
      </c>
      <c r="C1004" s="7">
        <v>1.7439703153989017E-2</v>
      </c>
      <c r="D1004" s="7">
        <v>3.1496062992125928E-2</v>
      </c>
      <c r="E1004" s="7">
        <v>1.4089661482159288E-2</v>
      </c>
      <c r="F1004" s="7">
        <v>1.2256530405287291E-2</v>
      </c>
      <c r="G1004" s="7"/>
      <c r="H1004" s="7">
        <f t="shared" si="25"/>
        <v>6.8658177493188255E-3</v>
      </c>
      <c r="I1004" s="7">
        <f t="shared" si="25"/>
        <v>5.1831727487017254E-3</v>
      </c>
      <c r="J1004" s="7">
        <f t="shared" si="25"/>
        <v>1.9239532586838637E-2</v>
      </c>
      <c r="K1004" s="7">
        <f t="shared" si="25"/>
        <v>1.8331310768719966E-3</v>
      </c>
      <c r="L1004" s="7"/>
    </row>
    <row r="1005" spans="1:12" x14ac:dyDescent="0.25">
      <c r="A1005" s="2" t="s">
        <v>190</v>
      </c>
      <c r="B1005" s="7">
        <v>5.0236579239442136E-3</v>
      </c>
      <c r="C1005" s="7">
        <v>-6.5431757441710703E-3</v>
      </c>
      <c r="D1005" s="7">
        <v>-4.5112781954887216E-2</v>
      </c>
      <c r="E1005" s="7">
        <v>1.8544404062994957E-2</v>
      </c>
      <c r="F1005" s="7">
        <v>7.1449639670178033E-3</v>
      </c>
      <c r="G1005" s="7"/>
      <c r="H1005" s="7">
        <f t="shared" si="25"/>
        <v>-2.1213060430735897E-3</v>
      </c>
      <c r="I1005" s="7">
        <f t="shared" si="25"/>
        <v>-1.3688139711188874E-2</v>
      </c>
      <c r="J1005" s="7">
        <f t="shared" si="25"/>
        <v>-5.2257745921905019E-2</v>
      </c>
      <c r="K1005" s="7">
        <f t="shared" si="25"/>
        <v>1.1399440095977154E-2</v>
      </c>
      <c r="L1005" s="7"/>
    </row>
    <row r="1006" spans="1:12" x14ac:dyDescent="0.25">
      <c r="A1006" s="2" t="s">
        <v>1056</v>
      </c>
      <c r="B1006" s="7">
        <v>3.7525652301377832E-3</v>
      </c>
      <c r="C1006" s="7">
        <v>9.9590469099033463E-3</v>
      </c>
      <c r="D1006" s="7">
        <v>2.3076923076922995E-2</v>
      </c>
      <c r="E1006" s="7">
        <v>-1.8745427944403814E-2</v>
      </c>
      <c r="F1006" s="7">
        <v>5.0661923471737591E-3</v>
      </c>
      <c r="G1006" s="7"/>
      <c r="H1006" s="7">
        <f t="shared" si="25"/>
        <v>-1.3136271170359759E-3</v>
      </c>
      <c r="I1006" s="7">
        <f t="shared" si="25"/>
        <v>4.8928545627295872E-3</v>
      </c>
      <c r="J1006" s="7">
        <f t="shared" si="25"/>
        <v>1.8010730729749236E-2</v>
      </c>
      <c r="K1006" s="7">
        <f t="shared" si="25"/>
        <v>-2.3811620291577573E-2</v>
      </c>
      <c r="L1006" s="7"/>
    </row>
    <row r="1007" spans="1:12" x14ac:dyDescent="0.25">
      <c r="A1007" s="2" t="s">
        <v>1057</v>
      </c>
      <c r="B1007" s="7">
        <v>2.266594711279013E-2</v>
      </c>
      <c r="C1007" s="7">
        <v>8.7315745000469125E-3</v>
      </c>
      <c r="D1007" s="7">
        <v>-2.2556390977443663E-2</v>
      </c>
      <c r="E1007" s="7">
        <v>-1.778336626549315E-2</v>
      </c>
      <c r="F1007" s="7">
        <v>1.4343931206577842E-2</v>
      </c>
      <c r="G1007" s="7"/>
      <c r="H1007" s="7">
        <f t="shared" si="25"/>
        <v>8.3220159062122878E-3</v>
      </c>
      <c r="I1007" s="7">
        <f t="shared" si="25"/>
        <v>-5.6123567065309299E-3</v>
      </c>
      <c r="J1007" s="7">
        <f t="shared" si="25"/>
        <v>-3.6900322184021506E-2</v>
      </c>
      <c r="K1007" s="7">
        <f t="shared" si="25"/>
        <v>-3.2127297472070993E-2</v>
      </c>
      <c r="L1007" s="7"/>
    </row>
    <row r="1008" spans="1:12" x14ac:dyDescent="0.25">
      <c r="A1008" s="2" t="s">
        <v>1058</v>
      </c>
      <c r="B1008" s="7">
        <v>8.2219938335046372E-3</v>
      </c>
      <c r="C1008" s="7">
        <v>-1.5073053449232487E-2</v>
      </c>
      <c r="D1008" s="7">
        <v>7.575757575757569E-3</v>
      </c>
      <c r="E1008" s="7">
        <v>1.9503708451606983E-2</v>
      </c>
      <c r="F1008" s="7">
        <v>-1.2272780670315009E-2</v>
      </c>
      <c r="G1008" s="7"/>
      <c r="H1008" s="7">
        <f t="shared" si="25"/>
        <v>2.0494774503819646E-2</v>
      </c>
      <c r="I1008" s="7">
        <f t="shared" si="25"/>
        <v>-2.8002727789174786E-3</v>
      </c>
      <c r="J1008" s="7">
        <f t="shared" si="25"/>
        <v>1.9848538246072578E-2</v>
      </c>
      <c r="K1008" s="7">
        <f t="shared" si="25"/>
        <v>3.1776489121921991E-2</v>
      </c>
      <c r="L1008" s="7"/>
    </row>
    <row r="1009" spans="1:12" x14ac:dyDescent="0.25">
      <c r="A1009" s="2" t="s">
        <v>1059</v>
      </c>
      <c r="B1009" s="7">
        <v>2.0797333991606992E-2</v>
      </c>
      <c r="C1009" s="7">
        <v>9.1452034341172883E-3</v>
      </c>
      <c r="D1009" s="7">
        <v>7.6335877862594437E-3</v>
      </c>
      <c r="E1009" s="7">
        <v>0.11008335027444605</v>
      </c>
      <c r="F1009" s="7">
        <v>1.1304184094790948E-2</v>
      </c>
      <c r="G1009" s="7"/>
      <c r="H1009" s="7">
        <f t="shared" si="25"/>
        <v>9.4931498968160444E-3</v>
      </c>
      <c r="I1009" s="7">
        <f t="shared" si="25"/>
        <v>-2.1589806606736595E-3</v>
      </c>
      <c r="J1009" s="7">
        <f t="shared" si="25"/>
        <v>-3.6705963085315041E-3</v>
      </c>
      <c r="K1009" s="7">
        <f t="shared" si="25"/>
        <v>9.8779166179655098E-2</v>
      </c>
      <c r="L1009" s="7"/>
    </row>
    <row r="1010" spans="1:12" x14ac:dyDescent="0.25">
      <c r="A1010" s="2" t="s">
        <v>191</v>
      </c>
      <c r="B1010" s="7">
        <v>8.5267940499160755E-3</v>
      </c>
      <c r="C1010" s="7">
        <v>1.7761989342806039E-3</v>
      </c>
      <c r="D1010" s="7">
        <v>-2.9629629629629672E-2</v>
      </c>
      <c r="E1010" s="7">
        <v>-4.3461351482741883E-2</v>
      </c>
      <c r="F1010" s="7">
        <v>-4.3467350194470455E-4</v>
      </c>
      <c r="G1010" s="7"/>
      <c r="H1010" s="7">
        <f t="shared" si="25"/>
        <v>8.96146755186078E-3</v>
      </c>
      <c r="I1010" s="7">
        <f t="shared" si="25"/>
        <v>2.2108724362253085E-3</v>
      </c>
      <c r="J1010" s="7">
        <f t="shared" si="25"/>
        <v>-2.9194956127684968E-2</v>
      </c>
      <c r="K1010" s="7">
        <f t="shared" si="25"/>
        <v>-4.3026677980797179E-2</v>
      </c>
      <c r="L1010" s="7"/>
    </row>
    <row r="1011" spans="1:12" x14ac:dyDescent="0.25">
      <c r="A1011" s="2" t="s">
        <v>1060</v>
      </c>
      <c r="B1011" s="7">
        <v>2.096968926733167E-2</v>
      </c>
      <c r="C1011" s="7">
        <v>4.3188433010983296E-3</v>
      </c>
      <c r="D1011" s="7">
        <v>-1.4598540145985384E-2</v>
      </c>
      <c r="E1011" s="7">
        <v>7.8997062526227513E-2</v>
      </c>
      <c r="F1011" s="7">
        <v>1.1662250349640857E-2</v>
      </c>
      <c r="G1011" s="7"/>
      <c r="H1011" s="7">
        <f t="shared" si="25"/>
        <v>9.3074389176908134E-3</v>
      </c>
      <c r="I1011" s="7">
        <f t="shared" si="25"/>
        <v>-7.3434070485425273E-3</v>
      </c>
      <c r="J1011" s="7">
        <f t="shared" si="25"/>
        <v>-2.6260790495626241E-2</v>
      </c>
      <c r="K1011" s="7">
        <f t="shared" si="25"/>
        <v>6.7334812176586656E-2</v>
      </c>
      <c r="L1011" s="7"/>
    </row>
    <row r="1012" spans="1:12" x14ac:dyDescent="0.25">
      <c r="A1012" s="2" t="s">
        <v>1061</v>
      </c>
      <c r="B1012" s="7">
        <v>6.4594525454080287E-3</v>
      </c>
      <c r="C1012" s="7">
        <v>1.4960930055269772E-2</v>
      </c>
      <c r="D1012" s="7">
        <v>2.2388059701492491E-2</v>
      </c>
      <c r="E1012" s="7">
        <v>-4.3931795386158545E-2</v>
      </c>
      <c r="F1012" s="7">
        <v>1.2347803738532281E-2</v>
      </c>
      <c r="G1012" s="7"/>
      <c r="H1012" s="7">
        <f t="shared" si="25"/>
        <v>-5.8883511931242527E-3</v>
      </c>
      <c r="I1012" s="7">
        <f t="shared" si="25"/>
        <v>2.6131263167374907E-3</v>
      </c>
      <c r="J1012" s="7">
        <f t="shared" si="25"/>
        <v>1.004025596296021E-2</v>
      </c>
      <c r="K1012" s="7">
        <f t="shared" si="25"/>
        <v>-5.6279599124690827E-2</v>
      </c>
      <c r="L1012" s="7"/>
    </row>
    <row r="1013" spans="1:12" x14ac:dyDescent="0.25">
      <c r="A1013" s="2" t="s">
        <v>1062</v>
      </c>
      <c r="B1013" s="7">
        <v>2.9022704837117663E-2</v>
      </c>
      <c r="C1013" s="7">
        <v>8.2628747117601264E-3</v>
      </c>
      <c r="D1013" s="7">
        <v>1.5151515151515138E-2</v>
      </c>
      <c r="E1013" s="7">
        <v>0.36762688614540462</v>
      </c>
      <c r="F1013" s="7">
        <v>2.2383840279651235E-2</v>
      </c>
      <c r="G1013" s="7"/>
      <c r="H1013" s="7">
        <f t="shared" si="25"/>
        <v>6.6388645574664285E-3</v>
      </c>
      <c r="I1013" s="7">
        <f t="shared" si="25"/>
        <v>-1.4120965567891108E-2</v>
      </c>
      <c r="J1013" s="7">
        <f t="shared" si="25"/>
        <v>-7.2323251281360967E-3</v>
      </c>
      <c r="K1013" s="7">
        <f t="shared" si="25"/>
        <v>0.34524304586575338</v>
      </c>
      <c r="L1013" s="7"/>
    </row>
    <row r="1014" spans="1:12" x14ac:dyDescent="0.25">
      <c r="A1014" s="2" t="s">
        <v>1063</v>
      </c>
      <c r="B1014" s="7">
        <v>2.9611058408998359E-2</v>
      </c>
      <c r="C1014" s="7">
        <v>5.7982218786238882E-3</v>
      </c>
      <c r="D1014" s="7">
        <v>-2.2222222222222254E-2</v>
      </c>
      <c r="E1014" s="7">
        <v>-1.2863913337846866E-2</v>
      </c>
      <c r="F1014" s="7">
        <v>2.1408493905025416E-2</v>
      </c>
      <c r="G1014" s="7"/>
      <c r="H1014" s="7">
        <f t="shared" si="25"/>
        <v>8.2025645039729422E-3</v>
      </c>
      <c r="I1014" s="7">
        <f t="shared" si="25"/>
        <v>-1.5610272026401528E-2</v>
      </c>
      <c r="J1014" s="7">
        <f t="shared" si="25"/>
        <v>-4.3630716127247671E-2</v>
      </c>
      <c r="K1014" s="7">
        <f t="shared" si="25"/>
        <v>-3.4272407242872283E-2</v>
      </c>
      <c r="L1014" s="7"/>
    </row>
    <row r="1015" spans="1:12" x14ac:dyDescent="0.25">
      <c r="A1015" s="2" t="s">
        <v>192</v>
      </c>
      <c r="B1015" s="7">
        <v>-2.6517150395778288E-2</v>
      </c>
      <c r="C1015" s="7">
        <v>1.7902813299232712E-2</v>
      </c>
      <c r="D1015" s="7">
        <v>-5.5944055944055826E-2</v>
      </c>
      <c r="E1015" s="7">
        <v>-0.10321797207043104</v>
      </c>
      <c r="F1015" s="7">
        <v>-7.4209561140831104E-3</v>
      </c>
      <c r="G1015" s="7"/>
      <c r="H1015" s="7">
        <f t="shared" si="25"/>
        <v>-1.9096194281695178E-2</v>
      </c>
      <c r="I1015" s="7">
        <f t="shared" si="25"/>
        <v>2.5323769413315822E-2</v>
      </c>
      <c r="J1015" s="7">
        <f t="shared" si="25"/>
        <v>-4.8523099829972716E-2</v>
      </c>
      <c r="K1015" s="7">
        <f t="shared" si="25"/>
        <v>-9.5797015956347931E-2</v>
      </c>
      <c r="L1015" s="7"/>
    </row>
    <row r="1016" spans="1:12" x14ac:dyDescent="0.25">
      <c r="A1016" s="2" t="s">
        <v>1064</v>
      </c>
      <c r="B1016" s="7">
        <v>-2.3950553695596177E-2</v>
      </c>
      <c r="C1016" s="7">
        <v>-2.0616570327553041E-2</v>
      </c>
      <c r="D1016" s="7">
        <v>-7.7419354838709764E-2</v>
      </c>
      <c r="E1016" s="7">
        <v>-6.6855524079320161E-2</v>
      </c>
      <c r="F1016" s="7">
        <v>-1.2961554353542182E-2</v>
      </c>
      <c r="G1016" s="7"/>
      <c r="H1016" s="7">
        <f t="shared" si="25"/>
        <v>-1.0988999342053996E-2</v>
      </c>
      <c r="I1016" s="7">
        <f t="shared" si="25"/>
        <v>-7.6550159740108592E-3</v>
      </c>
      <c r="J1016" s="7">
        <f t="shared" si="25"/>
        <v>-6.4457800485167582E-2</v>
      </c>
      <c r="K1016" s="7">
        <f t="shared" si="25"/>
        <v>-5.3893969725777979E-2</v>
      </c>
      <c r="L1016" s="7"/>
    </row>
    <row r="1017" spans="1:12" x14ac:dyDescent="0.25">
      <c r="A1017" s="2" t="s">
        <v>1065</v>
      </c>
      <c r="B1017" s="7">
        <v>-2.7182763372165852E-2</v>
      </c>
      <c r="C1017" s="7">
        <v>-1.8254043317885271E-2</v>
      </c>
      <c r="D1017" s="7">
        <v>2.6490066225165476E-2</v>
      </c>
      <c r="E1017" s="7">
        <v>-7.9290558163797598E-2</v>
      </c>
      <c r="F1017" s="7">
        <v>-4.2918454935622075E-3</v>
      </c>
      <c r="G1017" s="7"/>
      <c r="H1017" s="7">
        <f t="shared" si="25"/>
        <v>-2.2890917878603645E-2</v>
      </c>
      <c r="I1017" s="7">
        <f t="shared" si="25"/>
        <v>-1.3962197824323064E-2</v>
      </c>
      <c r="J1017" s="7">
        <f t="shared" si="25"/>
        <v>3.0781911718727684E-2</v>
      </c>
      <c r="K1017" s="7">
        <f t="shared" si="25"/>
        <v>-7.499871267023539E-2</v>
      </c>
      <c r="L1017" s="7"/>
    </row>
    <row r="1018" spans="1:12" x14ac:dyDescent="0.25">
      <c r="A1018" s="2" t="s">
        <v>1066</v>
      </c>
      <c r="B1018" s="7">
        <v>3.5005834305717576E-2</v>
      </c>
      <c r="C1018" s="7">
        <v>8.296776654587168E-3</v>
      </c>
      <c r="D1018" s="7">
        <v>6.6666666666665986E-3</v>
      </c>
      <c r="E1018" s="7">
        <v>3.5097192224621931E-2</v>
      </c>
      <c r="F1018" s="7">
        <v>2.5698324022346508E-2</v>
      </c>
      <c r="G1018" s="7"/>
      <c r="H1018" s="7">
        <f t="shared" si="25"/>
        <v>9.3075102833710677E-3</v>
      </c>
      <c r="I1018" s="7">
        <f t="shared" si="25"/>
        <v>-1.740154736775934E-2</v>
      </c>
      <c r="J1018" s="7">
        <f t="shared" si="25"/>
        <v>-1.903165735567991E-2</v>
      </c>
      <c r="K1018" s="7">
        <f t="shared" si="25"/>
        <v>9.3988682022754233E-3</v>
      </c>
      <c r="L1018" s="7"/>
    </row>
    <row r="1019" spans="1:12" x14ac:dyDescent="0.25">
      <c r="A1019" s="2" t="s">
        <v>1067</v>
      </c>
      <c r="B1019" s="7">
        <v>-1.1660686827268174E-2</v>
      </c>
      <c r="C1019" s="7">
        <v>1.4806929255782419E-2</v>
      </c>
      <c r="D1019" s="7">
        <v>-7.4074074074074181E-2</v>
      </c>
      <c r="E1019" s="7">
        <v>-1.1739594450373647E-2</v>
      </c>
      <c r="F1019" s="7">
        <v>-7.2338369327961116E-3</v>
      </c>
      <c r="G1019" s="7"/>
      <c r="H1019" s="7">
        <f t="shared" si="25"/>
        <v>-4.4268498944720625E-3</v>
      </c>
      <c r="I1019" s="7">
        <f t="shared" si="25"/>
        <v>2.2040766188578531E-2</v>
      </c>
      <c r="J1019" s="7">
        <f t="shared" si="25"/>
        <v>-6.6840237141278069E-2</v>
      </c>
      <c r="K1019" s="7">
        <f t="shared" si="25"/>
        <v>-4.5057575175775355E-3</v>
      </c>
      <c r="L1019" s="7"/>
    </row>
    <row r="1020" spans="1:12" x14ac:dyDescent="0.25">
      <c r="A1020" s="2" t="s">
        <v>193</v>
      </c>
      <c r="B1020" s="7">
        <v>-2.3706761743916838E-2</v>
      </c>
      <c r="C1020" s="7">
        <v>-2.3530523530523428E-2</v>
      </c>
      <c r="D1020" s="7">
        <v>1.8867924528301883E-2</v>
      </c>
      <c r="E1020" s="7">
        <v>-1.9258949131253922E-2</v>
      </c>
      <c r="F1020" s="7">
        <v>-2.9518095946517109E-2</v>
      </c>
      <c r="G1020" s="7"/>
      <c r="H1020" s="7">
        <f t="shared" si="25"/>
        <v>5.8113342026002712E-3</v>
      </c>
      <c r="I1020" s="7">
        <f t="shared" si="25"/>
        <v>5.9875724159936805E-3</v>
      </c>
      <c r="J1020" s="7">
        <f t="shared" si="25"/>
        <v>4.8386020474818991E-2</v>
      </c>
      <c r="K1020" s="7">
        <f t="shared" si="25"/>
        <v>1.0259146815263187E-2</v>
      </c>
      <c r="L1020" s="7"/>
    </row>
    <row r="1021" spans="1:12" x14ac:dyDescent="0.25">
      <c r="A1021" s="2" t="s">
        <v>1068</v>
      </c>
      <c r="B1021" s="7">
        <v>-1.841959845275376E-2</v>
      </c>
      <c r="C1021" s="7">
        <v>-1.0565684899485839E-2</v>
      </c>
      <c r="D1021" s="7">
        <v>1.9230769230769162E-2</v>
      </c>
      <c r="E1021" s="7">
        <v>-1.4238547255468359E-2</v>
      </c>
      <c r="F1021" s="7">
        <v>-7.93401612012401E-3</v>
      </c>
      <c r="G1021" s="7"/>
      <c r="H1021" s="7">
        <f t="shared" si="25"/>
        <v>-1.048558233262975E-2</v>
      </c>
      <c r="I1021" s="7">
        <f t="shared" si="25"/>
        <v>-2.6316687793618287E-3</v>
      </c>
      <c r="J1021" s="7">
        <f t="shared" si="25"/>
        <v>2.7164785350893172E-2</v>
      </c>
      <c r="K1021" s="7">
        <f t="shared" si="25"/>
        <v>-6.3045311353443489E-3</v>
      </c>
      <c r="L1021" s="7"/>
    </row>
    <row r="1022" spans="1:12" x14ac:dyDescent="0.25">
      <c r="A1022" s="2" t="s">
        <v>1069</v>
      </c>
      <c r="B1022" s="7">
        <v>-1.9609044671854425E-3</v>
      </c>
      <c r="C1022" s="7">
        <v>7.346708109635447E-3</v>
      </c>
      <c r="D1022" s="7">
        <v>-1.8867924528301883E-2</v>
      </c>
      <c r="E1022" s="7">
        <v>-3.1961646024770252E-2</v>
      </c>
      <c r="F1022" s="7">
        <v>-5.2547110022934662E-3</v>
      </c>
      <c r="G1022" s="7"/>
      <c r="H1022" s="7">
        <f t="shared" si="25"/>
        <v>3.2938065351080237E-3</v>
      </c>
      <c r="I1022" s="7">
        <f t="shared" si="25"/>
        <v>1.2601419111928913E-2</v>
      </c>
      <c r="J1022" s="7">
        <f t="shared" si="25"/>
        <v>-1.3613213526008416E-2</v>
      </c>
      <c r="K1022" s="7">
        <f t="shared" si="25"/>
        <v>-2.6706935022476785E-2</v>
      </c>
      <c r="L1022" s="7"/>
    </row>
    <row r="1023" spans="1:12" x14ac:dyDescent="0.25">
      <c r="A1023" s="2" t="s">
        <v>1070</v>
      </c>
      <c r="B1023" s="7">
        <v>2.0575359599749765E-2</v>
      </c>
      <c r="C1023" s="7">
        <v>1.705144170897599E-2</v>
      </c>
      <c r="D1023" s="7">
        <v>-1.851851851851849E-2</v>
      </c>
      <c r="E1023" s="7">
        <v>-1.5535889872173025E-2</v>
      </c>
      <c r="F1023" s="7">
        <v>1.8642627244987553E-2</v>
      </c>
      <c r="G1023" s="7"/>
      <c r="H1023" s="7">
        <f t="shared" si="25"/>
        <v>1.9327323547622122E-3</v>
      </c>
      <c r="I1023" s="7">
        <f t="shared" si="25"/>
        <v>-1.5911855360115634E-3</v>
      </c>
      <c r="J1023" s="7">
        <f t="shared" si="25"/>
        <v>-3.7161145763506043E-2</v>
      </c>
      <c r="K1023" s="7">
        <f t="shared" si="25"/>
        <v>-3.4178517117160578E-2</v>
      </c>
      <c r="L1023" s="7"/>
    </row>
    <row r="1024" spans="1:12" x14ac:dyDescent="0.25">
      <c r="A1024" s="2" t="s">
        <v>1071</v>
      </c>
      <c r="B1024" s="7">
        <v>-1.1620719495611276E-2</v>
      </c>
      <c r="C1024" s="7">
        <v>-2.630351646301643E-2</v>
      </c>
      <c r="D1024" s="7">
        <v>-4.7058823529411709E-2</v>
      </c>
      <c r="E1024" s="7">
        <v>1.8018018018018056E-2</v>
      </c>
      <c r="F1024" s="7">
        <v>-1.5473463284818578E-2</v>
      </c>
      <c r="G1024" s="7"/>
      <c r="H1024" s="7">
        <f t="shared" si="25"/>
        <v>3.8527437892073024E-3</v>
      </c>
      <c r="I1024" s="7">
        <f t="shared" si="25"/>
        <v>-1.0830053178197852E-2</v>
      </c>
      <c r="J1024" s="7">
        <f t="shared" si="25"/>
        <v>-3.158536024459313E-2</v>
      </c>
      <c r="K1024" s="7">
        <f t="shared" si="25"/>
        <v>3.3491481302836634E-2</v>
      </c>
      <c r="L1024" s="7"/>
    </row>
    <row r="1025" spans="1:12" x14ac:dyDescent="0.25">
      <c r="A1025" s="2" t="s">
        <v>194</v>
      </c>
      <c r="B1025" s="7">
        <v>1.6097077761267897E-3</v>
      </c>
      <c r="C1025" s="7">
        <v>-1.2344541685859078E-2</v>
      </c>
      <c r="D1025" s="7">
        <v>0.25925925925925908</v>
      </c>
      <c r="E1025" s="7">
        <v>-2.5460930640913038E-2</v>
      </c>
      <c r="F1025" s="7">
        <v>-2.4426122951660689E-3</v>
      </c>
      <c r="G1025" s="7"/>
      <c r="H1025" s="7">
        <f t="shared" si="25"/>
        <v>4.0523200712928586E-3</v>
      </c>
      <c r="I1025" s="7">
        <f t="shared" si="25"/>
        <v>-9.9019293906930095E-3</v>
      </c>
      <c r="J1025" s="7">
        <f t="shared" si="25"/>
        <v>0.26170187155442515</v>
      </c>
      <c r="K1025" s="7">
        <f t="shared" si="25"/>
        <v>-2.3018318345746969E-2</v>
      </c>
      <c r="L1025" s="7"/>
    </row>
    <row r="1026" spans="1:12" x14ac:dyDescent="0.25">
      <c r="A1026" s="2" t="s">
        <v>1072</v>
      </c>
      <c r="B1026" s="7">
        <v>1.2982126058325605E-2</v>
      </c>
      <c r="C1026" s="7">
        <v>4.7375530683133826E-2</v>
      </c>
      <c r="D1026" s="7">
        <v>0.12500000000000022</v>
      </c>
      <c r="E1026" s="7">
        <v>-9.0865152247462389E-3</v>
      </c>
      <c r="F1026" s="7">
        <v>2.2372746986266234E-2</v>
      </c>
      <c r="G1026" s="7"/>
      <c r="H1026" s="7">
        <f t="shared" si="25"/>
        <v>-9.3906209279406294E-3</v>
      </c>
      <c r="I1026" s="7">
        <f t="shared" si="25"/>
        <v>2.5002783696867592E-2</v>
      </c>
      <c r="J1026" s="7">
        <f t="shared" si="25"/>
        <v>0.10262725301373399</v>
      </c>
      <c r="K1026" s="7">
        <f t="shared" ref="K1026:K1089" si="26">E1026-$F1026</f>
        <v>-3.1459262211012473E-2</v>
      </c>
      <c r="L1026" s="7"/>
    </row>
    <row r="1027" spans="1:12" x14ac:dyDescent="0.25">
      <c r="A1027" s="2" t="s">
        <v>1073</v>
      </c>
      <c r="B1027" s="7">
        <v>1.6705987374864284E-2</v>
      </c>
      <c r="C1027" s="7">
        <v>-4.7056563910495841E-3</v>
      </c>
      <c r="D1027" s="7">
        <v>9.0909090909090828E-2</v>
      </c>
      <c r="E1027" s="7">
        <v>-7.1976967370441791E-3</v>
      </c>
      <c r="F1027" s="7">
        <v>1.4956809844988816E-2</v>
      </c>
      <c r="G1027" s="7"/>
      <c r="H1027" s="7">
        <f t="shared" ref="H1027:K1090" si="27">B1027-$F1027</f>
        <v>1.7491775298754675E-3</v>
      </c>
      <c r="I1027" s="7">
        <f t="shared" si="27"/>
        <v>-1.9662466236038401E-2</v>
      </c>
      <c r="J1027" s="7">
        <f t="shared" si="27"/>
        <v>7.5952281064102012E-2</v>
      </c>
      <c r="K1027" s="7">
        <f t="shared" si="26"/>
        <v>-2.2154506582032996E-2</v>
      </c>
      <c r="L1027" s="7"/>
    </row>
    <row r="1028" spans="1:12" x14ac:dyDescent="0.25">
      <c r="A1028" s="2" t="s">
        <v>1074</v>
      </c>
      <c r="B1028" s="7">
        <v>-2.590062111801239E-2</v>
      </c>
      <c r="C1028" s="7">
        <v>-1.6156462585034115E-2</v>
      </c>
      <c r="D1028" s="7">
        <v>1.8518518518518601E-2</v>
      </c>
      <c r="E1028" s="7">
        <v>-2.8438228438228408E-2</v>
      </c>
      <c r="F1028" s="7">
        <v>-1.8412176288573612E-2</v>
      </c>
      <c r="G1028" s="7"/>
      <c r="H1028" s="7">
        <f t="shared" si="27"/>
        <v>-7.4884448294387784E-3</v>
      </c>
      <c r="I1028" s="7">
        <f t="shared" si="27"/>
        <v>2.255713703539497E-3</v>
      </c>
      <c r="J1028" s="7">
        <f t="shared" si="27"/>
        <v>3.6930694807092213E-2</v>
      </c>
      <c r="K1028" s="7">
        <f t="shared" si="26"/>
        <v>-1.0026052149654796E-2</v>
      </c>
      <c r="L1028" s="7"/>
    </row>
    <row r="1029" spans="1:12" x14ac:dyDescent="0.25">
      <c r="A1029" s="2" t="s">
        <v>1075</v>
      </c>
      <c r="B1029" s="7">
        <v>-1.7813567593948143E-2</v>
      </c>
      <c r="C1029" s="7">
        <v>-5.8237835806874694E-3</v>
      </c>
      <c r="D1029" s="7">
        <v>-9.1743119266055606E-3</v>
      </c>
      <c r="E1029" s="7">
        <v>-5.0884955752212413E-2</v>
      </c>
      <c r="F1029" s="7">
        <v>-1.0142864698185927E-2</v>
      </c>
      <c r="G1029" s="7"/>
      <c r="H1029" s="7">
        <f t="shared" si="27"/>
        <v>-7.6707028957622159E-3</v>
      </c>
      <c r="I1029" s="7">
        <f t="shared" si="27"/>
        <v>4.3190811174984578E-3</v>
      </c>
      <c r="J1029" s="7">
        <f t="shared" si="27"/>
        <v>9.6855277158036657E-4</v>
      </c>
      <c r="K1029" s="7">
        <f t="shared" si="26"/>
        <v>-4.0742091054026486E-2</v>
      </c>
      <c r="L1029" s="7"/>
    </row>
    <row r="1030" spans="1:12" x14ac:dyDescent="0.25">
      <c r="A1030" s="2" t="s">
        <v>1076</v>
      </c>
      <c r="B1030" s="7">
        <v>-9.367256904574961E-3</v>
      </c>
      <c r="C1030" s="7">
        <v>-6.9029850746269439E-3</v>
      </c>
      <c r="D1030" s="7">
        <v>-9.0909090909091494E-3</v>
      </c>
      <c r="E1030" s="7">
        <v>-4.3750528899043739E-2</v>
      </c>
      <c r="F1030" s="7">
        <v>-7.1662412733491943E-3</v>
      </c>
      <c r="G1030" s="7"/>
      <c r="H1030" s="7">
        <f t="shared" si="27"/>
        <v>-2.2010156312257667E-3</v>
      </c>
      <c r="I1030" s="7">
        <f t="shared" si="27"/>
        <v>2.6325619872225037E-4</v>
      </c>
      <c r="J1030" s="7">
        <f t="shared" si="27"/>
        <v>-1.9246678175599552E-3</v>
      </c>
      <c r="K1030" s="7">
        <f t="shared" si="26"/>
        <v>-3.6584287625694545E-2</v>
      </c>
      <c r="L1030" s="7"/>
    </row>
    <row r="1031" spans="1:12" x14ac:dyDescent="0.25">
      <c r="A1031" s="2" t="s">
        <v>1077</v>
      </c>
      <c r="B1031" s="7">
        <v>-2.1235064474151244E-2</v>
      </c>
      <c r="C1031" s="7">
        <v>-3.5711073131240445E-2</v>
      </c>
      <c r="D1031" s="7">
        <v>5.7692307692307709E-2</v>
      </c>
      <c r="E1031" s="7">
        <v>-8.9734988258972637E-3</v>
      </c>
      <c r="F1031" s="7">
        <v>-2.1173137043269175E-2</v>
      </c>
      <c r="G1031" s="7"/>
      <c r="H1031" s="7">
        <f t="shared" si="27"/>
        <v>-6.1927430882069423E-5</v>
      </c>
      <c r="I1031" s="7">
        <f t="shared" si="27"/>
        <v>-1.453793608797127E-2</v>
      </c>
      <c r="J1031" s="7">
        <f t="shared" si="27"/>
        <v>7.8865444735576884E-2</v>
      </c>
      <c r="K1031" s="7">
        <f t="shared" si="26"/>
        <v>1.2199638217371911E-2</v>
      </c>
      <c r="L1031" s="7"/>
    </row>
    <row r="1032" spans="1:12" x14ac:dyDescent="0.25">
      <c r="A1032" s="2" t="s">
        <v>1078</v>
      </c>
      <c r="B1032" s="7">
        <v>-1.4176018901359555E-3</v>
      </c>
      <c r="C1032" s="7">
        <v>-1.0855058279206298E-2</v>
      </c>
      <c r="D1032" s="7">
        <v>2.9702970297029729E-2</v>
      </c>
      <c r="E1032" s="7">
        <v>-5.421636500125171E-3</v>
      </c>
      <c r="F1032" s="7">
        <v>8.8122082633468324E-4</v>
      </c>
      <c r="G1032" s="7"/>
      <c r="H1032" s="7">
        <f t="shared" si="27"/>
        <v>-2.2988227164706387E-3</v>
      </c>
      <c r="I1032" s="7">
        <f t="shared" si="27"/>
        <v>-1.1736279105540981E-2</v>
      </c>
      <c r="J1032" s="7">
        <f t="shared" si="27"/>
        <v>2.8821749470695046E-2</v>
      </c>
      <c r="K1032" s="7">
        <f t="shared" si="26"/>
        <v>-6.3028573264598542E-3</v>
      </c>
      <c r="L1032" s="7"/>
    </row>
    <row r="1033" spans="1:12" x14ac:dyDescent="0.25">
      <c r="A1033" s="2" t="s">
        <v>1079</v>
      </c>
      <c r="B1033" s="7">
        <v>2.3146189641626957E-2</v>
      </c>
      <c r="C1033" s="7">
        <v>-4.2526800744219218E-3</v>
      </c>
      <c r="D1033" s="7">
        <v>-1.9417475728155331E-2</v>
      </c>
      <c r="E1033" s="7">
        <v>3.5408929959409141E-2</v>
      </c>
      <c r="F1033" s="7">
        <v>1.5766743077059386E-2</v>
      </c>
      <c r="G1033" s="7"/>
      <c r="H1033" s="7">
        <f t="shared" si="27"/>
        <v>7.3794465645675711E-3</v>
      </c>
      <c r="I1033" s="7">
        <f t="shared" si="27"/>
        <v>-2.0019423151481308E-2</v>
      </c>
      <c r="J1033" s="7">
        <f t="shared" si="27"/>
        <v>-3.5184218805214718E-2</v>
      </c>
      <c r="K1033" s="7">
        <f t="shared" si="26"/>
        <v>1.9642186882349755E-2</v>
      </c>
      <c r="L1033" s="7"/>
    </row>
    <row r="1034" spans="1:12" x14ac:dyDescent="0.25">
      <c r="A1034" s="2" t="s">
        <v>195</v>
      </c>
      <c r="B1034" s="7">
        <v>1.4525207286812947E-3</v>
      </c>
      <c r="C1034" s="7">
        <v>-9.5647595647594397E-3</v>
      </c>
      <c r="D1034" s="7">
        <v>-5.5045871559633031E-2</v>
      </c>
      <c r="E1034" s="7">
        <v>-2.6701119724374944E-3</v>
      </c>
      <c r="F1034" s="7">
        <v>-3.8405482229827426E-3</v>
      </c>
      <c r="G1034" s="7"/>
      <c r="H1034" s="7">
        <f t="shared" si="27"/>
        <v>5.2930689516640372E-3</v>
      </c>
      <c r="I1034" s="7">
        <f t="shared" si="27"/>
        <v>-5.7242113417766971E-3</v>
      </c>
      <c r="J1034" s="7">
        <f t="shared" si="27"/>
        <v>-5.1205323336650288E-2</v>
      </c>
      <c r="K1034" s="7">
        <f t="shared" si="26"/>
        <v>1.1704362505452481E-3</v>
      </c>
      <c r="L1034" s="7"/>
    </row>
    <row r="1035" spans="1:12" x14ac:dyDescent="0.25">
      <c r="A1035" s="2" t="s">
        <v>1080</v>
      </c>
      <c r="B1035" s="7">
        <v>-2.0220588235294046E-2</v>
      </c>
      <c r="C1035" s="7">
        <v>-1.2269938650306678E-3</v>
      </c>
      <c r="D1035" s="7">
        <v>3.8095238095238182E-2</v>
      </c>
      <c r="E1035" s="7">
        <v>-1.392899609308651E-2</v>
      </c>
      <c r="F1035" s="7">
        <v>-1.89694676826343E-2</v>
      </c>
      <c r="G1035" s="7"/>
      <c r="H1035" s="7">
        <f t="shared" si="27"/>
        <v>-1.2511205526597458E-3</v>
      </c>
      <c r="I1035" s="7">
        <f t="shared" si="27"/>
        <v>1.7742473817603632E-2</v>
      </c>
      <c r="J1035" s="7">
        <f t="shared" si="27"/>
        <v>5.7064705777872482E-2</v>
      </c>
      <c r="K1035" s="7">
        <f t="shared" si="26"/>
        <v>5.0404715895477903E-3</v>
      </c>
      <c r="L1035" s="7"/>
    </row>
    <row r="1036" spans="1:12" x14ac:dyDescent="0.25">
      <c r="A1036" s="2" t="s">
        <v>1081</v>
      </c>
      <c r="B1036" s="7">
        <v>-2.3622047244094557E-2</v>
      </c>
      <c r="C1036" s="7">
        <v>-2.3868594404996224E-2</v>
      </c>
      <c r="D1036" s="7">
        <v>0</v>
      </c>
      <c r="E1036" s="7">
        <v>-1.9976693857166716E-2</v>
      </c>
      <c r="F1036" s="7">
        <v>-1.8115705073705524E-2</v>
      </c>
      <c r="G1036" s="7"/>
      <c r="H1036" s="7">
        <f t="shared" si="27"/>
        <v>-5.5063421703890336E-3</v>
      </c>
      <c r="I1036" s="7">
        <f t="shared" si="27"/>
        <v>-5.7528893312907003E-3</v>
      </c>
      <c r="J1036" s="7">
        <f t="shared" si="27"/>
        <v>1.8115705073705524E-2</v>
      </c>
      <c r="K1036" s="7">
        <f t="shared" si="26"/>
        <v>-1.8609887834611927E-3</v>
      </c>
      <c r="L1036" s="7"/>
    </row>
    <row r="1037" spans="1:12" x14ac:dyDescent="0.25">
      <c r="A1037" s="2" t="s">
        <v>1082</v>
      </c>
      <c r="B1037" s="7">
        <v>8.2895504962055E-3</v>
      </c>
      <c r="C1037" s="7">
        <v>7.5855529695716406E-3</v>
      </c>
      <c r="D1037" s="7">
        <v>6.0606060606060552E-2</v>
      </c>
      <c r="E1037" s="7">
        <v>3.7747257493305764E-2</v>
      </c>
      <c r="F1037" s="7">
        <v>1.4517177775713597E-2</v>
      </c>
      <c r="G1037" s="7"/>
      <c r="H1037" s="7">
        <f t="shared" si="27"/>
        <v>-6.2276272795080967E-3</v>
      </c>
      <c r="I1037" s="7">
        <f t="shared" si="27"/>
        <v>-6.9316248061419561E-3</v>
      </c>
      <c r="J1037" s="7">
        <f t="shared" si="27"/>
        <v>4.6088882830346956E-2</v>
      </c>
      <c r="K1037" s="7">
        <f t="shared" si="26"/>
        <v>2.3230079717592167E-2</v>
      </c>
      <c r="L1037" s="7"/>
    </row>
    <row r="1038" spans="1:12" x14ac:dyDescent="0.25">
      <c r="A1038" s="2" t="s">
        <v>1083</v>
      </c>
      <c r="B1038" s="7">
        <v>1.8490992330102873E-2</v>
      </c>
      <c r="C1038" s="7">
        <v>7.7310632383600364E-3</v>
      </c>
      <c r="D1038" s="7">
        <v>-3.8834951456310662E-2</v>
      </c>
      <c r="E1038" s="7">
        <v>6.1720469552457802E-2</v>
      </c>
      <c r="F1038" s="7">
        <v>8.4012248347966612E-3</v>
      </c>
      <c r="G1038" s="7"/>
      <c r="H1038" s="7">
        <f t="shared" si="27"/>
        <v>1.0089767495306212E-2</v>
      </c>
      <c r="I1038" s="7">
        <f t="shared" si="27"/>
        <v>-6.7016159643662476E-4</v>
      </c>
      <c r="J1038" s="7">
        <f t="shared" si="27"/>
        <v>-4.7236176291107324E-2</v>
      </c>
      <c r="K1038" s="7">
        <f t="shared" si="26"/>
        <v>5.3319244717661141E-2</v>
      </c>
      <c r="L1038" s="7"/>
    </row>
    <row r="1039" spans="1:12" x14ac:dyDescent="0.25">
      <c r="A1039" s="2" t="s">
        <v>196</v>
      </c>
      <c r="B1039" s="7">
        <v>-4.2626250666034649E-3</v>
      </c>
      <c r="C1039" s="7">
        <v>2.700113230554857E-3</v>
      </c>
      <c r="D1039" s="7">
        <v>1.980198019801982E-2</v>
      </c>
      <c r="E1039" s="7">
        <v>-6.0566899284914211E-2</v>
      </c>
      <c r="F1039" s="7">
        <v>-3.701786234065696E-3</v>
      </c>
      <c r="G1039" s="7"/>
      <c r="H1039" s="7">
        <f t="shared" si="27"/>
        <v>-5.6083883253776889E-4</v>
      </c>
      <c r="I1039" s="7">
        <f t="shared" si="27"/>
        <v>6.4018994646205529E-3</v>
      </c>
      <c r="J1039" s="7">
        <f t="shared" si="27"/>
        <v>2.3503766432085516E-2</v>
      </c>
      <c r="K1039" s="7">
        <f t="shared" si="26"/>
        <v>-5.6865113050848515E-2</v>
      </c>
      <c r="L1039" s="7"/>
    </row>
    <row r="1040" spans="1:12" x14ac:dyDescent="0.25">
      <c r="A1040" s="2" t="s">
        <v>1084</v>
      </c>
      <c r="B1040" s="7">
        <v>-1.6549441456350511E-3</v>
      </c>
      <c r="C1040" s="7">
        <v>-2.2227899846704147E-2</v>
      </c>
      <c r="D1040" s="7">
        <v>2.020202020202011E-2</v>
      </c>
      <c r="E1040" s="7">
        <v>-1.0148388197168789E-2</v>
      </c>
      <c r="F1040" s="7">
        <v>5.156964694110977E-3</v>
      </c>
      <c r="G1040" s="7"/>
      <c r="H1040" s="7">
        <f t="shared" si="27"/>
        <v>-6.8119088397460281E-3</v>
      </c>
      <c r="I1040" s="7">
        <f t="shared" si="27"/>
        <v>-2.7384864540815124E-2</v>
      </c>
      <c r="J1040" s="7">
        <f t="shared" si="27"/>
        <v>1.5045055507909133E-2</v>
      </c>
      <c r="K1040" s="7">
        <f t="shared" si="26"/>
        <v>-1.5305352891279767E-2</v>
      </c>
      <c r="L1040" s="7"/>
    </row>
    <row r="1041" spans="1:12" x14ac:dyDescent="0.25">
      <c r="A1041" s="2" t="s">
        <v>1085</v>
      </c>
      <c r="B1041" s="7">
        <v>-1.6737374324402809E-2</v>
      </c>
      <c r="C1041" s="7">
        <v>-1.3608870967741993E-2</v>
      </c>
      <c r="D1041" s="7">
        <v>-5.7142857142857162E-2</v>
      </c>
      <c r="E1041" s="7">
        <v>4.7986289631534174E-3</v>
      </c>
      <c r="F1041" s="7">
        <v>-2.4391094221877574E-2</v>
      </c>
      <c r="G1041" s="7"/>
      <c r="H1041" s="7">
        <f t="shared" si="27"/>
        <v>7.6537198974747644E-3</v>
      </c>
      <c r="I1041" s="7">
        <f t="shared" si="27"/>
        <v>1.0782223254135581E-2</v>
      </c>
      <c r="J1041" s="7">
        <f t="shared" si="27"/>
        <v>-3.2751762920979588E-2</v>
      </c>
      <c r="K1041" s="7">
        <f t="shared" si="26"/>
        <v>2.9189723185030991E-2</v>
      </c>
      <c r="L1041" s="7"/>
    </row>
    <row r="1042" spans="1:12" x14ac:dyDescent="0.25">
      <c r="A1042" s="2" t="s">
        <v>1086</v>
      </c>
      <c r="B1042" s="7">
        <v>7.0818213742243064E-3</v>
      </c>
      <c r="C1042" s="7">
        <v>-4.5990467430386817E-3</v>
      </c>
      <c r="D1042" s="7">
        <v>-4.5454545454545525E-2</v>
      </c>
      <c r="E1042" s="7">
        <v>-3.410031451746387E-2</v>
      </c>
      <c r="F1042" s="7">
        <v>9.4225498950850639E-3</v>
      </c>
      <c r="G1042" s="7"/>
      <c r="H1042" s="7">
        <f t="shared" si="27"/>
        <v>-2.3407285208607576E-3</v>
      </c>
      <c r="I1042" s="7">
        <f t="shared" si="27"/>
        <v>-1.4021596638123746E-2</v>
      </c>
      <c r="J1042" s="7">
        <f t="shared" si="27"/>
        <v>-5.4877095349630589E-2</v>
      </c>
      <c r="K1042" s="7">
        <f t="shared" si="26"/>
        <v>-4.3522864412548934E-2</v>
      </c>
      <c r="L1042" s="7"/>
    </row>
    <row r="1043" spans="1:12" x14ac:dyDescent="0.25">
      <c r="A1043" s="2" t="s">
        <v>1087</v>
      </c>
      <c r="B1043" s="7">
        <v>-9.9397766473707794E-4</v>
      </c>
      <c r="C1043" s="7">
        <v>8.4324142001854785E-3</v>
      </c>
      <c r="D1043" s="7">
        <v>9.1743119266054496E-3</v>
      </c>
      <c r="E1043" s="7">
        <v>1.1384563870751707E-2</v>
      </c>
      <c r="F1043" s="7">
        <v>6.8629513569775646E-3</v>
      </c>
      <c r="G1043" s="7"/>
      <c r="H1043" s="7">
        <f t="shared" si="27"/>
        <v>-7.8569290217146426E-3</v>
      </c>
      <c r="I1043" s="7">
        <f t="shared" si="27"/>
        <v>1.5694628432079138E-3</v>
      </c>
      <c r="J1043" s="7">
        <f t="shared" si="27"/>
        <v>2.3113605696278849E-3</v>
      </c>
      <c r="K1043" s="7">
        <f t="shared" si="26"/>
        <v>4.5216125137741425E-3</v>
      </c>
      <c r="L1043" s="7"/>
    </row>
    <row r="1044" spans="1:12" x14ac:dyDescent="0.25">
      <c r="A1044" s="2" t="s">
        <v>197</v>
      </c>
      <c r="B1044" s="7">
        <v>2.6159476810463822E-2</v>
      </c>
      <c r="C1044" s="7">
        <v>1.7939914163090265E-2</v>
      </c>
      <c r="D1044" s="7">
        <v>2.8301886792452935E-2</v>
      </c>
      <c r="E1044" s="7">
        <v>9.1656766882938667E-2</v>
      </c>
      <c r="F1044" s="7">
        <v>1.8886018254227865E-2</v>
      </c>
      <c r="G1044" s="7"/>
      <c r="H1044" s="7">
        <f t="shared" si="27"/>
        <v>7.2734585562359566E-3</v>
      </c>
      <c r="I1044" s="7">
        <f t="shared" si="27"/>
        <v>-9.4610409113760063E-4</v>
      </c>
      <c r="J1044" s="7">
        <f t="shared" si="27"/>
        <v>9.4158685382250695E-3</v>
      </c>
      <c r="K1044" s="7">
        <f t="shared" si="26"/>
        <v>7.2770748628710802E-2</v>
      </c>
      <c r="L1044" s="7"/>
    </row>
    <row r="1045" spans="1:12" x14ac:dyDescent="0.25">
      <c r="A1045" s="2" t="s">
        <v>1088</v>
      </c>
      <c r="B1045" s="7">
        <v>6.9768934531450499E-2</v>
      </c>
      <c r="C1045" s="7">
        <v>-4.1467829521145361E-2</v>
      </c>
      <c r="D1045" s="7">
        <v>9.52380952380949E-3</v>
      </c>
      <c r="E1045" s="7">
        <v>3.0705472355656127E-2</v>
      </c>
      <c r="F1045" s="7">
        <v>2.4347568825681787E-2</v>
      </c>
      <c r="G1045" s="7"/>
      <c r="H1045" s="7">
        <f t="shared" si="27"/>
        <v>4.5421365705768713E-2</v>
      </c>
      <c r="I1045" s="7">
        <f t="shared" si="27"/>
        <v>-6.5815398346827148E-2</v>
      </c>
      <c r="J1045" s="7">
        <f t="shared" si="27"/>
        <v>-1.4823759301872297E-2</v>
      </c>
      <c r="K1045" s="7">
        <f t="shared" si="26"/>
        <v>6.3579035299743403E-3</v>
      </c>
      <c r="L1045" s="7"/>
    </row>
    <row r="1046" spans="1:12" x14ac:dyDescent="0.25">
      <c r="A1046" s="2" t="s">
        <v>1089</v>
      </c>
      <c r="B1046" s="7">
        <v>-2.9438115960577216E-3</v>
      </c>
      <c r="C1046" s="7">
        <v>5.0442404696930954E-3</v>
      </c>
      <c r="D1046" s="7">
        <v>9.6153846153845812E-3</v>
      </c>
      <c r="E1046" s="7">
        <v>-1.3931457230426325E-2</v>
      </c>
      <c r="F1046" s="7">
        <v>-5.3839946849719711E-3</v>
      </c>
      <c r="G1046" s="7"/>
      <c r="H1046" s="7">
        <f t="shared" si="27"/>
        <v>2.4401830889142495E-3</v>
      </c>
      <c r="I1046" s="7">
        <f t="shared" si="27"/>
        <v>1.0428235154665066E-2</v>
      </c>
      <c r="J1046" s="7">
        <f t="shared" si="27"/>
        <v>1.4999379300356552E-2</v>
      </c>
      <c r="K1046" s="7">
        <f t="shared" si="26"/>
        <v>-8.547462545454354E-3</v>
      </c>
      <c r="L1046" s="7"/>
    </row>
    <row r="1047" spans="1:12" x14ac:dyDescent="0.25">
      <c r="A1047" s="2" t="s">
        <v>1090</v>
      </c>
      <c r="B1047" s="7">
        <v>-5.7563159577866951E-4</v>
      </c>
      <c r="C1047" s="7">
        <v>-2.5622431713802185E-2</v>
      </c>
      <c r="D1047" s="7">
        <v>-2.8037383177570097E-2</v>
      </c>
      <c r="E1047" s="7">
        <v>-4.8431285903667742E-2</v>
      </c>
      <c r="F1047" s="7">
        <v>-1.4966314315554285E-3</v>
      </c>
      <c r="G1047" s="7"/>
      <c r="H1047" s="7">
        <f t="shared" si="27"/>
        <v>9.2099983577675903E-4</v>
      </c>
      <c r="I1047" s="7">
        <f t="shared" si="27"/>
        <v>-2.4125800282246757E-2</v>
      </c>
      <c r="J1047" s="7">
        <f t="shared" si="27"/>
        <v>-2.6540751746014668E-2</v>
      </c>
      <c r="K1047" s="7">
        <f t="shared" si="26"/>
        <v>-4.6934654472112314E-2</v>
      </c>
      <c r="L1047" s="7"/>
    </row>
    <row r="1048" spans="1:12" x14ac:dyDescent="0.25">
      <c r="A1048" s="2" t="s">
        <v>1091</v>
      </c>
      <c r="B1048" s="7">
        <v>-1.1381599747075644E-2</v>
      </c>
      <c r="C1048" s="7">
        <v>5.5091954954225031E-3</v>
      </c>
      <c r="D1048" s="7">
        <v>0</v>
      </c>
      <c r="E1048" s="7">
        <v>-1.0147843583238503E-2</v>
      </c>
      <c r="F1048" s="7">
        <v>-1.2171976789799865E-2</v>
      </c>
      <c r="G1048" s="7"/>
      <c r="H1048" s="7">
        <f t="shared" si="27"/>
        <v>7.9037704272422182E-4</v>
      </c>
      <c r="I1048" s="7">
        <f t="shared" si="27"/>
        <v>1.7681172285222369E-2</v>
      </c>
      <c r="J1048" s="7">
        <f t="shared" si="27"/>
        <v>1.2171976789799865E-2</v>
      </c>
      <c r="K1048" s="7">
        <f t="shared" si="26"/>
        <v>2.0241332065613626E-3</v>
      </c>
      <c r="L1048" s="7"/>
    </row>
    <row r="1049" spans="1:12" x14ac:dyDescent="0.25">
      <c r="A1049" s="2" t="s">
        <v>198</v>
      </c>
      <c r="B1049" s="7">
        <v>-4.8452051346588032E-3</v>
      </c>
      <c r="C1049" s="7">
        <v>8.919883230620318E-4</v>
      </c>
      <c r="D1049" s="7">
        <v>-9.2592592592593004E-3</v>
      </c>
      <c r="E1049" s="7">
        <v>-2.3241903785354179E-2</v>
      </c>
      <c r="F1049" s="7">
        <v>2.7717522294530283E-3</v>
      </c>
      <c r="G1049" s="7"/>
      <c r="H1049" s="7">
        <f t="shared" si="27"/>
        <v>-7.6169573641118316E-3</v>
      </c>
      <c r="I1049" s="7">
        <f t="shared" si="27"/>
        <v>-1.8797639063909966E-3</v>
      </c>
      <c r="J1049" s="7">
        <f t="shared" si="27"/>
        <v>-1.2031011488712329E-2</v>
      </c>
      <c r="K1049" s="7">
        <f t="shared" si="26"/>
        <v>-2.6013656014807207E-2</v>
      </c>
      <c r="L1049" s="7"/>
    </row>
    <row r="1050" spans="1:12" x14ac:dyDescent="0.25">
      <c r="A1050" s="2" t="s">
        <v>1092</v>
      </c>
      <c r="B1050" s="7">
        <v>-1.2796620698223404E-2</v>
      </c>
      <c r="C1050" s="7">
        <v>-5.3234392643976003E-3</v>
      </c>
      <c r="D1050" s="7">
        <v>-5.2631578947368252E-2</v>
      </c>
      <c r="E1050" s="7">
        <v>-5.9546769527483057E-2</v>
      </c>
      <c r="F1050" s="7">
        <v>-1.8914813071498782E-2</v>
      </c>
      <c r="G1050" s="7"/>
      <c r="H1050" s="7">
        <f t="shared" si="27"/>
        <v>6.1181923732753773E-3</v>
      </c>
      <c r="I1050" s="7">
        <f t="shared" si="27"/>
        <v>1.3591373807101181E-2</v>
      </c>
      <c r="J1050" s="7">
        <f t="shared" si="27"/>
        <v>-3.371676587586947E-2</v>
      </c>
      <c r="K1050" s="7">
        <f t="shared" si="26"/>
        <v>-4.0631956455984275E-2</v>
      </c>
      <c r="L1050" s="7"/>
    </row>
    <row r="1051" spans="1:12" x14ac:dyDescent="0.25">
      <c r="A1051" s="2" t="s">
        <v>1093</v>
      </c>
      <c r="B1051" s="7">
        <v>-1.0328292143120699E-2</v>
      </c>
      <c r="C1051" s="7">
        <v>-2.7531571103615926E-2</v>
      </c>
      <c r="D1051" s="7">
        <v>-1.7241379310344862E-2</v>
      </c>
      <c r="E1051" s="7">
        <v>2.5801665155386955E-2</v>
      </c>
      <c r="F1051" s="7">
        <v>-1.103742532143781E-2</v>
      </c>
      <c r="G1051" s="7"/>
      <c r="H1051" s="7">
        <f t="shared" si="27"/>
        <v>7.0913317831711176E-4</v>
      </c>
      <c r="I1051" s="7">
        <f t="shared" si="27"/>
        <v>-1.6494145782178116E-2</v>
      </c>
      <c r="J1051" s="7">
        <f t="shared" si="27"/>
        <v>-6.2039539889070516E-3</v>
      </c>
      <c r="K1051" s="7">
        <f t="shared" si="26"/>
        <v>3.6839090476824765E-2</v>
      </c>
      <c r="L1051" s="7"/>
    </row>
    <row r="1052" spans="1:12" x14ac:dyDescent="0.25">
      <c r="A1052" s="2" t="s">
        <v>1094</v>
      </c>
      <c r="B1052" s="7">
        <v>-2.1064034665382758E-2</v>
      </c>
      <c r="C1052" s="7">
        <v>1.177948798492201E-3</v>
      </c>
      <c r="D1052" s="7">
        <v>-8.5470085470085166E-3</v>
      </c>
      <c r="E1052" s="7">
        <v>-6.7141570457708299E-3</v>
      </c>
      <c r="F1052" s="7">
        <v>-9.6895202431227512E-3</v>
      </c>
      <c r="G1052" s="7"/>
      <c r="H1052" s="7">
        <f t="shared" si="27"/>
        <v>-1.1374514422260007E-2</v>
      </c>
      <c r="I1052" s="7">
        <f t="shared" si="27"/>
        <v>1.0867469041614952E-2</v>
      </c>
      <c r="J1052" s="7">
        <f t="shared" si="27"/>
        <v>1.1425116961142345E-3</v>
      </c>
      <c r="K1052" s="7">
        <f t="shared" si="26"/>
        <v>2.9753631973519212E-3</v>
      </c>
      <c r="L1052" s="7"/>
    </row>
    <row r="1053" spans="1:12" x14ac:dyDescent="0.25">
      <c r="A1053" s="2" t="s">
        <v>1095</v>
      </c>
      <c r="B1053" s="7">
        <v>-1.8894662257912254E-2</v>
      </c>
      <c r="C1053" s="7">
        <v>-2.5847889089057885E-3</v>
      </c>
      <c r="D1053" s="7">
        <v>-3.3057851239669422E-2</v>
      </c>
      <c r="E1053" s="7">
        <v>-2.2569027611044512E-2</v>
      </c>
      <c r="F1053" s="7">
        <v>-1.8387895814791499E-2</v>
      </c>
      <c r="G1053" s="7"/>
      <c r="H1053" s="7">
        <f t="shared" si="27"/>
        <v>-5.0676644312075414E-4</v>
      </c>
      <c r="I1053" s="7">
        <f t="shared" si="27"/>
        <v>1.5803106905885711E-2</v>
      </c>
      <c r="J1053" s="7">
        <f t="shared" si="27"/>
        <v>-1.4669955424877923E-2</v>
      </c>
      <c r="K1053" s="7">
        <f t="shared" si="26"/>
        <v>-4.1811317962530126E-3</v>
      </c>
      <c r="L1053" s="7"/>
    </row>
    <row r="1054" spans="1:12" x14ac:dyDescent="0.25">
      <c r="A1054" s="2" t="s">
        <v>1096</v>
      </c>
      <c r="B1054" s="7">
        <v>5.1635111876076056E-3</v>
      </c>
      <c r="C1054" s="7">
        <v>-1.2606341840680657E-2</v>
      </c>
      <c r="D1054" s="7">
        <v>-8.1967213114754189E-3</v>
      </c>
      <c r="E1054" s="7">
        <v>1.5229240141070299E-3</v>
      </c>
      <c r="F1054" s="7">
        <v>8.1991315788920716E-4</v>
      </c>
      <c r="G1054" s="7"/>
      <c r="H1054" s="7">
        <f t="shared" si="27"/>
        <v>4.3435980297183985E-3</v>
      </c>
      <c r="I1054" s="7">
        <f t="shared" si="27"/>
        <v>-1.3426254998569864E-2</v>
      </c>
      <c r="J1054" s="7">
        <f t="shared" si="27"/>
        <v>-9.0166344693646261E-3</v>
      </c>
      <c r="K1054" s="7">
        <f t="shared" si="26"/>
        <v>7.0301085621782278E-4</v>
      </c>
      <c r="L1054" s="7"/>
    </row>
    <row r="1055" spans="1:12" x14ac:dyDescent="0.25">
      <c r="A1055" s="2" t="s">
        <v>1097</v>
      </c>
      <c r="B1055" s="7">
        <v>-1.9038192827200651E-2</v>
      </c>
      <c r="C1055" s="7">
        <v>8.8951310861424826E-3</v>
      </c>
      <c r="D1055" s="7">
        <v>8.2644628099173278E-3</v>
      </c>
      <c r="E1055" s="7">
        <v>-4.3984674329501927E-2</v>
      </c>
      <c r="F1055" s="7">
        <v>-1.4243549462058636E-2</v>
      </c>
      <c r="G1055" s="7"/>
      <c r="H1055" s="7">
        <f t="shared" si="27"/>
        <v>-4.7946433651420151E-3</v>
      </c>
      <c r="I1055" s="7">
        <f t="shared" si="27"/>
        <v>2.3138680548201118E-2</v>
      </c>
      <c r="J1055" s="7">
        <f t="shared" si="27"/>
        <v>2.2508012271975963E-2</v>
      </c>
      <c r="K1055" s="7">
        <f t="shared" si="26"/>
        <v>-2.9741124867443292E-2</v>
      </c>
      <c r="L1055" s="7"/>
    </row>
    <row r="1056" spans="1:12" x14ac:dyDescent="0.25">
      <c r="A1056" s="2" t="s">
        <v>1098</v>
      </c>
      <c r="B1056" s="7">
        <v>2.5682932523931612E-3</v>
      </c>
      <c r="C1056" s="7">
        <v>2.5031289111387967E-3</v>
      </c>
      <c r="D1056" s="7">
        <v>-3.9682539682539764E-2</v>
      </c>
      <c r="E1056" s="7">
        <v>3.9509319738728621E-2</v>
      </c>
      <c r="F1056" s="7">
        <v>2.8176963210817529E-3</v>
      </c>
      <c r="G1056" s="7"/>
      <c r="H1056" s="7">
        <f t="shared" si="27"/>
        <v>-2.4940306868859174E-4</v>
      </c>
      <c r="I1056" s="7">
        <f t="shared" si="27"/>
        <v>-3.1456740994295629E-4</v>
      </c>
      <c r="J1056" s="7">
        <f t="shared" si="27"/>
        <v>-4.2500236003621517E-2</v>
      </c>
      <c r="K1056" s="7">
        <f t="shared" si="26"/>
        <v>3.6691623417646868E-2</v>
      </c>
      <c r="L1056" s="7"/>
    </row>
    <row r="1057" spans="1:12" x14ac:dyDescent="0.25">
      <c r="A1057" s="2" t="s">
        <v>1099</v>
      </c>
      <c r="B1057" s="7">
        <v>1.6796249035550881E-2</v>
      </c>
      <c r="C1057" s="7">
        <v>8.8383838383838675E-3</v>
      </c>
      <c r="D1057" s="7">
        <v>2.4390243902439046E-2</v>
      </c>
      <c r="E1057" s="7">
        <v>3.028313500205182E-2</v>
      </c>
      <c r="F1057" s="7">
        <v>9.1600307475552256E-3</v>
      </c>
      <c r="G1057" s="7"/>
      <c r="H1057" s="7">
        <f t="shared" si="27"/>
        <v>7.6362182879956553E-3</v>
      </c>
      <c r="I1057" s="7">
        <f t="shared" si="27"/>
        <v>-3.2164690917135808E-4</v>
      </c>
      <c r="J1057" s="7">
        <f t="shared" si="27"/>
        <v>1.523021315488382E-2</v>
      </c>
      <c r="K1057" s="7">
        <f t="shared" si="26"/>
        <v>2.1123104254496594E-2</v>
      </c>
      <c r="L1057" s="7"/>
    </row>
    <row r="1058" spans="1:12" x14ac:dyDescent="0.25">
      <c r="A1058" s="2" t="s">
        <v>199</v>
      </c>
      <c r="B1058" s="7">
        <v>1.1871549830844152E-4</v>
      </c>
      <c r="C1058" s="7">
        <v>-1.4159016648514045E-2</v>
      </c>
      <c r="D1058" s="7">
        <v>-1.6000000000000014E-2</v>
      </c>
      <c r="E1058" s="7">
        <v>-1.1599610642440084E-2</v>
      </c>
      <c r="F1058" s="7">
        <v>-1.4410854751839564E-3</v>
      </c>
      <c r="G1058" s="7"/>
      <c r="H1058" s="7">
        <f t="shared" si="27"/>
        <v>1.5598009734923979E-3</v>
      </c>
      <c r="I1058" s="7">
        <f t="shared" si="27"/>
        <v>-1.2717931173330088E-2</v>
      </c>
      <c r="J1058" s="7">
        <f t="shared" si="27"/>
        <v>-1.4558914524816058E-2</v>
      </c>
      <c r="K1058" s="7">
        <f t="shared" si="26"/>
        <v>-1.0158525167256127E-2</v>
      </c>
      <c r="L1058" s="7"/>
    </row>
    <row r="1059" spans="1:12" x14ac:dyDescent="0.25">
      <c r="A1059" s="2" t="s">
        <v>1100</v>
      </c>
      <c r="B1059" s="7">
        <v>9.5062681955915274E-4</v>
      </c>
      <c r="C1059" s="7">
        <v>1.1011483404121281E-2</v>
      </c>
      <c r="D1059" s="7">
        <v>0</v>
      </c>
      <c r="E1059" s="7">
        <v>2.5112256776983255E-2</v>
      </c>
      <c r="F1059" s="7">
        <v>-4.0502124125595396E-3</v>
      </c>
      <c r="G1059" s="7"/>
      <c r="H1059" s="7">
        <f t="shared" si="27"/>
        <v>5.0008392321186923E-3</v>
      </c>
      <c r="I1059" s="7">
        <f t="shared" si="27"/>
        <v>1.506169581668082E-2</v>
      </c>
      <c r="J1059" s="7">
        <f t="shared" si="27"/>
        <v>4.0502124125595396E-3</v>
      </c>
      <c r="K1059" s="7">
        <f t="shared" si="26"/>
        <v>2.9162469189542795E-2</v>
      </c>
      <c r="L1059" s="7"/>
    </row>
    <row r="1060" spans="1:12" x14ac:dyDescent="0.25">
      <c r="A1060" s="2" t="s">
        <v>1101</v>
      </c>
      <c r="B1060" s="7">
        <v>-1.6708535374189371E-2</v>
      </c>
      <c r="C1060" s="7">
        <v>-8.3456828640512404E-3</v>
      </c>
      <c r="D1060" s="7">
        <v>-7.9365079365079083E-3</v>
      </c>
      <c r="E1060" s="7">
        <v>4.5102980794299308E-2</v>
      </c>
      <c r="F1060" s="7">
        <v>-9.6371086121282978E-4</v>
      </c>
      <c r="G1060" s="7"/>
      <c r="H1060" s="7">
        <f t="shared" si="27"/>
        <v>-1.5744824512976541E-2</v>
      </c>
      <c r="I1060" s="7">
        <f t="shared" si="27"/>
        <v>-7.3819720028384106E-3</v>
      </c>
      <c r="J1060" s="7">
        <f t="shared" si="27"/>
        <v>-6.9727970752950785E-3</v>
      </c>
      <c r="K1060" s="7">
        <f t="shared" si="26"/>
        <v>4.6066691655512138E-2</v>
      </c>
      <c r="L1060" s="7"/>
    </row>
    <row r="1061" spans="1:12" x14ac:dyDescent="0.25">
      <c r="A1061" s="2" t="s">
        <v>1102</v>
      </c>
      <c r="B1061" s="7">
        <v>-2.6558234758871757E-2</v>
      </c>
      <c r="C1061" s="7">
        <v>-4.1168246077365467E-3</v>
      </c>
      <c r="D1061" s="7">
        <v>-3.0769230769230771E-2</v>
      </c>
      <c r="E1061" s="7">
        <v>1.338617349185367E-2</v>
      </c>
      <c r="F1061" s="7">
        <v>-1.939276609770646E-2</v>
      </c>
      <c r="G1061" s="7"/>
      <c r="H1061" s="7">
        <f t="shared" si="27"/>
        <v>-7.1654686611652973E-3</v>
      </c>
      <c r="I1061" s="7">
        <f t="shared" si="27"/>
        <v>1.5275941489969913E-2</v>
      </c>
      <c r="J1061" s="7">
        <f t="shared" si="27"/>
        <v>-1.1376464671524311E-2</v>
      </c>
      <c r="K1061" s="7">
        <f t="shared" si="26"/>
        <v>3.277893958956013E-2</v>
      </c>
      <c r="L1061" s="7"/>
    </row>
    <row r="1062" spans="1:12" x14ac:dyDescent="0.25">
      <c r="A1062" s="2" t="s">
        <v>1103</v>
      </c>
      <c r="B1062" s="7">
        <v>-1.2689500280741117E-2</v>
      </c>
      <c r="C1062" s="7">
        <v>1.4020163831128141E-2</v>
      </c>
      <c r="D1062" s="7">
        <v>-4.4117647058823595E-2</v>
      </c>
      <c r="E1062" s="7">
        <v>-6.7354793561931192E-3</v>
      </c>
      <c r="F1062" s="7">
        <v>-6.29617892823231E-4</v>
      </c>
      <c r="G1062" s="7"/>
      <c r="H1062" s="7">
        <f t="shared" si="27"/>
        <v>-1.2059882387917886E-2</v>
      </c>
      <c r="I1062" s="7">
        <f t="shared" si="27"/>
        <v>1.4649781723951372E-2</v>
      </c>
      <c r="J1062" s="7">
        <f t="shared" si="27"/>
        <v>-4.3488029166000364E-2</v>
      </c>
      <c r="K1062" s="7">
        <f t="shared" si="26"/>
        <v>-6.1058614633698882E-3</v>
      </c>
      <c r="L1062" s="7"/>
    </row>
    <row r="1063" spans="1:12" x14ac:dyDescent="0.25">
      <c r="A1063" s="2" t="s">
        <v>200</v>
      </c>
      <c r="B1063" s="7">
        <v>2.4976979742173055E-2</v>
      </c>
      <c r="C1063" s="7">
        <v>6.3051702395955367E-4</v>
      </c>
      <c r="D1063" s="7">
        <v>0.14285714285714302</v>
      </c>
      <c r="E1063" s="7">
        <v>1.3385338179239259E-2</v>
      </c>
      <c r="F1063" s="7">
        <v>6.3740773533522699E-3</v>
      </c>
      <c r="G1063" s="7"/>
      <c r="H1063" s="7">
        <f t="shared" si="27"/>
        <v>1.8602902388820786E-2</v>
      </c>
      <c r="I1063" s="7">
        <f t="shared" si="27"/>
        <v>-5.7435603293927162E-3</v>
      </c>
      <c r="J1063" s="7">
        <f t="shared" si="27"/>
        <v>0.13648306550379075</v>
      </c>
      <c r="K1063" s="7">
        <f t="shared" si="26"/>
        <v>7.0112608258869891E-3</v>
      </c>
      <c r="L1063" s="7"/>
    </row>
    <row r="1064" spans="1:12" x14ac:dyDescent="0.25">
      <c r="A1064" s="2" t="s">
        <v>1104</v>
      </c>
      <c r="B1064" s="7">
        <v>-3.5554536070651066E-3</v>
      </c>
      <c r="C1064" s="7">
        <v>-7.8808416738906928E-5</v>
      </c>
      <c r="D1064" s="7">
        <v>1.7094017094017033E-2</v>
      </c>
      <c r="E1064" s="7">
        <v>-3.4160958904109529E-2</v>
      </c>
      <c r="F1064" s="7">
        <v>-2.6262207741385435E-3</v>
      </c>
      <c r="G1064" s="7"/>
      <c r="H1064" s="7">
        <f t="shared" si="27"/>
        <v>-9.2923283292656311E-4</v>
      </c>
      <c r="I1064" s="7">
        <f t="shared" si="27"/>
        <v>2.5474123573996366E-3</v>
      </c>
      <c r="J1064" s="7">
        <f t="shared" si="27"/>
        <v>1.9720237868155577E-2</v>
      </c>
      <c r="K1064" s="7">
        <f t="shared" si="26"/>
        <v>-3.1534738129970985E-2</v>
      </c>
      <c r="L1064" s="7"/>
    </row>
    <row r="1065" spans="1:12" x14ac:dyDescent="0.25">
      <c r="A1065" s="2" t="s">
        <v>1105</v>
      </c>
      <c r="B1065" s="7">
        <v>-6.5515866233692988E-3</v>
      </c>
      <c r="C1065" s="7">
        <v>-4.3157564344005195E-3</v>
      </c>
      <c r="D1065" s="7">
        <v>0</v>
      </c>
      <c r="E1065" s="7">
        <v>9.7228745890089119E-2</v>
      </c>
      <c r="F1065" s="7">
        <v>-2.9897393314501919E-3</v>
      </c>
      <c r="G1065" s="7"/>
      <c r="H1065" s="7">
        <f t="shared" si="27"/>
        <v>-3.5618472919191069E-3</v>
      </c>
      <c r="I1065" s="7">
        <f t="shared" si="27"/>
        <v>-1.3260171029503276E-3</v>
      </c>
      <c r="J1065" s="7">
        <f t="shared" si="27"/>
        <v>2.9897393314501919E-3</v>
      </c>
      <c r="K1065" s="7">
        <f t="shared" si="26"/>
        <v>0.10021848522153931</v>
      </c>
      <c r="L1065" s="7"/>
    </row>
    <row r="1066" spans="1:12" x14ac:dyDescent="0.25">
      <c r="A1066" s="2" t="s">
        <v>1106</v>
      </c>
      <c r="B1066" s="7">
        <v>5.1299589603281959E-4</v>
      </c>
      <c r="C1066" s="7">
        <v>4.334462920639881E-3</v>
      </c>
      <c r="D1066" s="7">
        <v>-1.6806722689075682E-2</v>
      </c>
      <c r="E1066" s="7">
        <v>-2.3573656209869731E-2</v>
      </c>
      <c r="F1066" s="7">
        <v>1.4019033292591576E-3</v>
      </c>
      <c r="G1066" s="7"/>
      <c r="H1066" s="7">
        <f t="shared" si="27"/>
        <v>-8.8890743322633803E-4</v>
      </c>
      <c r="I1066" s="7">
        <f t="shared" si="27"/>
        <v>2.9325595913807234E-3</v>
      </c>
      <c r="J1066" s="7">
        <f t="shared" si="27"/>
        <v>-1.8208626018334839E-2</v>
      </c>
      <c r="K1066" s="7">
        <f t="shared" si="26"/>
        <v>-2.4975559539128889E-2</v>
      </c>
      <c r="L1066" s="7"/>
    </row>
    <row r="1067" spans="1:12" x14ac:dyDescent="0.25">
      <c r="A1067" s="2" t="s">
        <v>1107</v>
      </c>
      <c r="B1067" s="7">
        <v>-5.7803468208093012E-3</v>
      </c>
      <c r="C1067" s="7">
        <v>5.3081920456345966E-3</v>
      </c>
      <c r="D1067" s="7">
        <v>-3.2520325203252098E-2</v>
      </c>
      <c r="E1067" s="7">
        <v>-1.5354046242774588E-2</v>
      </c>
      <c r="F1067" s="7">
        <v>-1.0101874482121298E-3</v>
      </c>
      <c r="G1067" s="7"/>
      <c r="H1067" s="7">
        <f t="shared" si="27"/>
        <v>-4.7701593725971714E-3</v>
      </c>
      <c r="I1067" s="7">
        <f t="shared" si="27"/>
        <v>6.3183794938467264E-3</v>
      </c>
      <c r="J1067" s="7">
        <f t="shared" si="27"/>
        <v>-3.1510137755039969E-2</v>
      </c>
      <c r="K1067" s="7">
        <f t="shared" si="26"/>
        <v>-1.4343858794562458E-2</v>
      </c>
      <c r="L1067" s="7"/>
    </row>
    <row r="1068" spans="1:12" x14ac:dyDescent="0.25">
      <c r="A1068" s="2" t="s">
        <v>201</v>
      </c>
      <c r="B1068" s="7">
        <v>2.2956521739130542E-2</v>
      </c>
      <c r="C1068" s="7">
        <v>9.9215874539926308E-3</v>
      </c>
      <c r="D1068" s="7">
        <v>-2.3809523809523836E-2</v>
      </c>
      <c r="E1068" s="7">
        <v>-1.7481586653651626E-2</v>
      </c>
      <c r="F1068" s="7">
        <v>1.383895602639984E-2</v>
      </c>
      <c r="G1068" s="7"/>
      <c r="H1068" s="7">
        <f t="shared" si="27"/>
        <v>9.1175657127307019E-3</v>
      </c>
      <c r="I1068" s="7">
        <f t="shared" si="27"/>
        <v>-3.9173685724072094E-3</v>
      </c>
      <c r="J1068" s="7">
        <f t="shared" si="27"/>
        <v>-3.7648479835923676E-2</v>
      </c>
      <c r="K1068" s="7">
        <f t="shared" si="26"/>
        <v>-3.1320542680051466E-2</v>
      </c>
      <c r="L1068" s="7"/>
    </row>
    <row r="1069" spans="1:12" x14ac:dyDescent="0.25">
      <c r="A1069" s="2" t="s">
        <v>1108</v>
      </c>
      <c r="B1069" s="7">
        <v>3.6655611799616405E-3</v>
      </c>
      <c r="C1069" s="7">
        <v>1.3460914693480541E-2</v>
      </c>
      <c r="D1069" s="7">
        <v>0</v>
      </c>
      <c r="E1069" s="7">
        <v>7.2398998927423186E-3</v>
      </c>
      <c r="F1069" s="7">
        <v>6.2237041579367158E-3</v>
      </c>
      <c r="G1069" s="7"/>
      <c r="H1069" s="7">
        <f t="shared" si="27"/>
        <v>-2.5581429779750753E-3</v>
      </c>
      <c r="I1069" s="7">
        <f t="shared" si="27"/>
        <v>7.2372105355438254E-3</v>
      </c>
      <c r="J1069" s="7">
        <f t="shared" si="27"/>
        <v>-6.2237041579367158E-3</v>
      </c>
      <c r="K1069" s="7">
        <f t="shared" si="26"/>
        <v>1.0161957348056028E-3</v>
      </c>
      <c r="L1069" s="7"/>
    </row>
    <row r="1070" spans="1:12" x14ac:dyDescent="0.25">
      <c r="A1070" s="2" t="s">
        <v>1109</v>
      </c>
      <c r="B1070" s="7">
        <v>1.530009451795844E-2</v>
      </c>
      <c r="C1070" s="7">
        <v>-1.6191709844559643E-3</v>
      </c>
      <c r="D1070" s="7">
        <v>0</v>
      </c>
      <c r="E1070" s="7">
        <v>-4.2041270656734353E-2</v>
      </c>
      <c r="F1070" s="7">
        <v>1.0180180373954517E-2</v>
      </c>
      <c r="G1070" s="7"/>
      <c r="H1070" s="7">
        <f t="shared" si="27"/>
        <v>5.1199141440039231E-3</v>
      </c>
      <c r="I1070" s="7">
        <f t="shared" si="27"/>
        <v>-1.1799351358410481E-2</v>
      </c>
      <c r="J1070" s="7">
        <f t="shared" si="27"/>
        <v>-1.0180180373954517E-2</v>
      </c>
      <c r="K1070" s="7">
        <f t="shared" si="26"/>
        <v>-5.222145103068887E-2</v>
      </c>
      <c r="L1070" s="7"/>
    </row>
    <row r="1071" spans="1:12" x14ac:dyDescent="0.25">
      <c r="A1071" s="2" t="s">
        <v>1110</v>
      </c>
      <c r="B1071" s="7">
        <v>1.9083739690566315E-2</v>
      </c>
      <c r="C1071" s="7">
        <v>1.6217969510217145E-3</v>
      </c>
      <c r="D1071" s="7">
        <v>-2.3255813953488413E-2</v>
      </c>
      <c r="E1071" s="7">
        <v>6.9407563409944251E-2</v>
      </c>
      <c r="F1071" s="7">
        <v>1.7777943178882483E-2</v>
      </c>
      <c r="G1071" s="7"/>
      <c r="H1071" s="7">
        <f t="shared" si="27"/>
        <v>1.3057965116838322E-3</v>
      </c>
      <c r="I1071" s="7">
        <f t="shared" si="27"/>
        <v>-1.6156146227860768E-2</v>
      </c>
      <c r="J1071" s="7">
        <f t="shared" si="27"/>
        <v>-4.1033757132370896E-2</v>
      </c>
      <c r="K1071" s="7">
        <f t="shared" si="26"/>
        <v>5.1629620231061768E-2</v>
      </c>
      <c r="L1071" s="7"/>
    </row>
    <row r="1072" spans="1:12" x14ac:dyDescent="0.25">
      <c r="A1072" s="2" t="s">
        <v>202</v>
      </c>
      <c r="B1072" s="7">
        <v>-8.1208574670089684E-3</v>
      </c>
      <c r="C1072" s="7">
        <v>-1.2017304919083482E-2</v>
      </c>
      <c r="D1072" s="7">
        <v>0</v>
      </c>
      <c r="E1072" s="7">
        <v>-5.8209727492238739E-2</v>
      </c>
      <c r="F1072" s="7">
        <v>-1.1388032826621375E-2</v>
      </c>
      <c r="G1072" s="7"/>
      <c r="H1072" s="7">
        <f t="shared" si="27"/>
        <v>3.2671753596124065E-3</v>
      </c>
      <c r="I1072" s="7">
        <f t="shared" si="27"/>
        <v>-6.2927209246210758E-4</v>
      </c>
      <c r="J1072" s="7">
        <f t="shared" si="27"/>
        <v>1.1388032826621375E-2</v>
      </c>
      <c r="K1072" s="7">
        <f t="shared" si="26"/>
        <v>-4.6821694665617364E-2</v>
      </c>
      <c r="L1072" s="7"/>
    </row>
    <row r="1073" spans="1:12" x14ac:dyDescent="0.25">
      <c r="A1073" s="2" t="s">
        <v>1111</v>
      </c>
      <c r="B1073" s="7">
        <v>-6.4665401044138315E-3</v>
      </c>
      <c r="C1073" s="7">
        <v>-2.0020412970087276E-2</v>
      </c>
      <c r="D1073" s="7">
        <v>-1.5267175572519109E-2</v>
      </c>
      <c r="E1073" s="7">
        <v>1.5411558669001568E-2</v>
      </c>
      <c r="F1073" s="7">
        <v>-1.0287726483131143E-2</v>
      </c>
      <c r="G1073" s="7"/>
      <c r="H1073" s="7">
        <f t="shared" si="27"/>
        <v>3.8211863787173117E-3</v>
      </c>
      <c r="I1073" s="7">
        <f t="shared" si="27"/>
        <v>-9.7326864869561325E-3</v>
      </c>
      <c r="J1073" s="7">
        <f t="shared" si="27"/>
        <v>-4.9794490893879662E-3</v>
      </c>
      <c r="K1073" s="7">
        <f t="shared" si="26"/>
        <v>2.5699285152132711E-2</v>
      </c>
      <c r="L1073" s="7"/>
    </row>
    <row r="1074" spans="1:12" x14ac:dyDescent="0.25">
      <c r="A1074" s="2" t="s">
        <v>1112</v>
      </c>
      <c r="B1074" s="7">
        <v>-3.9270447420917565E-2</v>
      </c>
      <c r="C1074" s="7">
        <v>1.4415418923223955E-2</v>
      </c>
      <c r="D1074" s="7">
        <v>-2.2388059701492602E-2</v>
      </c>
      <c r="E1074" s="7">
        <v>-1.8141174447596886E-2</v>
      </c>
      <c r="F1074" s="7">
        <v>-8.7433782392221104E-3</v>
      </c>
      <c r="G1074" s="7"/>
      <c r="H1074" s="7">
        <f t="shared" si="27"/>
        <v>-3.0527069181695454E-2</v>
      </c>
      <c r="I1074" s="7">
        <f t="shared" si="27"/>
        <v>2.3158797162446065E-2</v>
      </c>
      <c r="J1074" s="7">
        <f t="shared" si="27"/>
        <v>-1.3644681462270492E-2</v>
      </c>
      <c r="K1074" s="7">
        <f t="shared" si="26"/>
        <v>-9.3977962083747757E-3</v>
      </c>
      <c r="L1074" s="7"/>
    </row>
    <row r="1075" spans="1:12" x14ac:dyDescent="0.25">
      <c r="A1075" s="2" t="s">
        <v>1113</v>
      </c>
      <c r="B1075" s="7">
        <v>2.8489360454891699E-2</v>
      </c>
      <c r="C1075" s="7">
        <v>6.0897435897435681E-3</v>
      </c>
      <c r="D1075" s="7">
        <v>2.2900763358778553E-2</v>
      </c>
      <c r="E1075" s="7">
        <v>-3.2443224357374567E-2</v>
      </c>
      <c r="F1075" s="7">
        <v>1.6348409288555077E-2</v>
      </c>
      <c r="G1075" s="7"/>
      <c r="H1075" s="7">
        <f t="shared" si="27"/>
        <v>1.2140951166336622E-2</v>
      </c>
      <c r="I1075" s="7">
        <f t="shared" si="27"/>
        <v>-1.0258665698811509E-2</v>
      </c>
      <c r="J1075" s="7">
        <f t="shared" si="27"/>
        <v>6.5523540702234762E-3</v>
      </c>
      <c r="K1075" s="7">
        <f t="shared" si="26"/>
        <v>-4.8791633645929644E-2</v>
      </c>
      <c r="L1075" s="7"/>
    </row>
    <row r="1076" spans="1:12" x14ac:dyDescent="0.25">
      <c r="A1076" s="2" t="s">
        <v>1114</v>
      </c>
      <c r="B1076" s="7">
        <v>-8.0246554631621114E-3</v>
      </c>
      <c r="C1076" s="7">
        <v>8.0192461908579205E-4</v>
      </c>
      <c r="D1076" s="7">
        <v>-5.0724637681159312E-2</v>
      </c>
      <c r="E1076" s="7">
        <v>3.5489706262382459E-2</v>
      </c>
      <c r="F1076" s="7">
        <v>-7.4705984403412584E-3</v>
      </c>
      <c r="G1076" s="7"/>
      <c r="H1076" s="7">
        <f t="shared" si="27"/>
        <v>-5.5405702282085301E-4</v>
      </c>
      <c r="I1076" s="7">
        <f t="shared" si="27"/>
        <v>8.2725230594270505E-3</v>
      </c>
      <c r="J1076" s="7">
        <f t="shared" si="27"/>
        <v>-4.3254039240818054E-2</v>
      </c>
      <c r="K1076" s="7">
        <f t="shared" si="26"/>
        <v>4.2960304702723717E-2</v>
      </c>
      <c r="L1076" s="7"/>
    </row>
    <row r="1077" spans="1:12" x14ac:dyDescent="0.25">
      <c r="A1077" s="2" t="s">
        <v>203</v>
      </c>
      <c r="B1077" s="7">
        <v>-2.0671981776765325E-2</v>
      </c>
      <c r="C1077" s="7">
        <v>-1.4229249011857736E-2</v>
      </c>
      <c r="D1077" s="7">
        <v>-2.1276595744680882E-2</v>
      </c>
      <c r="E1077" s="7">
        <v>-2.2564620695461723E-2</v>
      </c>
      <c r="F1077" s="7">
        <v>-9.1362090992822553E-3</v>
      </c>
      <c r="G1077" s="7"/>
      <c r="H1077" s="7">
        <f t="shared" si="27"/>
        <v>-1.1535772677483069E-2</v>
      </c>
      <c r="I1077" s="7">
        <f t="shared" si="27"/>
        <v>-5.0930399125754811E-3</v>
      </c>
      <c r="J1077" s="7">
        <f t="shared" si="27"/>
        <v>-1.2140386645398626E-2</v>
      </c>
      <c r="K1077" s="7">
        <f t="shared" si="26"/>
        <v>-1.3428411596179468E-2</v>
      </c>
      <c r="L1077" s="7"/>
    </row>
    <row r="1078" spans="1:12" x14ac:dyDescent="0.25">
      <c r="A1078" s="2" t="s">
        <v>1115</v>
      </c>
      <c r="B1078" s="7">
        <v>2.8042854633803627E-2</v>
      </c>
      <c r="C1078" s="7">
        <v>6.604599347497464E-3</v>
      </c>
      <c r="D1078" s="7">
        <v>-7.0422535211267512E-3</v>
      </c>
      <c r="E1078" s="7">
        <v>9.2624065261726063E-3</v>
      </c>
      <c r="F1078" s="7">
        <v>9.54911139915815E-3</v>
      </c>
      <c r="G1078" s="7"/>
      <c r="H1078" s="7">
        <f t="shared" si="27"/>
        <v>1.8493743234645477E-2</v>
      </c>
      <c r="I1078" s="7">
        <f t="shared" si="27"/>
        <v>-2.944512051660686E-3</v>
      </c>
      <c r="J1078" s="7">
        <f t="shared" si="27"/>
        <v>-1.6591364920284901E-2</v>
      </c>
      <c r="K1078" s="7">
        <f t="shared" si="26"/>
        <v>-2.867048729855437E-4</v>
      </c>
      <c r="L1078" s="7"/>
    </row>
    <row r="1079" spans="1:12" x14ac:dyDescent="0.25">
      <c r="A1079" s="2" t="s">
        <v>1116</v>
      </c>
      <c r="B1079" s="7">
        <v>-2.9768853607283763E-3</v>
      </c>
      <c r="C1079" s="7">
        <v>-5.5670431048193691E-4</v>
      </c>
      <c r="D1079" s="7">
        <v>-3.4013605442176909E-2</v>
      </c>
      <c r="E1079" s="7">
        <v>-9.3442208940146543E-3</v>
      </c>
      <c r="F1079" s="7">
        <v>-7.1811299644134463E-3</v>
      </c>
      <c r="G1079" s="7"/>
      <c r="H1079" s="7">
        <f t="shared" si="27"/>
        <v>4.20424460368507E-3</v>
      </c>
      <c r="I1079" s="7">
        <f t="shared" si="27"/>
        <v>6.6244256539315094E-3</v>
      </c>
      <c r="J1079" s="7">
        <f t="shared" si="27"/>
        <v>-2.6832475477763462E-2</v>
      </c>
      <c r="K1079" s="7">
        <f t="shared" si="26"/>
        <v>-2.163090929601208E-3</v>
      </c>
      <c r="L1079" s="7"/>
    </row>
    <row r="1080" spans="1:12" x14ac:dyDescent="0.25">
      <c r="A1080" s="2" t="s">
        <v>1117</v>
      </c>
      <c r="B1080" s="7">
        <v>2.2744910751596903E-2</v>
      </c>
      <c r="C1080" s="7">
        <v>-2.9339465545952237E-3</v>
      </c>
      <c r="D1080" s="7">
        <v>5.755395683453246E-2</v>
      </c>
      <c r="E1080" s="7">
        <v>-3.6067773863445174E-3</v>
      </c>
      <c r="F1080" s="7">
        <v>3.0852936469836223E-3</v>
      </c>
      <c r="G1080" s="7"/>
      <c r="H1080" s="7">
        <f t="shared" si="27"/>
        <v>1.9659617104613281E-2</v>
      </c>
      <c r="I1080" s="7">
        <f t="shared" si="27"/>
        <v>-6.019240201578846E-3</v>
      </c>
      <c r="J1080" s="7">
        <f t="shared" si="27"/>
        <v>5.4468663187548838E-2</v>
      </c>
      <c r="K1080" s="7">
        <f t="shared" si="26"/>
        <v>-6.6920710333281397E-3</v>
      </c>
      <c r="L1080" s="7"/>
    </row>
    <row r="1081" spans="1:12" x14ac:dyDescent="0.25">
      <c r="A1081" s="2" t="s">
        <v>1118</v>
      </c>
      <c r="B1081" s="7">
        <v>3.5482475118995938E-2</v>
      </c>
      <c r="C1081" s="7">
        <v>-3.6343525321955727E-3</v>
      </c>
      <c r="D1081" s="7">
        <v>7.7519379844961156E-2</v>
      </c>
      <c r="E1081" s="7">
        <v>1.5675583574714658E-2</v>
      </c>
      <c r="F1081" s="7">
        <v>2.0707063007576743E-2</v>
      </c>
      <c r="G1081" s="7"/>
      <c r="H1081" s="7">
        <f t="shared" si="27"/>
        <v>1.4775412111419195E-2</v>
      </c>
      <c r="I1081" s="7">
        <f t="shared" si="27"/>
        <v>-2.4341415539772315E-2</v>
      </c>
      <c r="J1081" s="7">
        <f t="shared" si="27"/>
        <v>5.6812316837384413E-2</v>
      </c>
      <c r="K1081" s="7">
        <f t="shared" si="26"/>
        <v>-5.0314794328620849E-3</v>
      </c>
      <c r="L1081" s="7"/>
    </row>
    <row r="1082" spans="1:12" x14ac:dyDescent="0.25">
      <c r="A1082" s="2" t="s">
        <v>204</v>
      </c>
      <c r="B1082" s="7">
        <v>2.1468712508682319E-2</v>
      </c>
      <c r="C1082" s="7">
        <v>2.6687216093445709E-2</v>
      </c>
      <c r="D1082" s="7">
        <v>3.2000000000000028E-2</v>
      </c>
      <c r="E1082" s="7">
        <v>0.10392175303301032</v>
      </c>
      <c r="F1082" s="7">
        <v>1.1730928977641941E-2</v>
      </c>
      <c r="G1082" s="7"/>
      <c r="H1082" s="7">
        <f t="shared" si="27"/>
        <v>9.7377835310403782E-3</v>
      </c>
      <c r="I1082" s="7">
        <f t="shared" si="27"/>
        <v>1.4956287115803768E-2</v>
      </c>
      <c r="J1082" s="7">
        <f t="shared" si="27"/>
        <v>2.0269071022358087E-2</v>
      </c>
      <c r="K1082" s="7">
        <f t="shared" si="26"/>
        <v>9.2190824055368381E-2</v>
      </c>
      <c r="L1082" s="7"/>
    </row>
    <row r="1083" spans="1:12" x14ac:dyDescent="0.25">
      <c r="A1083" s="2" t="s">
        <v>1119</v>
      </c>
      <c r="B1083" s="7">
        <v>-1.1731669266770606E-2</v>
      </c>
      <c r="C1083" s="7">
        <v>1.3649070876500469E-2</v>
      </c>
      <c r="D1083" s="7">
        <v>-3.8461538461538547E-2</v>
      </c>
      <c r="E1083" s="7">
        <v>-8.2254445019851574E-2</v>
      </c>
      <c r="F1083" s="7">
        <v>-8.4485809792226307E-3</v>
      </c>
      <c r="G1083" s="7"/>
      <c r="H1083" s="7">
        <f t="shared" si="27"/>
        <v>-3.283088287547975E-3</v>
      </c>
      <c r="I1083" s="7">
        <f t="shared" si="27"/>
        <v>2.2097651855723099E-2</v>
      </c>
      <c r="J1083" s="7">
        <f t="shared" si="27"/>
        <v>-3.0012957482315916E-2</v>
      </c>
      <c r="K1083" s="7">
        <f t="shared" si="26"/>
        <v>-7.3805864040628943E-2</v>
      </c>
      <c r="L1083" s="7"/>
    </row>
    <row r="1084" spans="1:12" x14ac:dyDescent="0.25">
      <c r="A1084" s="2" t="s">
        <v>1120</v>
      </c>
      <c r="B1084" s="7">
        <v>-6.0782732742045154E-3</v>
      </c>
      <c r="C1084" s="7">
        <v>-2.7060270602705661E-3</v>
      </c>
      <c r="D1084" s="7">
        <v>3.1746031746031855E-2</v>
      </c>
      <c r="E1084" s="7">
        <v>-4.0402303790939564E-3</v>
      </c>
      <c r="F1084" s="7">
        <v>1.4194423271231882E-2</v>
      </c>
      <c r="G1084" s="7"/>
      <c r="H1084" s="7">
        <f t="shared" si="27"/>
        <v>-2.0272696545436397E-2</v>
      </c>
      <c r="I1084" s="7">
        <f t="shared" si="27"/>
        <v>-1.6900450331502448E-2</v>
      </c>
      <c r="J1084" s="7">
        <f t="shared" si="27"/>
        <v>1.7551608474799973E-2</v>
      </c>
      <c r="K1084" s="7">
        <f t="shared" si="26"/>
        <v>-1.8234653650325838E-2</v>
      </c>
      <c r="L1084" s="7"/>
    </row>
    <row r="1085" spans="1:12" x14ac:dyDescent="0.25">
      <c r="A1085" s="2" t="s">
        <v>1121</v>
      </c>
      <c r="B1085" s="7">
        <v>-3.2148377125194028E-3</v>
      </c>
      <c r="C1085" s="7">
        <v>4.0342499588341685E-3</v>
      </c>
      <c r="D1085" s="7">
        <v>-8.6956521739130377E-2</v>
      </c>
      <c r="E1085" s="7">
        <v>-3.9468252002311965E-2</v>
      </c>
      <c r="F1085" s="7">
        <v>-1.1815195971097037E-2</v>
      </c>
      <c r="G1085" s="7"/>
      <c r="H1085" s="7">
        <f t="shared" si="27"/>
        <v>8.6003582585776339E-3</v>
      </c>
      <c r="I1085" s="7">
        <f t="shared" si="27"/>
        <v>1.5849445929931205E-2</v>
      </c>
      <c r="J1085" s="7">
        <f t="shared" si="27"/>
        <v>-7.514132576803334E-2</v>
      </c>
      <c r="K1085" s="7">
        <f t="shared" si="26"/>
        <v>-2.7653056031214929E-2</v>
      </c>
      <c r="L1085" s="7"/>
    </row>
    <row r="1086" spans="1:12" x14ac:dyDescent="0.25">
      <c r="A1086" s="2" t="s">
        <v>1122</v>
      </c>
      <c r="B1086" s="7">
        <v>3.1568877551020336E-2</v>
      </c>
      <c r="C1086" s="7">
        <v>-3.5112805846838291E-2</v>
      </c>
      <c r="D1086" s="7">
        <v>7.8125E-2</v>
      </c>
      <c r="E1086" s="7">
        <v>-3.1042483398671883E-2</v>
      </c>
      <c r="F1086" s="7">
        <v>-1.8961306218543861E-2</v>
      </c>
      <c r="G1086" s="7"/>
      <c r="H1086" s="7">
        <f t="shared" si="27"/>
        <v>5.0530183769564196E-2</v>
      </c>
      <c r="I1086" s="7">
        <f t="shared" si="27"/>
        <v>-1.615149962829443E-2</v>
      </c>
      <c r="J1086" s="7">
        <f t="shared" si="27"/>
        <v>9.7086306218543861E-2</v>
      </c>
      <c r="K1086" s="7">
        <f t="shared" si="26"/>
        <v>-1.2081177180128022E-2</v>
      </c>
      <c r="L1086" s="7"/>
    </row>
    <row r="1087" spans="1:12" x14ac:dyDescent="0.25">
      <c r="A1087" s="2" t="s">
        <v>205</v>
      </c>
      <c r="B1087" s="7">
        <v>2.1897810218978186E-2</v>
      </c>
      <c r="C1087" s="7">
        <v>4.0679588418282009E-3</v>
      </c>
      <c r="D1087" s="7">
        <v>-7.7519379844961378E-3</v>
      </c>
      <c r="E1087" s="7">
        <v>-1.3029058749210454E-2</v>
      </c>
      <c r="F1087" s="7">
        <v>1.3200221128189193E-2</v>
      </c>
      <c r="G1087" s="7"/>
      <c r="H1087" s="7">
        <f t="shared" si="27"/>
        <v>8.697589090788993E-3</v>
      </c>
      <c r="I1087" s="7">
        <f t="shared" si="27"/>
        <v>-9.1322622863609926E-3</v>
      </c>
      <c r="J1087" s="7">
        <f t="shared" si="27"/>
        <v>-2.0952159112685331E-2</v>
      </c>
      <c r="K1087" s="7">
        <f t="shared" si="26"/>
        <v>-2.6229279877399647E-2</v>
      </c>
      <c r="L1087" s="7"/>
    </row>
    <row r="1088" spans="1:12" x14ac:dyDescent="0.25">
      <c r="A1088" s="2" t="s">
        <v>1123</v>
      </c>
      <c r="B1088" s="7">
        <v>-3.1679919222516784E-2</v>
      </c>
      <c r="C1088" s="7">
        <v>-1.1901008827238213E-2</v>
      </c>
      <c r="D1088" s="7">
        <v>-3.007518796992481E-2</v>
      </c>
      <c r="E1088" s="7">
        <v>-2.3216351716158878E-2</v>
      </c>
      <c r="F1088" s="7">
        <v>-2.2724855683128209E-2</v>
      </c>
      <c r="G1088" s="7"/>
      <c r="H1088" s="7">
        <f t="shared" si="27"/>
        <v>-8.9550635393885747E-3</v>
      </c>
      <c r="I1088" s="7">
        <f t="shared" si="27"/>
        <v>1.0823846855889996E-2</v>
      </c>
      <c r="J1088" s="7">
        <f t="shared" si="27"/>
        <v>-7.3503322867966014E-3</v>
      </c>
      <c r="K1088" s="7">
        <f t="shared" si="26"/>
        <v>-4.9149603303066947E-4</v>
      </c>
      <c r="L1088" s="7"/>
    </row>
    <row r="1089" spans="1:12" x14ac:dyDescent="0.25">
      <c r="A1089" s="2" t="s">
        <v>1124</v>
      </c>
      <c r="B1089" s="7">
        <v>3.2288698955367234E-3</v>
      </c>
      <c r="C1089" s="7">
        <v>-1.0219205866292214E-2</v>
      </c>
      <c r="D1089" s="7">
        <v>0</v>
      </c>
      <c r="E1089" s="7">
        <v>2.1348668662360293E-2</v>
      </c>
      <c r="F1089" s="7">
        <v>2.2939006971240961E-3</v>
      </c>
      <c r="G1089" s="7"/>
      <c r="H1089" s="7">
        <f t="shared" si="27"/>
        <v>9.3496919841262738E-4</v>
      </c>
      <c r="I1089" s="7">
        <f t="shared" si="27"/>
        <v>-1.251310656341631E-2</v>
      </c>
      <c r="J1089" s="7">
        <f t="shared" si="27"/>
        <v>-2.2939006971240961E-3</v>
      </c>
      <c r="K1089" s="7">
        <f t="shared" si="26"/>
        <v>1.9054767965236197E-2</v>
      </c>
      <c r="L1089" s="7"/>
    </row>
    <row r="1090" spans="1:12" x14ac:dyDescent="0.25">
      <c r="A1090" s="2" t="s">
        <v>1125</v>
      </c>
      <c r="B1090" s="7">
        <v>2.4752475247524774E-3</v>
      </c>
      <c r="C1090" s="7">
        <v>-1.0909374269462147E-3</v>
      </c>
      <c r="D1090" s="7">
        <v>3.1007751937984551E-2</v>
      </c>
      <c r="E1090" s="7">
        <v>-2.1657032755298622E-2</v>
      </c>
      <c r="F1090" s="7">
        <v>1.6570786727996278E-3</v>
      </c>
      <c r="G1090" s="7"/>
      <c r="H1090" s="7">
        <f t="shared" si="27"/>
        <v>8.1816885195284961E-4</v>
      </c>
      <c r="I1090" s="7">
        <f t="shared" si="27"/>
        <v>-2.7480160997458425E-3</v>
      </c>
      <c r="J1090" s="7">
        <f t="shared" si="27"/>
        <v>2.9350673265184923E-2</v>
      </c>
      <c r="K1090" s="7">
        <f t="shared" si="27"/>
        <v>-2.331411142809825E-2</v>
      </c>
      <c r="L1090" s="7"/>
    </row>
    <row r="1091" spans="1:12" x14ac:dyDescent="0.25">
      <c r="A1091" s="2" t="s">
        <v>206</v>
      </c>
      <c r="B1091" s="7">
        <v>2.9280712921706531E-3</v>
      </c>
      <c r="C1091" s="7">
        <v>2.4214966411497674E-3</v>
      </c>
      <c r="D1091" s="7">
        <v>-3.7313432835820892E-2</v>
      </c>
      <c r="E1091" s="7">
        <v>-2.6485594237695032E-2</v>
      </c>
      <c r="F1091" s="7">
        <v>-3.1971323723489764E-3</v>
      </c>
      <c r="G1091" s="7"/>
      <c r="H1091" s="7">
        <f t="shared" ref="H1091:K1154" si="28">B1091-$F1091</f>
        <v>6.1252036645196295E-3</v>
      </c>
      <c r="I1091" s="7">
        <f t="shared" si="28"/>
        <v>5.6186290134987438E-3</v>
      </c>
      <c r="J1091" s="7">
        <f t="shared" si="28"/>
        <v>-3.4116300463471916E-2</v>
      </c>
      <c r="K1091" s="7">
        <f t="shared" si="28"/>
        <v>-2.3288461865346055E-2</v>
      </c>
      <c r="L1091" s="7"/>
    </row>
    <row r="1092" spans="1:12" x14ac:dyDescent="0.25">
      <c r="A1092" s="2" t="s">
        <v>1126</v>
      </c>
      <c r="B1092" s="7">
        <v>1.6960124287933809E-2</v>
      </c>
      <c r="C1092" s="7">
        <v>2.584384055133615E-3</v>
      </c>
      <c r="D1092" s="7">
        <v>-2.8985507246376718E-2</v>
      </c>
      <c r="E1092" s="7">
        <v>-2.2730605660653991E-2</v>
      </c>
      <c r="F1092" s="7">
        <v>-1.3986489646171663E-3</v>
      </c>
      <c r="G1092" s="7"/>
      <c r="H1092" s="7">
        <f t="shared" si="28"/>
        <v>1.8358773252550975E-2</v>
      </c>
      <c r="I1092" s="7">
        <f t="shared" si="28"/>
        <v>3.9830330197507813E-3</v>
      </c>
      <c r="J1092" s="7">
        <f t="shared" si="28"/>
        <v>-2.7586858281759552E-2</v>
      </c>
      <c r="K1092" s="7">
        <f t="shared" si="28"/>
        <v>-2.1331956696036825E-2</v>
      </c>
      <c r="L1092" s="7"/>
    </row>
    <row r="1093" spans="1:12" x14ac:dyDescent="0.25">
      <c r="A1093" s="2" t="s">
        <v>1127</v>
      </c>
      <c r="B1093" s="7">
        <v>2.8495339547270238E-2</v>
      </c>
      <c r="C1093" s="7">
        <v>-1.7013086989992376E-2</v>
      </c>
      <c r="D1093" s="7">
        <v>-3.4965034965035002E-2</v>
      </c>
      <c r="E1093" s="7">
        <v>-0.11124144672531766</v>
      </c>
      <c r="F1093" s="7">
        <v>3.3847551651107199E-3</v>
      </c>
      <c r="G1093" s="7"/>
      <c r="H1093" s="7">
        <f t="shared" si="28"/>
        <v>2.5110584382159518E-2</v>
      </c>
      <c r="I1093" s="7">
        <f t="shared" si="28"/>
        <v>-2.0397842155103096E-2</v>
      </c>
      <c r="J1093" s="7">
        <f t="shared" si="28"/>
        <v>-3.8349790130145722E-2</v>
      </c>
      <c r="K1093" s="7">
        <f t="shared" si="28"/>
        <v>-0.11462620189042838</v>
      </c>
      <c r="L1093" s="7"/>
    </row>
    <row r="1094" spans="1:12" x14ac:dyDescent="0.25">
      <c r="A1094" s="2" t="s">
        <v>1128</v>
      </c>
      <c r="B1094" s="7">
        <v>1.6513264753654555E-2</v>
      </c>
      <c r="C1094" s="7">
        <v>-1.5394088669939965E-4</v>
      </c>
      <c r="D1094" s="7">
        <v>-2.0547945205479423E-2</v>
      </c>
      <c r="E1094" s="7">
        <v>-4.0697674418604723E-2</v>
      </c>
      <c r="F1094" s="7">
        <v>-2.6016294752068125E-3</v>
      </c>
      <c r="G1094" s="7"/>
      <c r="H1094" s="7">
        <f t="shared" si="28"/>
        <v>1.9114894228861368E-2</v>
      </c>
      <c r="I1094" s="7">
        <f t="shared" si="28"/>
        <v>2.4476885885074129E-3</v>
      </c>
      <c r="J1094" s="7">
        <f t="shared" si="28"/>
        <v>-1.7946315730272611E-2</v>
      </c>
      <c r="K1094" s="7">
        <f t="shared" si="28"/>
        <v>-3.8096044943397911E-2</v>
      </c>
      <c r="L1094" s="7"/>
    </row>
    <row r="1095" spans="1:12" x14ac:dyDescent="0.25">
      <c r="A1095" s="2" t="s">
        <v>1129</v>
      </c>
      <c r="B1095" s="7">
        <v>6.6766589453604031E-3</v>
      </c>
      <c r="C1095" s="7">
        <v>3.079765937787915E-4</v>
      </c>
      <c r="D1095" s="7">
        <v>-3.3112582781457012E-2</v>
      </c>
      <c r="E1095" s="7">
        <v>1.1380880121396153E-2</v>
      </c>
      <c r="F1095" s="7">
        <v>3.8652088494062209E-3</v>
      </c>
      <c r="G1095" s="7"/>
      <c r="H1095" s="7">
        <f t="shared" si="28"/>
        <v>2.8114500959541822E-3</v>
      </c>
      <c r="I1095" s="7">
        <f t="shared" si="28"/>
        <v>-3.5572322556274294E-3</v>
      </c>
      <c r="J1095" s="7">
        <f t="shared" si="28"/>
        <v>-3.6977791630863233E-2</v>
      </c>
      <c r="K1095" s="7">
        <f t="shared" si="28"/>
        <v>7.5156712719899321E-3</v>
      </c>
      <c r="L1095" s="7"/>
    </row>
    <row r="1096" spans="1:12" x14ac:dyDescent="0.25">
      <c r="A1096" s="2" t="s">
        <v>207</v>
      </c>
      <c r="B1096" s="7">
        <v>6.8133814812298965E-5</v>
      </c>
      <c r="C1096" s="7">
        <v>-1.921155767309668E-3</v>
      </c>
      <c r="D1096" s="7">
        <v>0</v>
      </c>
      <c r="E1096" s="7">
        <v>-1.641206918318372E-3</v>
      </c>
      <c r="F1096" s="7">
        <v>-1.0677258507119092E-5</v>
      </c>
      <c r="G1096" s="7"/>
      <c r="H1096" s="7">
        <f t="shared" si="28"/>
        <v>7.8811073319418057E-5</v>
      </c>
      <c r="I1096" s="7">
        <f t="shared" si="28"/>
        <v>-1.9104785088025489E-3</v>
      </c>
      <c r="J1096" s="7">
        <f t="shared" si="28"/>
        <v>1.0677258507119092E-5</v>
      </c>
      <c r="K1096" s="7">
        <f t="shared" si="28"/>
        <v>-1.6305296598112529E-3</v>
      </c>
      <c r="L1096" s="7"/>
    </row>
    <row r="1097" spans="1:12" x14ac:dyDescent="0.25">
      <c r="A1097" s="2" t="s">
        <v>1130</v>
      </c>
      <c r="B1097" s="7">
        <v>1.4305459571527512E-2</v>
      </c>
      <c r="C1097" s="7">
        <v>1.9188596491227949E-2</v>
      </c>
      <c r="D1097" s="7">
        <v>-1.3071895424836666E-2</v>
      </c>
      <c r="E1097" s="7">
        <v>-6.2104008531460586E-3</v>
      </c>
      <c r="F1097" s="7">
        <v>7.2226392530441164E-3</v>
      </c>
      <c r="G1097" s="7"/>
      <c r="H1097" s="7">
        <f t="shared" si="28"/>
        <v>7.082820318483396E-3</v>
      </c>
      <c r="I1097" s="7">
        <f t="shared" si="28"/>
        <v>1.1965957238183833E-2</v>
      </c>
      <c r="J1097" s="7">
        <f t="shared" si="28"/>
        <v>-2.0294534677880782E-2</v>
      </c>
      <c r="K1097" s="7">
        <f t="shared" si="28"/>
        <v>-1.3433040106190175E-2</v>
      </c>
      <c r="L1097" s="7"/>
    </row>
    <row r="1098" spans="1:12" x14ac:dyDescent="0.25">
      <c r="A1098" s="2" t="s">
        <v>1131</v>
      </c>
      <c r="B1098" s="7">
        <v>-3.4542314335073154E-4</v>
      </c>
      <c r="C1098" s="7">
        <v>-1.2147001934235901E-2</v>
      </c>
      <c r="D1098" s="7">
        <v>6.5789473684210176E-3</v>
      </c>
      <c r="E1098" s="7">
        <v>2.3696378114564487E-2</v>
      </c>
      <c r="F1098" s="7">
        <v>5.5092743037565839E-4</v>
      </c>
      <c r="G1098" s="7"/>
      <c r="H1098" s="7">
        <f t="shared" si="28"/>
        <v>-8.9635057372638993E-4</v>
      </c>
      <c r="I1098" s="7">
        <f t="shared" si="28"/>
        <v>-1.269792936461156E-2</v>
      </c>
      <c r="J1098" s="7">
        <f t="shared" si="28"/>
        <v>6.0280199380453592E-3</v>
      </c>
      <c r="K1098" s="7">
        <f t="shared" si="28"/>
        <v>2.3145450684188829E-2</v>
      </c>
      <c r="L1098" s="7"/>
    </row>
    <row r="1099" spans="1:12" x14ac:dyDescent="0.25">
      <c r="A1099" s="2" t="s">
        <v>1132</v>
      </c>
      <c r="B1099" s="7">
        <v>-1.9109575116893596E-2</v>
      </c>
      <c r="C1099" s="7">
        <v>5.9931506849315586E-3</v>
      </c>
      <c r="D1099" s="7">
        <v>-3.7974683544303778E-2</v>
      </c>
      <c r="E1099" s="7">
        <v>2.359823834878072E-2</v>
      </c>
      <c r="F1099" s="7">
        <v>-8.2258150578944367E-3</v>
      </c>
      <c r="G1099" s="7"/>
      <c r="H1099" s="7">
        <f t="shared" si="28"/>
        <v>-1.0883760058999159E-2</v>
      </c>
      <c r="I1099" s="7">
        <f t="shared" si="28"/>
        <v>1.4218965742825995E-2</v>
      </c>
      <c r="J1099" s="7">
        <f t="shared" si="28"/>
        <v>-2.9748868486409341E-2</v>
      </c>
      <c r="K1099" s="7">
        <f t="shared" si="28"/>
        <v>3.1824053406675157E-2</v>
      </c>
      <c r="L1099" s="7"/>
    </row>
    <row r="1100" spans="1:12" x14ac:dyDescent="0.25">
      <c r="A1100" s="2" t="s">
        <v>1133</v>
      </c>
      <c r="B1100" s="7">
        <v>2.4454860403504419E-3</v>
      </c>
      <c r="C1100" s="7">
        <v>-1.166135427194348E-3</v>
      </c>
      <c r="D1100" s="7">
        <v>-6.2893081761006275E-3</v>
      </c>
      <c r="E1100" s="7">
        <v>-1.2142857142857122E-2</v>
      </c>
      <c r="F1100" s="7">
        <v>-3.4987345002870374E-3</v>
      </c>
      <c r="G1100" s="7"/>
      <c r="H1100" s="7">
        <f t="shared" si="28"/>
        <v>5.9442205406374793E-3</v>
      </c>
      <c r="I1100" s="7">
        <f t="shared" si="28"/>
        <v>2.3325990730926893E-3</v>
      </c>
      <c r="J1100" s="7">
        <f t="shared" si="28"/>
        <v>-2.7905736758135902E-3</v>
      </c>
      <c r="K1100" s="7">
        <f t="shared" si="28"/>
        <v>-8.6441226425700846E-3</v>
      </c>
      <c r="L1100" s="7"/>
    </row>
    <row r="1101" spans="1:12" x14ac:dyDescent="0.25">
      <c r="A1101" s="2" t="s">
        <v>208</v>
      </c>
      <c r="B1101" s="7">
        <v>-5.5394176856041755E-3</v>
      </c>
      <c r="C1101" s="7">
        <v>-1.3974070336154609E-3</v>
      </c>
      <c r="D1101" s="7">
        <v>-2.4539877300613355E-2</v>
      </c>
      <c r="E1101" s="7">
        <v>2.1558872305140975E-2</v>
      </c>
      <c r="F1101" s="7">
        <v>8.8770055752696031E-4</v>
      </c>
      <c r="G1101" s="7"/>
      <c r="H1101" s="7">
        <f t="shared" si="28"/>
        <v>-6.4271182431311358E-3</v>
      </c>
      <c r="I1101" s="7">
        <f t="shared" si="28"/>
        <v>-2.2851075911424212E-3</v>
      </c>
      <c r="J1101" s="7">
        <f t="shared" si="28"/>
        <v>-2.5427577858140316E-2</v>
      </c>
      <c r="K1101" s="7">
        <f t="shared" si="28"/>
        <v>2.0671171747614014E-2</v>
      </c>
      <c r="L1101" s="7"/>
    </row>
    <row r="1102" spans="1:12" x14ac:dyDescent="0.25">
      <c r="A1102" s="2" t="s">
        <v>1134</v>
      </c>
      <c r="B1102" s="7">
        <v>3.5932203389830164E-3</v>
      </c>
      <c r="C1102" s="7">
        <v>6.5640384465108781E-3</v>
      </c>
      <c r="D1102" s="7">
        <v>2.5157232704402288E-2</v>
      </c>
      <c r="E1102" s="7">
        <v>-3.6741214057507965E-2</v>
      </c>
      <c r="F1102" s="7">
        <v>3.7328581257503046E-3</v>
      </c>
      <c r="G1102" s="7"/>
      <c r="H1102" s="7">
        <f t="shared" si="28"/>
        <v>-1.3963778676728822E-4</v>
      </c>
      <c r="I1102" s="7">
        <f t="shared" si="28"/>
        <v>2.8311803207605735E-3</v>
      </c>
      <c r="J1102" s="7">
        <f t="shared" si="28"/>
        <v>2.1424374578651983E-2</v>
      </c>
      <c r="K1102" s="7">
        <f t="shared" si="28"/>
        <v>-4.0474072183258269E-2</v>
      </c>
      <c r="L1102" s="7"/>
    </row>
    <row r="1103" spans="1:12" x14ac:dyDescent="0.25">
      <c r="A1103" s="2" t="s">
        <v>1135</v>
      </c>
      <c r="B1103" s="7">
        <v>-3.5130387785434758E-3</v>
      </c>
      <c r="C1103" s="7">
        <v>-8.8296801177292217E-3</v>
      </c>
      <c r="D1103" s="7">
        <v>-1.2422360248447228E-2</v>
      </c>
      <c r="E1103" s="7">
        <v>-8.7408158094754995E-3</v>
      </c>
      <c r="F1103" s="7">
        <v>4.1818919145084621E-3</v>
      </c>
      <c r="G1103" s="7"/>
      <c r="H1103" s="7">
        <f t="shared" si="28"/>
        <v>-7.6949306930519379E-3</v>
      </c>
      <c r="I1103" s="7">
        <f t="shared" si="28"/>
        <v>-1.3011572032237684E-2</v>
      </c>
      <c r="J1103" s="7">
        <f t="shared" si="28"/>
        <v>-1.6604252162955691E-2</v>
      </c>
      <c r="K1103" s="7">
        <f t="shared" si="28"/>
        <v>-1.2922707723983962E-2</v>
      </c>
      <c r="L1103" s="7"/>
    </row>
    <row r="1104" spans="1:12" x14ac:dyDescent="0.25">
      <c r="A1104" s="2" t="s">
        <v>1136</v>
      </c>
      <c r="B1104" s="7">
        <v>9.7550992564294781E-3</v>
      </c>
      <c r="C1104" s="7">
        <v>1.39610641433352E-3</v>
      </c>
      <c r="D1104" s="7">
        <v>0</v>
      </c>
      <c r="E1104" s="7">
        <v>2.0489948936720292E-2</v>
      </c>
      <c r="F1104" s="7">
        <v>6.4612959303769202E-3</v>
      </c>
      <c r="G1104" s="7"/>
      <c r="H1104" s="7">
        <f t="shared" si="28"/>
        <v>3.2938033260525579E-3</v>
      </c>
      <c r="I1104" s="7">
        <f t="shared" si="28"/>
        <v>-5.0651895160434002E-3</v>
      </c>
      <c r="J1104" s="7">
        <f t="shared" si="28"/>
        <v>-6.4612959303769202E-3</v>
      </c>
      <c r="K1104" s="7">
        <f t="shared" si="28"/>
        <v>1.4028653006343372E-2</v>
      </c>
      <c r="L1104" s="7"/>
    </row>
    <row r="1105" spans="1:12" x14ac:dyDescent="0.25">
      <c r="A1105" s="2" t="s">
        <v>1137</v>
      </c>
      <c r="B1105" s="7">
        <v>7.1453108897285844E-3</v>
      </c>
      <c r="C1105" s="7">
        <v>1.3281986796604972E-2</v>
      </c>
      <c r="D1105" s="7">
        <v>-3.0120481927710774E-2</v>
      </c>
      <c r="E1105" s="7">
        <v>-4.2695377761277187E-2</v>
      </c>
      <c r="F1105" s="7">
        <v>3.6803672564356127E-3</v>
      </c>
      <c r="G1105" s="7"/>
      <c r="H1105" s="7">
        <f t="shared" si="28"/>
        <v>3.4649436332929717E-3</v>
      </c>
      <c r="I1105" s="7">
        <f t="shared" si="28"/>
        <v>9.6016195401693594E-3</v>
      </c>
      <c r="J1105" s="7">
        <f t="shared" si="28"/>
        <v>-3.3800849184146387E-2</v>
      </c>
      <c r="K1105" s="7">
        <f t="shared" si="28"/>
        <v>-4.6375745017712799E-2</v>
      </c>
      <c r="L1105" s="7"/>
    </row>
    <row r="1106" spans="1:12" x14ac:dyDescent="0.25">
      <c r="A1106" s="2" t="s">
        <v>209</v>
      </c>
      <c r="B1106" s="7">
        <v>-5.6022408963585235E-3</v>
      </c>
      <c r="C1106" s="7">
        <v>5.0552922590836324E-3</v>
      </c>
      <c r="D1106" s="7">
        <v>1.8404907975460238E-2</v>
      </c>
      <c r="E1106" s="7">
        <v>3.1728804902962482E-2</v>
      </c>
      <c r="F1106" s="7">
        <v>1.8000686154020507E-3</v>
      </c>
      <c r="G1106" s="7"/>
      <c r="H1106" s="7">
        <f t="shared" si="28"/>
        <v>-7.4023095117605742E-3</v>
      </c>
      <c r="I1106" s="7">
        <f t="shared" si="28"/>
        <v>3.2552236436815818E-3</v>
      </c>
      <c r="J1106" s="7">
        <f t="shared" si="28"/>
        <v>1.6604839360058188E-2</v>
      </c>
      <c r="K1106" s="7">
        <f t="shared" si="28"/>
        <v>2.9928736287560431E-2</v>
      </c>
      <c r="L1106" s="7"/>
    </row>
    <row r="1107" spans="1:12" x14ac:dyDescent="0.25">
      <c r="A1107" s="2" t="s">
        <v>1138</v>
      </c>
      <c r="B1107" s="7">
        <v>-1.8178159377515435E-2</v>
      </c>
      <c r="C1107" s="7">
        <v>-6.5913370998117449E-3</v>
      </c>
      <c r="D1107" s="7">
        <v>1.8749999999999822E-2</v>
      </c>
      <c r="E1107" s="7">
        <v>-2.8589147286821825E-2</v>
      </c>
      <c r="F1107" s="7">
        <v>1.9493431844783693E-3</v>
      </c>
      <c r="G1107" s="7"/>
      <c r="H1107" s="7">
        <f t="shared" si="28"/>
        <v>-2.0127502561993804E-2</v>
      </c>
      <c r="I1107" s="7">
        <f t="shared" si="28"/>
        <v>-8.5406802842901142E-3</v>
      </c>
      <c r="J1107" s="7">
        <f t="shared" si="28"/>
        <v>1.6800656815521453E-2</v>
      </c>
      <c r="K1107" s="7">
        <f t="shared" si="28"/>
        <v>-3.0538490471300195E-2</v>
      </c>
      <c r="L1107" s="7"/>
    </row>
    <row r="1108" spans="1:12" x14ac:dyDescent="0.25">
      <c r="A1108" s="2" t="s">
        <v>1139</v>
      </c>
      <c r="B1108" s="7">
        <v>2.5027502750275099E-2</v>
      </c>
      <c r="C1108" s="7">
        <v>9.1060258136035355E-3</v>
      </c>
      <c r="D1108" s="7">
        <v>0</v>
      </c>
      <c r="E1108" s="7">
        <v>3.2976605276255899E-3</v>
      </c>
      <c r="F1108" s="7">
        <v>9.8293377390326064E-3</v>
      </c>
      <c r="G1108" s="7"/>
      <c r="H1108" s="7">
        <f t="shared" si="28"/>
        <v>1.5198165011242493E-2</v>
      </c>
      <c r="I1108" s="7">
        <f t="shared" si="28"/>
        <v>-7.2331192542907097E-4</v>
      </c>
      <c r="J1108" s="7">
        <f t="shared" si="28"/>
        <v>-9.8293377390326064E-3</v>
      </c>
      <c r="K1108" s="7">
        <f t="shared" si="28"/>
        <v>-6.5316772114070165E-3</v>
      </c>
      <c r="L1108" s="7"/>
    </row>
    <row r="1109" spans="1:12" x14ac:dyDescent="0.25">
      <c r="A1109" s="2" t="s">
        <v>1140</v>
      </c>
      <c r="B1109" s="7">
        <v>-3.1528444139822254E-3</v>
      </c>
      <c r="C1109" s="7">
        <v>-2.1538699930270244E-2</v>
      </c>
      <c r="D1109" s="7">
        <v>-2.4390243902438935E-2</v>
      </c>
      <c r="E1109" s="7">
        <v>-4.4598612487611877E-3</v>
      </c>
      <c r="F1109" s="7">
        <v>-5.0515979968478453E-3</v>
      </c>
      <c r="G1109" s="7"/>
      <c r="H1109" s="7">
        <f t="shared" si="28"/>
        <v>1.8987535828656199E-3</v>
      </c>
      <c r="I1109" s="7">
        <f t="shared" si="28"/>
        <v>-1.6487101933422399E-2</v>
      </c>
      <c r="J1109" s="7">
        <f t="shared" si="28"/>
        <v>-1.933864590559109E-2</v>
      </c>
      <c r="K1109" s="7">
        <f t="shared" si="28"/>
        <v>5.9173674808665755E-4</v>
      </c>
      <c r="L1109" s="7"/>
    </row>
    <row r="1110" spans="1:12" x14ac:dyDescent="0.25">
      <c r="A1110" s="2" t="s">
        <v>1141</v>
      </c>
      <c r="B1110" s="7">
        <v>4.5442026989810369E-3</v>
      </c>
      <c r="C1110" s="7">
        <v>-1.3153822346023691E-3</v>
      </c>
      <c r="D1110" s="7">
        <v>-1.7964071856287456E-2</v>
      </c>
      <c r="E1110" s="7">
        <v>-3.5084573546112052E-2</v>
      </c>
      <c r="F1110" s="7">
        <v>1.8197824144636776E-3</v>
      </c>
      <c r="G1110" s="7"/>
      <c r="H1110" s="7">
        <f t="shared" si="28"/>
        <v>2.7244202845173593E-3</v>
      </c>
      <c r="I1110" s="7">
        <f t="shared" si="28"/>
        <v>-3.1351646490660467E-3</v>
      </c>
      <c r="J1110" s="7">
        <f t="shared" si="28"/>
        <v>-1.9783854270751133E-2</v>
      </c>
      <c r="K1110" s="7">
        <f t="shared" si="28"/>
        <v>-3.690435596057573E-2</v>
      </c>
      <c r="L1110" s="7"/>
    </row>
    <row r="1111" spans="1:12" x14ac:dyDescent="0.25">
      <c r="A1111" s="2" t="s">
        <v>210</v>
      </c>
      <c r="B1111" s="7">
        <v>-3.441393075915844E-4</v>
      </c>
      <c r="C1111" s="7">
        <v>8.8992974238877309E-3</v>
      </c>
      <c r="D1111" s="7">
        <v>6.0240963855422436E-3</v>
      </c>
      <c r="E1111" s="7">
        <v>-8.5920834320928341E-3</v>
      </c>
      <c r="F1111" s="7">
        <v>4.7481792778718557E-3</v>
      </c>
      <c r="G1111" s="7"/>
      <c r="H1111" s="7">
        <f t="shared" si="28"/>
        <v>-5.0923185854634401E-3</v>
      </c>
      <c r="I1111" s="7">
        <f t="shared" si="28"/>
        <v>4.1511181460158753E-3</v>
      </c>
      <c r="J1111" s="7">
        <f t="shared" si="28"/>
        <v>1.2759171076703879E-3</v>
      </c>
      <c r="K1111" s="7">
        <f t="shared" si="28"/>
        <v>-1.334026270996469E-2</v>
      </c>
      <c r="L1111" s="7"/>
    </row>
    <row r="1112" spans="1:12" x14ac:dyDescent="0.25">
      <c r="A1112" s="2" t="s">
        <v>1142</v>
      </c>
      <c r="B1112" s="7">
        <v>-5.2718061070793354E-3</v>
      </c>
      <c r="C1112" s="7">
        <v>-7.2845629262243694E-3</v>
      </c>
      <c r="D1112" s="7">
        <v>-5.9880239520958556E-3</v>
      </c>
      <c r="E1112" s="7">
        <v>1.6024689892573107E-3</v>
      </c>
      <c r="F1112" s="7">
        <v>-1.0725793335062406E-3</v>
      </c>
      <c r="G1112" s="7"/>
      <c r="H1112" s="7">
        <f t="shared" si="28"/>
        <v>-4.1992267735730948E-3</v>
      </c>
      <c r="I1112" s="7">
        <f t="shared" si="28"/>
        <v>-6.2119835927181288E-3</v>
      </c>
      <c r="J1112" s="7">
        <f t="shared" si="28"/>
        <v>-4.915444618589615E-3</v>
      </c>
      <c r="K1112" s="7">
        <f t="shared" si="28"/>
        <v>2.6750483227635513E-3</v>
      </c>
      <c r="L1112" s="7"/>
    </row>
    <row r="1113" spans="1:12" x14ac:dyDescent="0.25">
      <c r="A1113" s="2" t="s">
        <v>1143</v>
      </c>
      <c r="B1113" s="7">
        <v>1.5085024684586834E-3</v>
      </c>
      <c r="C1113" s="7">
        <v>-1.6247582205030087E-3</v>
      </c>
      <c r="D1113" s="7">
        <v>-3.4682080924855474E-2</v>
      </c>
      <c r="E1113" s="7">
        <v>1.3074225946394513E-3</v>
      </c>
      <c r="F1113" s="7">
        <v>2.995906256131331E-3</v>
      </c>
      <c r="G1113" s="7"/>
      <c r="H1113" s="7">
        <f t="shared" si="28"/>
        <v>-1.4874037876726476E-3</v>
      </c>
      <c r="I1113" s="7">
        <f t="shared" si="28"/>
        <v>-4.6206644766343397E-3</v>
      </c>
      <c r="J1113" s="7">
        <f t="shared" si="28"/>
        <v>-3.7677987180986805E-2</v>
      </c>
      <c r="K1113" s="7">
        <f t="shared" si="28"/>
        <v>-1.6884836614918797E-3</v>
      </c>
      <c r="L1113" s="7"/>
    </row>
    <row r="1114" spans="1:12" x14ac:dyDescent="0.25">
      <c r="A1114" s="2" t="s">
        <v>1144</v>
      </c>
      <c r="B1114" s="7">
        <v>3.302146395156802E-3</v>
      </c>
      <c r="C1114" s="7">
        <v>6.1933885577158954E-4</v>
      </c>
      <c r="D1114" s="7">
        <v>-3.3519553072625774E-2</v>
      </c>
      <c r="E1114" s="7">
        <v>1.0113027959548493E-3</v>
      </c>
      <c r="F1114" s="7">
        <v>3.6640167447334893E-3</v>
      </c>
      <c r="G1114" s="7"/>
      <c r="H1114" s="7">
        <f t="shared" si="28"/>
        <v>-3.6187034957668729E-4</v>
      </c>
      <c r="I1114" s="7">
        <f t="shared" si="28"/>
        <v>-3.0446778889618997E-3</v>
      </c>
      <c r="J1114" s="7">
        <f t="shared" si="28"/>
        <v>-3.7183569817359263E-2</v>
      </c>
      <c r="K1114" s="7">
        <f t="shared" si="28"/>
        <v>-2.65271394877864E-3</v>
      </c>
      <c r="L1114" s="7"/>
    </row>
    <row r="1115" spans="1:12" x14ac:dyDescent="0.25">
      <c r="A1115" s="2" t="s">
        <v>1145</v>
      </c>
      <c r="B1115" s="7">
        <v>1.5083798882681743E-2</v>
      </c>
      <c r="C1115" s="7">
        <v>3.262135922329934E-3</v>
      </c>
      <c r="D1115" s="7">
        <v>5.9171597633136175E-2</v>
      </c>
      <c r="E1115" s="7">
        <v>6.103641986997399E-2</v>
      </c>
      <c r="F1115" s="7">
        <v>7.3933569005406596E-3</v>
      </c>
      <c r="G1115" s="7"/>
      <c r="H1115" s="7">
        <f t="shared" si="28"/>
        <v>7.690441982141083E-3</v>
      </c>
      <c r="I1115" s="7">
        <f t="shared" si="28"/>
        <v>-4.1312209782107256E-3</v>
      </c>
      <c r="J1115" s="7">
        <f t="shared" si="28"/>
        <v>5.1778240732595515E-2</v>
      </c>
      <c r="K1115" s="7">
        <f t="shared" si="28"/>
        <v>5.3643062969433331E-2</v>
      </c>
      <c r="L1115" s="7"/>
    </row>
    <row r="1116" spans="1:12" x14ac:dyDescent="0.25">
      <c r="A1116" s="2" t="s">
        <v>211</v>
      </c>
      <c r="B1116" s="7">
        <v>1.1871113623515894E-2</v>
      </c>
      <c r="C1116" s="7">
        <v>-1.2411760142735373E-3</v>
      </c>
      <c r="D1116" s="7">
        <v>0</v>
      </c>
      <c r="E1116" s="7">
        <v>-7.0197430272641581E-3</v>
      </c>
      <c r="F1116" s="7">
        <v>3.3748045900920953E-3</v>
      </c>
      <c r="G1116" s="7"/>
      <c r="H1116" s="7">
        <f t="shared" si="28"/>
        <v>8.496309033423799E-3</v>
      </c>
      <c r="I1116" s="7">
        <f t="shared" si="28"/>
        <v>-4.6159806043656326E-3</v>
      </c>
      <c r="J1116" s="7">
        <f t="shared" si="28"/>
        <v>-3.3748045900920953E-3</v>
      </c>
      <c r="K1116" s="7">
        <f t="shared" si="28"/>
        <v>-1.0394547617356253E-2</v>
      </c>
      <c r="L1116" s="7"/>
    </row>
    <row r="1117" spans="1:12" x14ac:dyDescent="0.25">
      <c r="A1117" s="2" t="s">
        <v>1146</v>
      </c>
      <c r="B1117" s="7">
        <v>7.4749056738094843E-3</v>
      </c>
      <c r="C1117" s="7">
        <v>9.001252348152633E-3</v>
      </c>
      <c r="D1117" s="7">
        <v>5.9523809523809312E-3</v>
      </c>
      <c r="E1117" s="7">
        <v>7.3236946776944478E-3</v>
      </c>
      <c r="F1117" s="7">
        <v>7.4601307719690535E-3</v>
      </c>
      <c r="G1117" s="7"/>
      <c r="H1117" s="7">
        <f t="shared" si="28"/>
        <v>1.4774901840430843E-5</v>
      </c>
      <c r="I1117" s="7">
        <f t="shared" si="28"/>
        <v>1.5411215761835795E-3</v>
      </c>
      <c r="J1117" s="7">
        <f t="shared" si="28"/>
        <v>-1.5077498195881223E-3</v>
      </c>
      <c r="K1117" s="7">
        <f t="shared" si="28"/>
        <v>-1.3643609427460568E-4</v>
      </c>
      <c r="L1117" s="7"/>
    </row>
    <row r="1118" spans="1:12" x14ac:dyDescent="0.25">
      <c r="A1118" s="2" t="s">
        <v>1147</v>
      </c>
      <c r="B1118" s="7">
        <v>2.026438117373619E-2</v>
      </c>
      <c r="C1118" s="7">
        <v>1.7764677766270998E-2</v>
      </c>
      <c r="D1118" s="7">
        <v>-2.3255813953488413E-2</v>
      </c>
      <c r="E1118" s="7">
        <v>-3.7111586363064442E-3</v>
      </c>
      <c r="F1118" s="7">
        <v>1.706311013337003E-2</v>
      </c>
      <c r="G1118" s="7"/>
      <c r="H1118" s="7">
        <f t="shared" si="28"/>
        <v>3.2012710403661604E-3</v>
      </c>
      <c r="I1118" s="7">
        <f t="shared" si="28"/>
        <v>7.0156763290096791E-4</v>
      </c>
      <c r="J1118" s="7">
        <f t="shared" si="28"/>
        <v>-4.0318924086858443E-2</v>
      </c>
      <c r="K1118" s="7">
        <f t="shared" si="28"/>
        <v>-2.0774268769676474E-2</v>
      </c>
      <c r="L1118" s="7"/>
    </row>
    <row r="1119" spans="1:12" x14ac:dyDescent="0.25">
      <c r="A1119" s="2" t="s">
        <v>1148</v>
      </c>
      <c r="B1119" s="7">
        <v>-4.267013813553211E-3</v>
      </c>
      <c r="C1119" s="7">
        <v>9.3270081209293476E-3</v>
      </c>
      <c r="D1119" s="7">
        <v>-1.7142857142857126E-2</v>
      </c>
      <c r="E1119" s="7">
        <v>2.7002583979327976E-2</v>
      </c>
      <c r="F1119" s="7">
        <v>3.0225368623080229E-3</v>
      </c>
      <c r="G1119" s="7"/>
      <c r="H1119" s="7">
        <f t="shared" si="28"/>
        <v>-7.2895506758612338E-3</v>
      </c>
      <c r="I1119" s="7">
        <f t="shared" si="28"/>
        <v>6.3044712586213247E-3</v>
      </c>
      <c r="J1119" s="7">
        <f t="shared" si="28"/>
        <v>-2.0165394005165149E-2</v>
      </c>
      <c r="K1119" s="7">
        <f t="shared" si="28"/>
        <v>2.3980047117019954E-2</v>
      </c>
      <c r="L1119" s="7"/>
    </row>
    <row r="1120" spans="1:12" x14ac:dyDescent="0.25">
      <c r="A1120" s="2" t="s">
        <v>1149</v>
      </c>
      <c r="B1120" s="7">
        <v>-9.1013329511250296E-3</v>
      </c>
      <c r="C1120" s="7">
        <v>-4.2433947157726193E-3</v>
      </c>
      <c r="D1120" s="7">
        <v>0</v>
      </c>
      <c r="E1120" s="7">
        <v>-5.7803468208090791E-3</v>
      </c>
      <c r="F1120" s="7">
        <v>-2.4167715692277048E-3</v>
      </c>
      <c r="G1120" s="7"/>
      <c r="H1120" s="7">
        <f t="shared" si="28"/>
        <v>-6.6845613818973248E-3</v>
      </c>
      <c r="I1120" s="7">
        <f t="shared" si="28"/>
        <v>-1.8266231465449145E-3</v>
      </c>
      <c r="J1120" s="7">
        <f t="shared" si="28"/>
        <v>2.4167715692277048E-3</v>
      </c>
      <c r="K1120" s="7">
        <f t="shared" si="28"/>
        <v>-3.3635752515813744E-3</v>
      </c>
      <c r="L1120" s="7"/>
    </row>
    <row r="1121" spans="1:12" x14ac:dyDescent="0.25">
      <c r="A1121" s="2" t="s">
        <v>212</v>
      </c>
      <c r="B1121" s="7">
        <v>-6.4456062450768403E-4</v>
      </c>
      <c r="C1121" s="7">
        <v>-3.7489032463906558E-3</v>
      </c>
      <c r="D1121" s="7">
        <v>5.7471264367816577E-3</v>
      </c>
      <c r="E1121" s="7">
        <v>1.5059651867787904E-2</v>
      </c>
      <c r="F1121" s="7">
        <v>-6.8657858421348195E-3</v>
      </c>
      <c r="G1121" s="7"/>
      <c r="H1121" s="7">
        <f t="shared" si="28"/>
        <v>6.2212252176271354E-3</v>
      </c>
      <c r="I1121" s="7">
        <f t="shared" si="28"/>
        <v>3.1168825957441637E-3</v>
      </c>
      <c r="J1121" s="7">
        <f t="shared" si="28"/>
        <v>1.2612912278916477E-2</v>
      </c>
      <c r="K1121" s="7">
        <f t="shared" si="28"/>
        <v>2.1925437709922724E-2</v>
      </c>
      <c r="L1121" s="7"/>
    </row>
    <row r="1122" spans="1:12" x14ac:dyDescent="0.25">
      <c r="A1122" s="2" t="s">
        <v>1150</v>
      </c>
      <c r="B1122" s="7">
        <v>-2.7140918505820233E-3</v>
      </c>
      <c r="C1122" s="7">
        <v>-4.8420384187966015E-3</v>
      </c>
      <c r="D1122" s="7">
        <v>-3.8674033149171283E-2</v>
      </c>
      <c r="E1122" s="7">
        <v>3.5369557880526425E-2</v>
      </c>
      <c r="F1122" s="7">
        <v>-1.9137407494954628E-3</v>
      </c>
      <c r="G1122" s="7"/>
      <c r="H1122" s="7">
        <f t="shared" si="28"/>
        <v>-8.0035110108656049E-4</v>
      </c>
      <c r="I1122" s="7">
        <f t="shared" si="28"/>
        <v>-2.9282976693011387E-3</v>
      </c>
      <c r="J1122" s="7">
        <f t="shared" si="28"/>
        <v>-3.676029239967582E-2</v>
      </c>
      <c r="K1122" s="7">
        <f t="shared" si="28"/>
        <v>3.7283298630021888E-2</v>
      </c>
      <c r="L1122" s="7"/>
    </row>
    <row r="1123" spans="1:12" x14ac:dyDescent="0.25">
      <c r="A1123" s="2" t="s">
        <v>1151</v>
      </c>
      <c r="B1123" s="7">
        <v>9.0810810810810771E-3</v>
      </c>
      <c r="C1123" s="7">
        <v>-3.3227848101266E-3</v>
      </c>
      <c r="D1123" s="7">
        <v>-1.6304347826086918E-2</v>
      </c>
      <c r="E1123" s="7">
        <v>8.2572159298502035E-2</v>
      </c>
      <c r="F1123" s="7">
        <v>8.2982892369745098E-3</v>
      </c>
      <c r="G1123" s="7"/>
      <c r="H1123" s="7">
        <f t="shared" si="28"/>
        <v>7.8279184410656732E-4</v>
      </c>
      <c r="I1123" s="7">
        <f t="shared" si="28"/>
        <v>-1.162107404710111E-2</v>
      </c>
      <c r="J1123" s="7">
        <f t="shared" si="28"/>
        <v>-2.4602637063061428E-2</v>
      </c>
      <c r="K1123" s="7">
        <f t="shared" si="28"/>
        <v>7.4273870061527525E-2</v>
      </c>
      <c r="L1123" s="7"/>
    </row>
    <row r="1124" spans="1:12" x14ac:dyDescent="0.25">
      <c r="A1124" s="2" t="s">
        <v>1152</v>
      </c>
      <c r="B1124" s="7">
        <v>6.3098346388164028E-3</v>
      </c>
      <c r="C1124" s="7">
        <v>2.9358089343807237E-3</v>
      </c>
      <c r="D1124" s="7">
        <v>-2.1276595744680771E-2</v>
      </c>
      <c r="E1124" s="7">
        <v>6.6941297631306629E-3</v>
      </c>
      <c r="F1124" s="7">
        <v>4.1028874386752623E-3</v>
      </c>
      <c r="G1124" s="7"/>
      <c r="H1124" s="7">
        <f t="shared" si="28"/>
        <v>2.2069472001411405E-3</v>
      </c>
      <c r="I1124" s="7">
        <f t="shared" si="28"/>
        <v>-1.1670785042945386E-3</v>
      </c>
      <c r="J1124" s="7">
        <f t="shared" si="28"/>
        <v>-2.5379483183356033E-2</v>
      </c>
      <c r="K1124" s="7">
        <f t="shared" si="28"/>
        <v>2.5912423244554006E-3</v>
      </c>
      <c r="L1124" s="7"/>
    </row>
    <row r="1125" spans="1:12" x14ac:dyDescent="0.25">
      <c r="A1125" s="2" t="s">
        <v>1153</v>
      </c>
      <c r="B1125" s="7">
        <v>1.4121800529567352E-2</v>
      </c>
      <c r="C1125" s="7">
        <v>1.0422512627274783E-2</v>
      </c>
      <c r="D1125" s="7">
        <v>-2.5906735751295318E-2</v>
      </c>
      <c r="E1125" s="7">
        <v>2.5111228414146591E-2</v>
      </c>
      <c r="F1125" s="7">
        <v>1.0524455523362564E-2</v>
      </c>
      <c r="G1125" s="7"/>
      <c r="H1125" s="7">
        <f t="shared" si="28"/>
        <v>3.5973450062047885E-3</v>
      </c>
      <c r="I1125" s="7">
        <f t="shared" si="28"/>
        <v>-1.0194289608778107E-4</v>
      </c>
      <c r="J1125" s="7">
        <f t="shared" si="28"/>
        <v>-3.6431191274657881E-2</v>
      </c>
      <c r="K1125" s="7">
        <f t="shared" si="28"/>
        <v>1.4586772890784028E-2</v>
      </c>
      <c r="L1125" s="7"/>
    </row>
    <row r="1126" spans="1:12" x14ac:dyDescent="0.25">
      <c r="A1126" s="2" t="s">
        <v>213</v>
      </c>
      <c r="B1126" s="7">
        <v>-2.4537236332328849E-2</v>
      </c>
      <c r="C1126" s="7">
        <v>-3.5948234542259039E-3</v>
      </c>
      <c r="D1126" s="7">
        <v>-3.5000000000000031E-2</v>
      </c>
      <c r="E1126" s="7">
        <v>-3.1690397955458027E-2</v>
      </c>
      <c r="F1126" s="7">
        <v>-1.2985880322420762E-2</v>
      </c>
      <c r="G1126" s="7"/>
      <c r="H1126" s="7">
        <f t="shared" si="28"/>
        <v>-1.1551356009908087E-2</v>
      </c>
      <c r="I1126" s="7">
        <f t="shared" si="28"/>
        <v>9.3910568681948581E-3</v>
      </c>
      <c r="J1126" s="7">
        <f t="shared" si="28"/>
        <v>-2.2014119677579269E-2</v>
      </c>
      <c r="K1126" s="7">
        <f t="shared" si="28"/>
        <v>-1.8704517633037265E-2</v>
      </c>
      <c r="L1126" s="7"/>
    </row>
    <row r="1127" spans="1:12" x14ac:dyDescent="0.25">
      <c r="A1127" s="2" t="s">
        <v>1154</v>
      </c>
      <c r="B1127" s="7">
        <v>8.1006798784897249E-3</v>
      </c>
      <c r="C1127" s="7">
        <v>7.1606726204842541E-3</v>
      </c>
      <c r="D1127" s="7">
        <v>0.12359550561797761</v>
      </c>
      <c r="E1127" s="7">
        <v>-2.5960170697012841E-2</v>
      </c>
      <c r="F1127" s="7">
        <v>1.1491477734391298E-2</v>
      </c>
      <c r="G1127" s="7"/>
      <c r="H1127" s="7">
        <f t="shared" si="28"/>
        <v>-3.3907978559015728E-3</v>
      </c>
      <c r="I1127" s="7">
        <f t="shared" si="28"/>
        <v>-4.3308051139070436E-3</v>
      </c>
      <c r="J1127" s="7">
        <f t="shared" si="28"/>
        <v>0.11210402788358631</v>
      </c>
      <c r="K1127" s="7">
        <f t="shared" si="28"/>
        <v>-3.7451648431404139E-2</v>
      </c>
      <c r="L1127" s="7"/>
    </row>
    <row r="1128" spans="1:12" x14ac:dyDescent="0.25">
      <c r="A1128" s="2" t="s">
        <v>1155</v>
      </c>
      <c r="B1128" s="7">
        <v>-9.3149899684724646E-3</v>
      </c>
      <c r="C1128" s="7">
        <v>-3.0196629213483095E-2</v>
      </c>
      <c r="D1128" s="7">
        <v>1.1363636363636465E-2</v>
      </c>
      <c r="E1128" s="7">
        <v>3.1392694063927529E-3</v>
      </c>
      <c r="F1128" s="7">
        <v>-1.1909731939276913E-2</v>
      </c>
      <c r="G1128" s="7"/>
      <c r="H1128" s="7">
        <f t="shared" si="28"/>
        <v>2.5947419708044483E-3</v>
      </c>
      <c r="I1128" s="7">
        <f t="shared" si="28"/>
        <v>-1.8286897274206182E-2</v>
      </c>
      <c r="J1128" s="7">
        <f t="shared" si="28"/>
        <v>2.3273368302913378E-2</v>
      </c>
      <c r="K1128" s="7">
        <f t="shared" si="28"/>
        <v>1.5049001345669666E-2</v>
      </c>
      <c r="L1128" s="7"/>
    </row>
    <row r="1129" spans="1:12" x14ac:dyDescent="0.25">
      <c r="A1129" s="2" t="s">
        <v>1156</v>
      </c>
      <c r="B1129" s="7">
        <v>6.4906966681090861E-3</v>
      </c>
      <c r="C1129" s="7">
        <v>4.624911813122301E-3</v>
      </c>
      <c r="D1129" s="7">
        <v>2.3255813953488413E-2</v>
      </c>
      <c r="E1129" s="7">
        <v>-3.1509121061359835E-2</v>
      </c>
      <c r="F1129" s="7">
        <v>1.5691662282344421E-3</v>
      </c>
      <c r="G1129" s="7"/>
      <c r="H1129" s="7">
        <f t="shared" si="28"/>
        <v>4.921530439874644E-3</v>
      </c>
      <c r="I1129" s="7">
        <f t="shared" si="28"/>
        <v>3.055745584887859E-3</v>
      </c>
      <c r="J1129" s="7">
        <f t="shared" si="28"/>
        <v>2.1686647725253971E-2</v>
      </c>
      <c r="K1129" s="7">
        <f t="shared" si="28"/>
        <v>-3.3078287289594277E-2</v>
      </c>
      <c r="L1129" s="7"/>
    </row>
    <row r="1130" spans="1:12" x14ac:dyDescent="0.25">
      <c r="A1130" s="2" t="s">
        <v>1157</v>
      </c>
      <c r="B1130" s="7">
        <v>-2.3796113770768734E-2</v>
      </c>
      <c r="C1130" s="7">
        <v>-9.5496894409938804E-3</v>
      </c>
      <c r="D1130" s="7">
        <v>-3.9106145251396662E-2</v>
      </c>
      <c r="E1130" s="7">
        <v>1.4653298745004539E-2</v>
      </c>
      <c r="F1130" s="7">
        <v>-2.0364114325326033E-2</v>
      </c>
      <c r="G1130" s="7"/>
      <c r="H1130" s="7">
        <f t="shared" si="28"/>
        <v>-3.4319994454427016E-3</v>
      </c>
      <c r="I1130" s="7">
        <f t="shared" si="28"/>
        <v>1.0814424884332152E-2</v>
      </c>
      <c r="J1130" s="7">
        <f t="shared" si="28"/>
        <v>-1.874203092607063E-2</v>
      </c>
      <c r="K1130" s="7">
        <f t="shared" si="28"/>
        <v>3.5017413070330572E-2</v>
      </c>
      <c r="L1130" s="7"/>
    </row>
    <row r="1131" spans="1:12" x14ac:dyDescent="0.25">
      <c r="A1131" s="2" t="s">
        <v>214</v>
      </c>
      <c r="B1131" s="7">
        <v>-1.058790749512406E-2</v>
      </c>
      <c r="C1131" s="7">
        <v>4.1319092539175983E-3</v>
      </c>
      <c r="D1131" s="7">
        <v>0.11874999999999991</v>
      </c>
      <c r="E1131" s="7">
        <v>3.5201045144433118E-2</v>
      </c>
      <c r="F1131" s="7">
        <v>-2.7763563072890074E-3</v>
      </c>
      <c r="G1131" s="7"/>
      <c r="H1131" s="7">
        <f t="shared" si="28"/>
        <v>-7.811551187835053E-3</v>
      </c>
      <c r="I1131" s="7">
        <f t="shared" si="28"/>
        <v>6.9082655612066057E-3</v>
      </c>
      <c r="J1131" s="7">
        <f t="shared" si="28"/>
        <v>0.12152635630728892</v>
      </c>
      <c r="K1131" s="7">
        <f t="shared" si="28"/>
        <v>3.7977401451722126E-2</v>
      </c>
      <c r="L1131" s="7"/>
    </row>
    <row r="1132" spans="1:12" x14ac:dyDescent="0.25">
      <c r="A1132" s="2" t="s">
        <v>1158</v>
      </c>
      <c r="B1132" s="7">
        <v>6.27308845054797E-4</v>
      </c>
      <c r="C1132" s="7">
        <v>-2.7211942155185298E-3</v>
      </c>
      <c r="D1132" s="7">
        <v>2.5641025641025772E-2</v>
      </c>
      <c r="E1132" s="7">
        <v>-4.0395598272739974E-2</v>
      </c>
      <c r="F1132" s="7">
        <v>1.4610090402744635E-3</v>
      </c>
      <c r="G1132" s="7"/>
      <c r="H1132" s="7">
        <f t="shared" si="28"/>
        <v>-8.3370019521966654E-4</v>
      </c>
      <c r="I1132" s="7">
        <f t="shared" si="28"/>
        <v>-4.1822032557929933E-3</v>
      </c>
      <c r="J1132" s="7">
        <f t="shared" si="28"/>
        <v>2.4180016600751308E-2</v>
      </c>
      <c r="K1132" s="7">
        <f t="shared" si="28"/>
        <v>-4.1856607313014438E-2</v>
      </c>
      <c r="L1132" s="7"/>
    </row>
    <row r="1133" spans="1:12" x14ac:dyDescent="0.25">
      <c r="A1133" s="2" t="s">
        <v>1159</v>
      </c>
      <c r="B1133" s="7">
        <v>6.7363693775877032E-3</v>
      </c>
      <c r="C1133" s="7">
        <v>9.417673834562823E-3</v>
      </c>
      <c r="D1133" s="7">
        <v>-6.3694267515923553E-3</v>
      </c>
      <c r="E1133" s="7">
        <v>-4.6447140381281615E-3</v>
      </c>
      <c r="F1133" s="7">
        <v>1.2134751708511082E-2</v>
      </c>
      <c r="G1133" s="7"/>
      <c r="H1133" s="7">
        <f t="shared" si="28"/>
        <v>-5.3983823309233792E-3</v>
      </c>
      <c r="I1133" s="7">
        <f t="shared" si="28"/>
        <v>-2.7170778739482593E-3</v>
      </c>
      <c r="J1133" s="7">
        <f t="shared" si="28"/>
        <v>-1.8504178460103438E-2</v>
      </c>
      <c r="K1133" s="7">
        <f t="shared" si="28"/>
        <v>-1.6779465746639244E-2</v>
      </c>
      <c r="L1133" s="7"/>
    </row>
    <row r="1134" spans="1:12" x14ac:dyDescent="0.25">
      <c r="A1134" s="2" t="s">
        <v>1160</v>
      </c>
      <c r="B1134" s="7">
        <v>1.6839100963253584E-2</v>
      </c>
      <c r="C1134" s="7">
        <v>7.9101408005062268E-3</v>
      </c>
      <c r="D1134" s="7">
        <v>1.9480519480519431E-2</v>
      </c>
      <c r="E1134" s="7">
        <v>1.1358059314309887E-2</v>
      </c>
      <c r="F1134" s="7">
        <v>9.5195662109373025E-3</v>
      </c>
      <c r="G1134" s="7"/>
      <c r="H1134" s="7">
        <f t="shared" si="28"/>
        <v>7.3195347523162813E-3</v>
      </c>
      <c r="I1134" s="7">
        <f t="shared" si="28"/>
        <v>-1.6094254104310757E-3</v>
      </c>
      <c r="J1134" s="7">
        <f t="shared" si="28"/>
        <v>9.960953269582129E-3</v>
      </c>
      <c r="K1134" s="7">
        <f t="shared" si="28"/>
        <v>1.8384931033725849E-3</v>
      </c>
      <c r="L1134" s="7"/>
    </row>
    <row r="1135" spans="1:12" x14ac:dyDescent="0.25">
      <c r="A1135" s="2" t="s">
        <v>1161</v>
      </c>
      <c r="B1135" s="7">
        <v>3.4366721557959057E-3</v>
      </c>
      <c r="C1135" s="7">
        <v>-1.1648815573449989E-2</v>
      </c>
      <c r="D1135" s="7">
        <v>6.5359477124182774E-3</v>
      </c>
      <c r="E1135" s="7">
        <v>-8.6188920553278425E-3</v>
      </c>
      <c r="F1135" s="7">
        <v>-8.1234954896236555E-4</v>
      </c>
      <c r="G1135" s="7"/>
      <c r="H1135" s="7">
        <f t="shared" si="28"/>
        <v>4.2490217047582712E-3</v>
      </c>
      <c r="I1135" s="7">
        <f t="shared" si="28"/>
        <v>-1.0836466024487623E-2</v>
      </c>
      <c r="J1135" s="7">
        <f t="shared" si="28"/>
        <v>7.348297261380643E-3</v>
      </c>
      <c r="K1135" s="7">
        <f t="shared" si="28"/>
        <v>-7.806542506365477E-3</v>
      </c>
      <c r="L1135" s="7"/>
    </row>
    <row r="1136" spans="1:12" x14ac:dyDescent="0.25">
      <c r="A1136" s="2" t="s">
        <v>215</v>
      </c>
      <c r="B1136" s="7">
        <v>-2.1370515695067316E-2</v>
      </c>
      <c r="C1136" s="7">
        <v>-5.2881250486040976E-3</v>
      </c>
      <c r="D1136" s="7">
        <v>-6.7073170731707266E-2</v>
      </c>
      <c r="E1136" s="7">
        <v>-5.348684210526311E-2</v>
      </c>
      <c r="F1136" s="7">
        <v>-1.6977254629493954E-2</v>
      </c>
      <c r="G1136" s="7"/>
      <c r="H1136" s="7">
        <f t="shared" si="28"/>
        <v>-4.3932610655733617E-3</v>
      </c>
      <c r="I1136" s="7">
        <f t="shared" si="28"/>
        <v>1.1689129580889857E-2</v>
      </c>
      <c r="J1136" s="7">
        <f t="shared" si="28"/>
        <v>-5.0095916102213311E-2</v>
      </c>
      <c r="K1136" s="7">
        <f t="shared" si="28"/>
        <v>-3.6509587475769156E-2</v>
      </c>
      <c r="L1136" s="7"/>
    </row>
    <row r="1137" spans="1:12" x14ac:dyDescent="0.25">
      <c r="A1137" s="2" t="s">
        <v>1162</v>
      </c>
      <c r="B1137" s="7">
        <v>-1.8296877149539092E-2</v>
      </c>
      <c r="C1137" s="7">
        <v>-6.4132282491112802E-3</v>
      </c>
      <c r="D1137" s="7">
        <v>2.4999999999999911E-2</v>
      </c>
      <c r="E1137" s="7">
        <v>2.4258760107816579E-2</v>
      </c>
      <c r="F1137" s="7">
        <v>-9.1109248393406173E-3</v>
      </c>
      <c r="G1137" s="7"/>
      <c r="H1137" s="7">
        <f t="shared" si="28"/>
        <v>-9.1859523101984752E-3</v>
      </c>
      <c r="I1137" s="7">
        <f t="shared" si="28"/>
        <v>2.6976965902293371E-3</v>
      </c>
      <c r="J1137" s="7">
        <f t="shared" si="28"/>
        <v>3.4110924839340528E-2</v>
      </c>
      <c r="K1137" s="7">
        <f t="shared" si="28"/>
        <v>3.3369684947157197E-2</v>
      </c>
      <c r="L1137" s="7"/>
    </row>
    <row r="1138" spans="1:12" x14ac:dyDescent="0.25">
      <c r="A1138" s="2" t="s">
        <v>1163</v>
      </c>
      <c r="B1138" s="7">
        <v>-1.6481252575196725E-3</v>
      </c>
      <c r="C1138" s="7">
        <v>-8.2758620689655782E-3</v>
      </c>
      <c r="D1138" s="7">
        <v>-3.6144578313252906E-2</v>
      </c>
      <c r="E1138" s="7">
        <v>-1.0138740661686074E-2</v>
      </c>
      <c r="F1138" s="7">
        <v>-1.5510969268194286E-3</v>
      </c>
      <c r="G1138" s="7"/>
      <c r="H1138" s="7">
        <f t="shared" si="28"/>
        <v>-9.702833070024397E-5</v>
      </c>
      <c r="I1138" s="7">
        <f t="shared" si="28"/>
        <v>-6.7247651421461496E-3</v>
      </c>
      <c r="J1138" s="7">
        <f t="shared" si="28"/>
        <v>-3.4593481386433478E-2</v>
      </c>
      <c r="K1138" s="7">
        <f t="shared" si="28"/>
        <v>-8.5876437348666457E-3</v>
      </c>
      <c r="L1138" s="7"/>
    </row>
    <row r="1139" spans="1:12" x14ac:dyDescent="0.25">
      <c r="A1139" s="2" t="s">
        <v>1164</v>
      </c>
      <c r="B1139" s="7">
        <v>6.1493816071305218E-3</v>
      </c>
      <c r="C1139" s="7">
        <v>9.6711798839459462E-3</v>
      </c>
      <c r="D1139" s="7">
        <v>4.4025157232704393E-2</v>
      </c>
      <c r="E1139" s="7">
        <v>-1.4267867709908733E-2</v>
      </c>
      <c r="F1139" s="7">
        <v>8.4739086888510062E-3</v>
      </c>
      <c r="G1139" s="7"/>
      <c r="H1139" s="7">
        <f t="shared" si="28"/>
        <v>-2.3245270817204844E-3</v>
      </c>
      <c r="I1139" s="7">
        <f t="shared" si="28"/>
        <v>1.19727119509494E-3</v>
      </c>
      <c r="J1139" s="7">
        <f t="shared" si="28"/>
        <v>3.5551248543853387E-2</v>
      </c>
      <c r="K1139" s="7">
        <f t="shared" si="28"/>
        <v>-2.2741776398759739E-2</v>
      </c>
      <c r="L1139" s="7"/>
    </row>
    <row r="1140" spans="1:12" x14ac:dyDescent="0.25">
      <c r="A1140" s="2" t="s">
        <v>1165</v>
      </c>
      <c r="B1140" s="7">
        <v>-9.5805105043454963E-3</v>
      </c>
      <c r="C1140" s="7">
        <v>-1.5163060042669985E-2</v>
      </c>
      <c r="D1140" s="7">
        <v>-3.0487804878048697E-2</v>
      </c>
      <c r="E1140" s="7">
        <v>-3.1828887898656788E-2</v>
      </c>
      <c r="F1140" s="7">
        <v>-5.7465991456183696E-3</v>
      </c>
      <c r="G1140" s="7"/>
      <c r="H1140" s="7">
        <f t="shared" si="28"/>
        <v>-3.8339113587271267E-3</v>
      </c>
      <c r="I1140" s="7">
        <f t="shared" si="28"/>
        <v>-9.416460897051615E-3</v>
      </c>
      <c r="J1140" s="7">
        <f t="shared" si="28"/>
        <v>-2.4741205732430327E-2</v>
      </c>
      <c r="K1140" s="7">
        <f t="shared" si="28"/>
        <v>-2.6082288753038418E-2</v>
      </c>
      <c r="L1140" s="7"/>
    </row>
    <row r="1141" spans="1:12" x14ac:dyDescent="0.25">
      <c r="A1141" s="2" t="s">
        <v>216</v>
      </c>
      <c r="B1141" s="7">
        <v>3.915910964550573E-3</v>
      </c>
      <c r="C1141" s="7">
        <v>3.6708473539310837E-3</v>
      </c>
      <c r="D1141" s="7">
        <v>6.1349693251533388E-3</v>
      </c>
      <c r="E1141" s="7">
        <v>-1.5973440240541148E-2</v>
      </c>
      <c r="F1141" s="7">
        <v>2.2765095613401787E-3</v>
      </c>
      <c r="G1141" s="7"/>
      <c r="H1141" s="7">
        <f t="shared" si="28"/>
        <v>1.6394014032103943E-3</v>
      </c>
      <c r="I1141" s="7">
        <f t="shared" si="28"/>
        <v>1.3943377925909051E-3</v>
      </c>
      <c r="J1141" s="7">
        <f t="shared" si="28"/>
        <v>3.8584597638131601E-3</v>
      </c>
      <c r="K1141" s="7">
        <f t="shared" si="28"/>
        <v>-1.8249949801881327E-2</v>
      </c>
      <c r="L1141" s="7"/>
    </row>
    <row r="1142" spans="1:12" x14ac:dyDescent="0.25">
      <c r="A1142" s="2" t="s">
        <v>1166</v>
      </c>
      <c r="B1142" s="7">
        <v>-3.3080908728577052E-2</v>
      </c>
      <c r="C1142" s="7">
        <v>-6.4584757997114828E-3</v>
      </c>
      <c r="D1142" s="7">
        <v>-1.8072289156626509E-2</v>
      </c>
      <c r="E1142" s="7">
        <v>4.65701699181853E-3</v>
      </c>
      <c r="F1142" s="7">
        <v>-7.7226435922087555E-3</v>
      </c>
      <c r="G1142" s="7"/>
      <c r="H1142" s="7">
        <f t="shared" si="28"/>
        <v>-2.5358265136368296E-2</v>
      </c>
      <c r="I1142" s="7">
        <f t="shared" si="28"/>
        <v>1.2641677924972727E-3</v>
      </c>
      <c r="J1142" s="7">
        <f t="shared" si="28"/>
        <v>-1.0349645564417753E-2</v>
      </c>
      <c r="K1142" s="7">
        <f t="shared" si="28"/>
        <v>1.2379660584027286E-2</v>
      </c>
      <c r="L1142" s="7"/>
    </row>
    <row r="1143" spans="1:12" x14ac:dyDescent="0.25">
      <c r="A1143" s="2" t="s">
        <v>1167</v>
      </c>
      <c r="B1143" s="7">
        <v>-6.7300079176564331E-3</v>
      </c>
      <c r="C1143" s="7">
        <v>-1.1343149038461453E-2</v>
      </c>
      <c r="D1143" s="7">
        <v>6.0606060606060996E-3</v>
      </c>
      <c r="E1143" s="7">
        <v>-1.9861830742659792E-2</v>
      </c>
      <c r="F1143" s="7">
        <v>-4.6055998245485563E-3</v>
      </c>
      <c r="G1143" s="7"/>
      <c r="H1143" s="7">
        <f t="shared" si="28"/>
        <v>-2.1244080931078768E-3</v>
      </c>
      <c r="I1143" s="7">
        <f t="shared" si="28"/>
        <v>-6.7375492139128967E-3</v>
      </c>
      <c r="J1143" s="7">
        <f t="shared" si="28"/>
        <v>1.0666205885154656E-2</v>
      </c>
      <c r="K1143" s="7">
        <f t="shared" si="28"/>
        <v>-1.5256230918111235E-2</v>
      </c>
      <c r="L1143" s="7"/>
    </row>
    <row r="1144" spans="1:12" x14ac:dyDescent="0.25">
      <c r="A1144" s="2" t="s">
        <v>1168</v>
      </c>
      <c r="B1144" s="7">
        <v>-1.0058785107772694E-2</v>
      </c>
      <c r="C1144" s="7">
        <v>1.2396379952848147E-2</v>
      </c>
      <c r="D1144" s="7">
        <v>-3.5087719298245612E-2</v>
      </c>
      <c r="E1144" s="7">
        <v>-2.5428313796212798E-2</v>
      </c>
      <c r="F1144" s="7">
        <v>-1.3185753191903293E-3</v>
      </c>
      <c r="G1144" s="7"/>
      <c r="H1144" s="7">
        <f t="shared" si="28"/>
        <v>-8.7402097885823649E-3</v>
      </c>
      <c r="I1144" s="7">
        <f t="shared" si="28"/>
        <v>1.3714955272038476E-2</v>
      </c>
      <c r="J1144" s="7">
        <f t="shared" si="28"/>
        <v>-3.3769143979055283E-2</v>
      </c>
      <c r="K1144" s="7">
        <f t="shared" si="28"/>
        <v>-2.4109738477022469E-2</v>
      </c>
      <c r="L1144" s="7"/>
    </row>
    <row r="1145" spans="1:12" x14ac:dyDescent="0.25">
      <c r="A1145" s="2" t="s">
        <v>1169</v>
      </c>
      <c r="B1145" s="7">
        <v>1.5454002785699972E-2</v>
      </c>
      <c r="C1145" s="7">
        <v>-4.5306033543890067E-2</v>
      </c>
      <c r="D1145" s="7">
        <v>-2.8409090909090939E-2</v>
      </c>
      <c r="E1145" s="7">
        <v>2.8566128733073626E-2</v>
      </c>
      <c r="F1145" s="7">
        <v>-3.3954884101398131E-3</v>
      </c>
      <c r="G1145" s="7"/>
      <c r="H1145" s="7">
        <f t="shared" si="28"/>
        <v>1.8849491195839785E-2</v>
      </c>
      <c r="I1145" s="7">
        <f t="shared" si="28"/>
        <v>-4.1910545133750254E-2</v>
      </c>
      <c r="J1145" s="7">
        <f t="shared" si="28"/>
        <v>-2.5013602498951126E-2</v>
      </c>
      <c r="K1145" s="7">
        <f t="shared" si="28"/>
        <v>3.1961617143213439E-2</v>
      </c>
      <c r="L1145" s="7"/>
    </row>
    <row r="1146" spans="1:12" x14ac:dyDescent="0.25">
      <c r="A1146" s="2" t="s">
        <v>1170</v>
      </c>
      <c r="B1146" s="7">
        <v>4.2629720908546886E-3</v>
      </c>
      <c r="C1146" s="7">
        <v>-2.5347624565470461E-3</v>
      </c>
      <c r="D1146" s="7">
        <v>-2.2222222222222254E-2</v>
      </c>
      <c r="E1146" s="7">
        <v>-9.91735537190086E-3</v>
      </c>
      <c r="F1146" s="7">
        <v>-3.3502683520858501E-4</v>
      </c>
      <c r="G1146" s="7"/>
      <c r="H1146" s="7">
        <f t="shared" si="28"/>
        <v>4.5979989260632737E-3</v>
      </c>
      <c r="I1146" s="7">
        <f t="shared" si="28"/>
        <v>-2.1997356213384611E-3</v>
      </c>
      <c r="J1146" s="7">
        <f t="shared" si="28"/>
        <v>-2.1887195387013669E-2</v>
      </c>
      <c r="K1146" s="7">
        <f t="shared" si="28"/>
        <v>-9.582328536692275E-3</v>
      </c>
      <c r="L1146" s="7"/>
    </row>
    <row r="1147" spans="1:12" x14ac:dyDescent="0.25">
      <c r="A1147" s="2" t="s">
        <v>1171</v>
      </c>
      <c r="B1147" s="7">
        <v>7.4486646087772446E-3</v>
      </c>
      <c r="C1147" s="7">
        <v>7.4419962060412459E-3</v>
      </c>
      <c r="D1147" s="7">
        <v>3.4482758620689724E-2</v>
      </c>
      <c r="E1147" s="7">
        <v>-7.3529411764706731E-3</v>
      </c>
      <c r="F1147" s="7">
        <v>2.8425606033477546E-3</v>
      </c>
      <c r="G1147" s="7"/>
      <c r="H1147" s="7">
        <f t="shared" si="28"/>
        <v>4.6061040054294899E-3</v>
      </c>
      <c r="I1147" s="7">
        <f t="shared" si="28"/>
        <v>4.5994356026934913E-3</v>
      </c>
      <c r="J1147" s="7">
        <f t="shared" si="28"/>
        <v>3.1640198017341969E-2</v>
      </c>
      <c r="K1147" s="7">
        <f t="shared" si="28"/>
        <v>-1.0195501779818428E-2</v>
      </c>
      <c r="L1147" s="7"/>
    </row>
    <row r="1148" spans="1:12" x14ac:dyDescent="0.25">
      <c r="A1148" s="2" t="s">
        <v>1172</v>
      </c>
      <c r="B1148" s="7">
        <v>4.5163464779238716E-3</v>
      </c>
      <c r="C1148" s="7">
        <v>-6.6676329902883857E-3</v>
      </c>
      <c r="D1148" s="7">
        <v>6.0975609756097615E-2</v>
      </c>
      <c r="E1148" s="7">
        <v>3.7644239863799722E-2</v>
      </c>
      <c r="F1148" s="7">
        <v>3.117620525883158E-4</v>
      </c>
      <c r="G1148" s="7"/>
      <c r="H1148" s="7">
        <f t="shared" si="28"/>
        <v>4.2045844253355558E-3</v>
      </c>
      <c r="I1148" s="7">
        <f t="shared" si="28"/>
        <v>-6.9793950428767015E-3</v>
      </c>
      <c r="J1148" s="7">
        <f t="shared" si="28"/>
        <v>6.0663847703509299E-2</v>
      </c>
      <c r="K1148" s="7">
        <f t="shared" si="28"/>
        <v>3.7332477811211406E-2</v>
      </c>
      <c r="L1148" s="7"/>
    </row>
    <row r="1149" spans="1:12" x14ac:dyDescent="0.25">
      <c r="A1149" s="2" t="s">
        <v>1173</v>
      </c>
      <c r="B1149" s="7">
        <v>-8.4881700307446462E-3</v>
      </c>
      <c r="C1149" s="7">
        <v>-7.2667098352401371E-3</v>
      </c>
      <c r="D1149" s="7">
        <v>5.12820512820511E-2</v>
      </c>
      <c r="E1149" s="7">
        <v>2.8936611950950653E-2</v>
      </c>
      <c r="F1149" s="7">
        <v>-1.349146239944865E-3</v>
      </c>
      <c r="G1149" s="7"/>
      <c r="H1149" s="7">
        <f t="shared" si="28"/>
        <v>-7.1390237907997811E-3</v>
      </c>
      <c r="I1149" s="7">
        <f t="shared" si="28"/>
        <v>-5.9175635952952721E-3</v>
      </c>
      <c r="J1149" s="7">
        <f t="shared" si="28"/>
        <v>5.2631197521995965E-2</v>
      </c>
      <c r="K1149" s="7">
        <f t="shared" si="28"/>
        <v>3.0285758190895518E-2</v>
      </c>
      <c r="L1149" s="7"/>
    </row>
    <row r="1150" spans="1:12" x14ac:dyDescent="0.25">
      <c r="A1150" s="2" t="s">
        <v>217</v>
      </c>
      <c r="B1150" s="7">
        <v>3.044077134986245E-2</v>
      </c>
      <c r="C1150" s="7">
        <v>5.7163531114328148E-3</v>
      </c>
      <c r="D1150" s="7">
        <v>-3.1055900621118071E-2</v>
      </c>
      <c r="E1150" s="7">
        <v>1.7695609111918253E-2</v>
      </c>
      <c r="F1150" s="7">
        <v>4.30658828173347E-3</v>
      </c>
      <c r="G1150" s="7"/>
      <c r="H1150" s="7">
        <f t="shared" si="28"/>
        <v>2.613418306812898E-2</v>
      </c>
      <c r="I1150" s="7">
        <f t="shared" si="28"/>
        <v>1.4097648296993448E-3</v>
      </c>
      <c r="J1150" s="7">
        <f t="shared" si="28"/>
        <v>-3.5362488902851541E-2</v>
      </c>
      <c r="K1150" s="7">
        <f t="shared" si="28"/>
        <v>1.3389020830184784E-2</v>
      </c>
      <c r="L1150" s="7"/>
    </row>
    <row r="1151" spans="1:12" x14ac:dyDescent="0.25">
      <c r="A1151" s="2" t="s">
        <v>1174</v>
      </c>
      <c r="B1151" s="7">
        <v>7.2142064372917591E-3</v>
      </c>
      <c r="C1151" s="7">
        <v>-1.372931570200131E-3</v>
      </c>
      <c r="D1151" s="7">
        <v>2.5477707006369421E-2</v>
      </c>
      <c r="E1151" s="7">
        <v>-3.4920028037978779E-2</v>
      </c>
      <c r="F1151" s="7">
        <v>8.8076062639821373E-3</v>
      </c>
      <c r="G1151" s="7"/>
      <c r="H1151" s="7">
        <f t="shared" si="28"/>
        <v>-1.5933998266903782E-3</v>
      </c>
      <c r="I1151" s="7">
        <f t="shared" si="28"/>
        <v>-1.0180537834182268E-2</v>
      </c>
      <c r="J1151" s="7">
        <f t="shared" si="28"/>
        <v>1.6670100742387284E-2</v>
      </c>
      <c r="K1151" s="7">
        <f t="shared" si="28"/>
        <v>-4.3727634301960916E-2</v>
      </c>
      <c r="L1151" s="7"/>
    </row>
    <row r="1152" spans="1:12" x14ac:dyDescent="0.25">
      <c r="A1152" s="2" t="s">
        <v>1175</v>
      </c>
      <c r="B1152" s="7">
        <v>-5.5187637969095205E-3</v>
      </c>
      <c r="C1152" s="7">
        <v>5.0838840874427582E-3</v>
      </c>
      <c r="D1152" s="7">
        <v>-4.268292682926822E-2</v>
      </c>
      <c r="E1152" s="7">
        <v>-2.2790958341117107E-2</v>
      </c>
      <c r="F1152" s="7">
        <v>-5.8249317755698637E-3</v>
      </c>
      <c r="G1152" s="7"/>
      <c r="H1152" s="7">
        <f t="shared" si="28"/>
        <v>3.0616797866034329E-4</v>
      </c>
      <c r="I1152" s="7">
        <f t="shared" si="28"/>
        <v>1.0908815863012622E-2</v>
      </c>
      <c r="J1152" s="7">
        <f t="shared" si="28"/>
        <v>-3.6857995053698356E-2</v>
      </c>
      <c r="K1152" s="7">
        <f t="shared" si="28"/>
        <v>-1.6966026565547243E-2</v>
      </c>
      <c r="L1152" s="7"/>
    </row>
    <row r="1153" spans="1:12" x14ac:dyDescent="0.25">
      <c r="A1153" s="2" t="s">
        <v>1176</v>
      </c>
      <c r="B1153" s="7">
        <v>-8.4815321477427208E-3</v>
      </c>
      <c r="C1153" s="7">
        <v>-2.1740705848251052E-3</v>
      </c>
      <c r="D1153" s="7">
        <v>3.1446540880503138E-2</v>
      </c>
      <c r="E1153" s="7">
        <v>-1.5147798356433206E-2</v>
      </c>
      <c r="F1153" s="7">
        <v>2.2201269217136943E-3</v>
      </c>
      <c r="G1153" s="7"/>
      <c r="H1153" s="7">
        <f t="shared" si="28"/>
        <v>-1.0701659069456415E-2</v>
      </c>
      <c r="I1153" s="7">
        <f t="shared" si="28"/>
        <v>-4.3941975065387995E-3</v>
      </c>
      <c r="J1153" s="7">
        <f t="shared" si="28"/>
        <v>2.9226413958789443E-2</v>
      </c>
      <c r="K1153" s="7">
        <f t="shared" si="28"/>
        <v>-1.7367925278146901E-2</v>
      </c>
      <c r="L1153" s="7"/>
    </row>
    <row r="1154" spans="1:12" x14ac:dyDescent="0.25">
      <c r="A1154" s="2" t="s">
        <v>1177</v>
      </c>
      <c r="B1154" s="7">
        <v>-5.4689636313931533E-4</v>
      </c>
      <c r="C1154" s="7">
        <v>3.6247643903153381E-4</v>
      </c>
      <c r="D1154" s="7">
        <v>6.3291139240506666E-3</v>
      </c>
      <c r="E1154" s="7">
        <v>6.6030334728033324E-2</v>
      </c>
      <c r="F1154" s="7">
        <v>1.4956926284677152E-3</v>
      </c>
      <c r="G1154" s="7"/>
      <c r="H1154" s="7">
        <f t="shared" si="28"/>
        <v>-2.0425889916070306E-3</v>
      </c>
      <c r="I1154" s="7">
        <f t="shared" si="28"/>
        <v>-1.1332161894361814E-3</v>
      </c>
      <c r="J1154" s="7">
        <f t="shared" si="28"/>
        <v>4.8334212955829514E-3</v>
      </c>
      <c r="K1154" s="7">
        <f t="shared" ref="K1154:K1217" si="29">E1154-$F1154</f>
        <v>6.4534642099565609E-2</v>
      </c>
      <c r="L1154" s="7"/>
    </row>
    <row r="1155" spans="1:12" x14ac:dyDescent="0.25">
      <c r="A1155" s="2" t="s">
        <v>218</v>
      </c>
      <c r="B1155" s="7">
        <v>1.0220994475138134E-2</v>
      </c>
      <c r="C1155" s="7">
        <v>2.6895398706112683E-3</v>
      </c>
      <c r="D1155" s="7">
        <v>4.635761589403975E-2</v>
      </c>
      <c r="E1155" s="7">
        <v>1.966535564295735E-2</v>
      </c>
      <c r="F1155" s="7">
        <v>8.5238209952562816E-3</v>
      </c>
      <c r="G1155" s="7"/>
      <c r="H1155" s="7">
        <f t="shared" ref="H1155:K1218" si="30">B1155-$F1155</f>
        <v>1.6971734798818527E-3</v>
      </c>
      <c r="I1155" s="7">
        <f t="shared" si="30"/>
        <v>-5.8342811246450133E-3</v>
      </c>
      <c r="J1155" s="7">
        <f t="shared" si="30"/>
        <v>3.7833794898783468E-2</v>
      </c>
      <c r="K1155" s="7">
        <f t="shared" si="29"/>
        <v>1.1141534647701068E-2</v>
      </c>
      <c r="L1155" s="7"/>
    </row>
    <row r="1156" spans="1:12" x14ac:dyDescent="0.25">
      <c r="A1156" s="2" t="s">
        <v>1178</v>
      </c>
      <c r="B1156" s="7">
        <v>1.0185572764057627E-2</v>
      </c>
      <c r="C1156" s="7">
        <v>1.4559219625827069E-3</v>
      </c>
      <c r="D1156" s="7">
        <v>4.1379310344827669E-2</v>
      </c>
      <c r="E1156" s="7">
        <v>-1.613432150587002E-2</v>
      </c>
      <c r="F1156" s="7">
        <v>8.1415406963547543E-3</v>
      </c>
      <c r="G1156" s="7"/>
      <c r="H1156" s="7">
        <f t="shared" si="30"/>
        <v>2.0440320677028723E-3</v>
      </c>
      <c r="I1156" s="7">
        <f t="shared" si="30"/>
        <v>-6.6856187337720474E-3</v>
      </c>
      <c r="J1156" s="7">
        <f t="shared" si="30"/>
        <v>3.3237769648472915E-2</v>
      </c>
      <c r="K1156" s="7">
        <f t="shared" si="29"/>
        <v>-2.4275862202224774E-2</v>
      </c>
      <c r="L1156" s="7"/>
    </row>
    <row r="1157" spans="1:12" x14ac:dyDescent="0.25">
      <c r="A1157" s="2" t="s">
        <v>1179</v>
      </c>
      <c r="B1157" s="7">
        <v>2.3075309418922885E-3</v>
      </c>
      <c r="C1157" s="7">
        <v>-5.8619192357793892E-3</v>
      </c>
      <c r="D1157" s="7">
        <v>-1.3605442176870763E-2</v>
      </c>
      <c r="E1157" s="7">
        <v>-6.8487292277614853E-2</v>
      </c>
      <c r="F1157" s="7">
        <v>1.2567410636163956E-3</v>
      </c>
      <c r="G1157" s="7"/>
      <c r="H1157" s="7">
        <f t="shared" si="30"/>
        <v>1.0507898782758929E-3</v>
      </c>
      <c r="I1157" s="7">
        <f t="shared" si="30"/>
        <v>-7.1186602993957848E-3</v>
      </c>
      <c r="J1157" s="7">
        <f t="shared" si="30"/>
        <v>-1.4862183240487159E-2</v>
      </c>
      <c r="K1157" s="7">
        <f t="shared" si="29"/>
        <v>-6.9744033341231249E-2</v>
      </c>
      <c r="L1157" s="7"/>
    </row>
    <row r="1158" spans="1:12" x14ac:dyDescent="0.25">
      <c r="A1158" s="2" t="s">
        <v>1180</v>
      </c>
      <c r="B1158" s="7">
        <v>-2.5485519591141426E-2</v>
      </c>
      <c r="C1158" s="7">
        <v>-1.5250855188141288E-2</v>
      </c>
      <c r="D1158" s="7">
        <v>-2.0000000000000018E-2</v>
      </c>
      <c r="E1158" s="7">
        <v>-7.9398751439481163E-3</v>
      </c>
      <c r="F1158" s="7">
        <v>-1.0748457761550978E-2</v>
      </c>
      <c r="G1158" s="7"/>
      <c r="H1158" s="7">
        <f t="shared" si="30"/>
        <v>-1.4737061829590448E-2</v>
      </c>
      <c r="I1158" s="7">
        <f t="shared" si="30"/>
        <v>-4.5023974265903099E-3</v>
      </c>
      <c r="J1158" s="7">
        <f t="shared" si="30"/>
        <v>-9.2515422384490398E-3</v>
      </c>
      <c r="K1158" s="7">
        <f t="shared" si="29"/>
        <v>2.8085826176028617E-3</v>
      </c>
      <c r="L1158" s="7"/>
    </row>
    <row r="1159" spans="1:12" x14ac:dyDescent="0.25">
      <c r="A1159" s="2" t="s">
        <v>1181</v>
      </c>
      <c r="B1159" s="7">
        <v>-6.1628064472436517E-3</v>
      </c>
      <c r="C1159" s="7">
        <v>-1.363700267116541E-2</v>
      </c>
      <c r="D1159" s="7">
        <v>1.3513513513513598E-2</v>
      </c>
      <c r="E1159" s="7">
        <v>-4.9158598432457401E-2</v>
      </c>
      <c r="F1159" s="7">
        <v>-7.0607249129965854E-3</v>
      </c>
      <c r="G1159" s="7"/>
      <c r="H1159" s="7">
        <f t="shared" si="30"/>
        <v>8.9791846575293377E-4</v>
      </c>
      <c r="I1159" s="7">
        <f t="shared" si="30"/>
        <v>-6.5762777581688248E-3</v>
      </c>
      <c r="J1159" s="7">
        <f t="shared" si="30"/>
        <v>2.0574238426510183E-2</v>
      </c>
      <c r="K1159" s="7">
        <f t="shared" si="29"/>
        <v>-4.2097873519460816E-2</v>
      </c>
      <c r="L1159" s="7"/>
    </row>
    <row r="1160" spans="1:12" x14ac:dyDescent="0.25">
      <c r="A1160" s="2" t="s">
        <v>219</v>
      </c>
      <c r="B1160" s="7">
        <v>1.3521861486718301E-2</v>
      </c>
      <c r="C1160" s="7">
        <v>8.650028360748685E-3</v>
      </c>
      <c r="D1160" s="7">
        <v>-3.8961038961038974E-2</v>
      </c>
      <c r="E1160" s="7">
        <v>-3.131803717970183E-2</v>
      </c>
      <c r="F1160" s="7">
        <v>2.6208594449417255E-3</v>
      </c>
      <c r="G1160" s="7"/>
      <c r="H1160" s="7">
        <f t="shared" si="30"/>
        <v>1.0901002041776575E-2</v>
      </c>
      <c r="I1160" s="7">
        <f t="shared" si="30"/>
        <v>6.0291689158069595E-3</v>
      </c>
      <c r="J1160" s="7">
        <f t="shared" si="30"/>
        <v>-4.15818984059807E-2</v>
      </c>
      <c r="K1160" s="7">
        <f t="shared" si="29"/>
        <v>-3.3938896624643555E-2</v>
      </c>
      <c r="L1160" s="7"/>
    </row>
    <row r="1161" spans="1:12" x14ac:dyDescent="0.25">
      <c r="A1161" s="2" t="s">
        <v>1182</v>
      </c>
      <c r="B1161" s="7">
        <v>1.4434973879571267E-3</v>
      </c>
      <c r="C1161" s="7">
        <v>-4.2360914995763777E-3</v>
      </c>
      <c r="D1161" s="7">
        <v>-1.2820512820512886E-2</v>
      </c>
      <c r="E1161" s="7">
        <v>-1.5877376112515162E-2</v>
      </c>
      <c r="F1161" s="7">
        <v>1.6073241975147479E-3</v>
      </c>
      <c r="G1161" s="7"/>
      <c r="H1161" s="7">
        <f t="shared" si="30"/>
        <v>-1.6382680955762119E-4</v>
      </c>
      <c r="I1161" s="7">
        <f t="shared" si="30"/>
        <v>-5.8434156970911255E-3</v>
      </c>
      <c r="J1161" s="7">
        <f t="shared" si="30"/>
        <v>-1.4427837018027634E-2</v>
      </c>
      <c r="K1161" s="7">
        <f t="shared" si="29"/>
        <v>-1.748470031002991E-2</v>
      </c>
      <c r="L1161" s="7"/>
    </row>
    <row r="1162" spans="1:12" x14ac:dyDescent="0.25">
      <c r="A1162" s="2" t="s">
        <v>1183</v>
      </c>
      <c r="B1162" s="7">
        <v>2.0769014875105185E-2</v>
      </c>
      <c r="C1162" s="7">
        <v>-7.0551714406674737E-4</v>
      </c>
      <c r="D1162" s="7">
        <v>-4.2944785276073483E-2</v>
      </c>
      <c r="E1162" s="7">
        <v>-1.6427104722792518E-2</v>
      </c>
      <c r="F1162" s="7">
        <v>4.1463980136908773E-3</v>
      </c>
      <c r="G1162" s="7"/>
      <c r="H1162" s="7">
        <f t="shared" si="30"/>
        <v>1.6622616861414308E-2</v>
      </c>
      <c r="I1162" s="7">
        <f t="shared" si="30"/>
        <v>-4.8519151577576247E-3</v>
      </c>
      <c r="J1162" s="7">
        <f t="shared" si="30"/>
        <v>-4.709118328976436E-2</v>
      </c>
      <c r="K1162" s="7">
        <f t="shared" si="29"/>
        <v>-2.0573502736483396E-2</v>
      </c>
      <c r="L1162" s="7"/>
    </row>
    <row r="1163" spans="1:12" x14ac:dyDescent="0.25">
      <c r="A1163" s="2" t="s">
        <v>1184</v>
      </c>
      <c r="B1163" s="7">
        <v>1.7572221831727575E-3</v>
      </c>
      <c r="C1163" s="7">
        <v>1.1705924339757479E-2</v>
      </c>
      <c r="D1163" s="7">
        <v>0</v>
      </c>
      <c r="E1163" s="7">
        <v>-4.4114482461803384E-3</v>
      </c>
      <c r="F1163" s="7">
        <v>1.2757085704626636E-3</v>
      </c>
      <c r="G1163" s="7"/>
      <c r="H1163" s="7">
        <f t="shared" si="30"/>
        <v>4.8151361271009385E-4</v>
      </c>
      <c r="I1163" s="7">
        <f t="shared" si="30"/>
        <v>1.0430215769294815E-2</v>
      </c>
      <c r="J1163" s="7">
        <f t="shared" si="30"/>
        <v>-1.2757085704626636E-3</v>
      </c>
      <c r="K1163" s="7">
        <f t="shared" si="29"/>
        <v>-5.687156816643002E-3</v>
      </c>
      <c r="L1163" s="7"/>
    </row>
    <row r="1164" spans="1:12" x14ac:dyDescent="0.25">
      <c r="A1164" s="2" t="s">
        <v>1185</v>
      </c>
      <c r="B1164" s="7">
        <v>-3.3625218914185018E-3</v>
      </c>
      <c r="C1164" s="7">
        <v>9.2205734044086274E-3</v>
      </c>
      <c r="D1164" s="7">
        <v>2.5157232704402288E-2</v>
      </c>
      <c r="E1164" s="7">
        <v>2.4267917812650364E-3</v>
      </c>
      <c r="F1164" s="7">
        <v>9.9270138865370505E-4</v>
      </c>
      <c r="G1164" s="7"/>
      <c r="H1164" s="7">
        <f t="shared" si="30"/>
        <v>-4.3552232800722068E-3</v>
      </c>
      <c r="I1164" s="7">
        <f t="shared" si="30"/>
        <v>8.2278720157549223E-3</v>
      </c>
      <c r="J1164" s="7">
        <f t="shared" si="30"/>
        <v>2.4164531315748583E-2</v>
      </c>
      <c r="K1164" s="7">
        <f t="shared" si="29"/>
        <v>1.4340903926113313E-3</v>
      </c>
      <c r="L1164" s="7"/>
    </row>
    <row r="1165" spans="1:12" x14ac:dyDescent="0.25">
      <c r="A1165" s="2" t="s">
        <v>220</v>
      </c>
      <c r="B1165" s="7">
        <v>-3.5014005602251874E-4</v>
      </c>
      <c r="C1165" s="7">
        <v>-3.5888601780074136E-3</v>
      </c>
      <c r="D1165" s="7">
        <v>-4.7904191616766401E-2</v>
      </c>
      <c r="E1165" s="7">
        <v>-5.790574231944623E-3</v>
      </c>
      <c r="F1165" s="7">
        <v>-9.3992588785807296E-4</v>
      </c>
      <c r="G1165" s="7"/>
      <c r="H1165" s="7">
        <f t="shared" si="30"/>
        <v>5.8978583183555422E-4</v>
      </c>
      <c r="I1165" s="7">
        <f t="shared" si="30"/>
        <v>-2.6489342901493407E-3</v>
      </c>
      <c r="J1165" s="7">
        <f t="shared" si="30"/>
        <v>-4.6964265728908328E-2</v>
      </c>
      <c r="K1165" s="7">
        <f t="shared" si="29"/>
        <v>-4.85064834408655E-3</v>
      </c>
      <c r="L1165" s="7"/>
    </row>
    <row r="1166" spans="1:12" x14ac:dyDescent="0.25">
      <c r="A1166" s="2" t="s">
        <v>1186</v>
      </c>
      <c r="B1166" s="7">
        <v>-4.7393364928908222E-3</v>
      </c>
      <c r="C1166" s="7">
        <v>1.7256255392579245E-3</v>
      </c>
      <c r="D1166" s="7">
        <v>0</v>
      </c>
      <c r="E1166" s="7">
        <v>-1.4530275811053595E-2</v>
      </c>
      <c r="F1166" s="7">
        <v>1.6752839177258672E-3</v>
      </c>
      <c r="G1166" s="7"/>
      <c r="H1166" s="7">
        <f t="shared" si="30"/>
        <v>-6.4146204106166893E-3</v>
      </c>
      <c r="I1166" s="7">
        <f t="shared" si="30"/>
        <v>5.0341621532057346E-5</v>
      </c>
      <c r="J1166" s="7">
        <f t="shared" si="30"/>
        <v>-1.6752839177258672E-3</v>
      </c>
      <c r="K1166" s="7">
        <f t="shared" si="29"/>
        <v>-1.6205559728779462E-2</v>
      </c>
      <c r="L1166" s="7"/>
    </row>
    <row r="1167" spans="1:12" x14ac:dyDescent="0.25">
      <c r="A1167" s="2" t="s">
        <v>1187</v>
      </c>
      <c r="B1167" s="7">
        <v>7.6724558833785039E-4</v>
      </c>
      <c r="C1167" s="7">
        <v>1.367989056087815E-3</v>
      </c>
      <c r="D1167" s="7">
        <v>-2.3391812865497075E-2</v>
      </c>
      <c r="E1167" s="7">
        <v>-7.0825245265202508E-3</v>
      </c>
      <c r="F1167" s="7">
        <v>6.0054603353427716E-3</v>
      </c>
      <c r="G1167" s="7"/>
      <c r="H1167" s="7">
        <f t="shared" si="30"/>
        <v>-5.2382147470049212E-3</v>
      </c>
      <c r="I1167" s="7">
        <f t="shared" si="30"/>
        <v>-4.6374712792549566E-3</v>
      </c>
      <c r="J1167" s="7">
        <f t="shared" si="30"/>
        <v>-2.9397273200839846E-2</v>
      </c>
      <c r="K1167" s="7">
        <f t="shared" si="29"/>
        <v>-1.3087984861863022E-2</v>
      </c>
      <c r="L1167" s="7"/>
    </row>
    <row r="1168" spans="1:12" x14ac:dyDescent="0.25">
      <c r="A1168" s="2" t="s">
        <v>1188</v>
      </c>
      <c r="B1168" s="7">
        <v>-2.7822216039508074E-3</v>
      </c>
      <c r="C1168" s="7">
        <v>-1.7473118279570099E-2</v>
      </c>
      <c r="D1168" s="7">
        <v>-2.2857142857142909E-2</v>
      </c>
      <c r="E1168" s="7">
        <v>1.6857828754334614E-2</v>
      </c>
      <c r="F1168" s="7">
        <v>-4.6324452030791496E-3</v>
      </c>
      <c r="G1168" s="7"/>
      <c r="H1168" s="7">
        <f t="shared" si="30"/>
        <v>1.8502235991283422E-3</v>
      </c>
      <c r="I1168" s="7">
        <f t="shared" si="30"/>
        <v>-1.2840673076490949E-2</v>
      </c>
      <c r="J1168" s="7">
        <f t="shared" si="30"/>
        <v>-1.822469765406376E-2</v>
      </c>
      <c r="K1168" s="7">
        <f t="shared" si="29"/>
        <v>2.1490273957413764E-2</v>
      </c>
      <c r="L1168" s="7"/>
    </row>
    <row r="1169" spans="1:12" x14ac:dyDescent="0.25">
      <c r="A1169" s="2" t="s">
        <v>1189</v>
      </c>
      <c r="B1169" s="7">
        <v>1.2607409494295174E-2</v>
      </c>
      <c r="C1169" s="7">
        <v>1.7783857729138264E-2</v>
      </c>
      <c r="D1169" s="7">
        <v>-5.6818181818182323E-3</v>
      </c>
      <c r="E1169" s="7">
        <v>-1.3524892116619447E-2</v>
      </c>
      <c r="F1169" s="7">
        <v>8.2034847144849543E-3</v>
      </c>
      <c r="G1169" s="7"/>
      <c r="H1169" s="7">
        <f t="shared" si="30"/>
        <v>4.4039247798102199E-3</v>
      </c>
      <c r="I1169" s="7">
        <f t="shared" si="30"/>
        <v>9.5803730146533095E-3</v>
      </c>
      <c r="J1169" s="7">
        <f t="shared" si="30"/>
        <v>-1.3885302896303187E-2</v>
      </c>
      <c r="K1169" s="7">
        <f t="shared" si="29"/>
        <v>-2.1728376831104401E-2</v>
      </c>
      <c r="L1169" s="7"/>
    </row>
    <row r="1170" spans="1:12" x14ac:dyDescent="0.25">
      <c r="A1170" s="2" t="s">
        <v>221</v>
      </c>
      <c r="B1170" s="7">
        <v>-2.318881315438226E-3</v>
      </c>
      <c r="C1170" s="7">
        <v>-2.0836327058486592E-3</v>
      </c>
      <c r="D1170" s="7">
        <v>-2.2222222222222254E-2</v>
      </c>
      <c r="E1170" s="7">
        <v>2.5084965204725806E-2</v>
      </c>
      <c r="F1170" s="7">
        <v>-1.8428943907755624E-3</v>
      </c>
      <c r="G1170" s="7"/>
      <c r="H1170" s="7">
        <f t="shared" si="30"/>
        <v>-4.7598692466266357E-4</v>
      </c>
      <c r="I1170" s="7">
        <f t="shared" si="30"/>
        <v>-2.4073831507309684E-4</v>
      </c>
      <c r="J1170" s="7">
        <f t="shared" si="30"/>
        <v>-2.0379327831446692E-2</v>
      </c>
      <c r="K1170" s="7">
        <f t="shared" si="29"/>
        <v>2.6927859595501369E-2</v>
      </c>
      <c r="L1170" s="7"/>
    </row>
    <row r="1171" spans="1:12" x14ac:dyDescent="0.25">
      <c r="A1171" s="2" t="s">
        <v>1190</v>
      </c>
      <c r="B1171" s="7">
        <v>1.5483144485888278E-3</v>
      </c>
      <c r="C1171" s="7">
        <v>-1.1482704176833947E-3</v>
      </c>
      <c r="D1171" s="7">
        <v>-1.6393442622950838E-2</v>
      </c>
      <c r="E1171" s="7">
        <v>-1.18869936034115E-2</v>
      </c>
      <c r="F1171" s="7">
        <v>-5.4060169942181657E-3</v>
      </c>
      <c r="G1171" s="7"/>
      <c r="H1171" s="7">
        <f t="shared" si="30"/>
        <v>6.9543314428069936E-3</v>
      </c>
      <c r="I1171" s="7">
        <f t="shared" si="30"/>
        <v>4.2577465765347711E-3</v>
      </c>
      <c r="J1171" s="7">
        <f t="shared" si="30"/>
        <v>-1.0987425628732672E-2</v>
      </c>
      <c r="K1171" s="7">
        <f t="shared" si="29"/>
        <v>-6.4809766091933341E-3</v>
      </c>
      <c r="L1171" s="7"/>
    </row>
    <row r="1172" spans="1:12" x14ac:dyDescent="0.25">
      <c r="A1172" s="2" t="s">
        <v>1191</v>
      </c>
      <c r="B1172" s="7">
        <v>4.5245669848004155E-3</v>
      </c>
      <c r="C1172" s="7">
        <v>-5.7380576674781469E-4</v>
      </c>
      <c r="D1172" s="7">
        <v>1.1049723756906049E-2</v>
      </c>
      <c r="E1172" s="7">
        <v>7.7894171367176579E-3</v>
      </c>
      <c r="F1172" s="7">
        <v>4.2062063699823682E-3</v>
      </c>
      <c r="G1172" s="7"/>
      <c r="H1172" s="7">
        <f t="shared" si="30"/>
        <v>3.1836061481804734E-4</v>
      </c>
      <c r="I1172" s="7">
        <f t="shared" si="30"/>
        <v>-4.7800121367301829E-3</v>
      </c>
      <c r="J1172" s="7">
        <f t="shared" si="30"/>
        <v>6.8435173869236809E-3</v>
      </c>
      <c r="K1172" s="7">
        <f t="shared" si="29"/>
        <v>3.5832107667352897E-3</v>
      </c>
      <c r="L1172" s="7"/>
    </row>
    <row r="1173" spans="1:12" x14ac:dyDescent="0.25">
      <c r="A1173" s="2" t="s">
        <v>1192</v>
      </c>
      <c r="B1173" s="7">
        <v>-1.222067039106145E-2</v>
      </c>
      <c r="C1173" s="7">
        <v>-1.0925085130533585E-2</v>
      </c>
      <c r="D1173" s="7">
        <v>1.1173184357541999E-2</v>
      </c>
      <c r="E1173" s="7">
        <v>5.3420859034576385E-2</v>
      </c>
      <c r="F1173" s="7">
        <v>-1.8630181803303003E-4</v>
      </c>
      <c r="G1173" s="7"/>
      <c r="H1173" s="7">
        <f t="shared" si="30"/>
        <v>-1.203436857302842E-2</v>
      </c>
      <c r="I1173" s="7">
        <f t="shared" si="30"/>
        <v>-1.0738783312500555E-2</v>
      </c>
      <c r="J1173" s="7">
        <f t="shared" si="30"/>
        <v>1.1359486175575029E-2</v>
      </c>
      <c r="K1173" s="7">
        <f t="shared" si="29"/>
        <v>5.3607160852609415E-2</v>
      </c>
      <c r="L1173" s="7"/>
    </row>
    <row r="1174" spans="1:12" x14ac:dyDescent="0.25">
      <c r="A1174" s="2" t="s">
        <v>1193</v>
      </c>
      <c r="B1174" s="7">
        <v>-1.4859658778206053E-2</v>
      </c>
      <c r="C1174" s="7">
        <v>-5.9939355475635558E-3</v>
      </c>
      <c r="D1174" s="7">
        <v>-2.1857923497267784E-2</v>
      </c>
      <c r="E1174" s="7">
        <v>-2.9652407885344068E-2</v>
      </c>
      <c r="F1174" s="7">
        <v>-4.7124799312575627E-3</v>
      </c>
      <c r="G1174" s="7"/>
      <c r="H1174" s="7">
        <f t="shared" si="30"/>
        <v>-1.014717884694849E-2</v>
      </c>
      <c r="I1174" s="7">
        <f t="shared" si="30"/>
        <v>-1.2814556163059931E-3</v>
      </c>
      <c r="J1174" s="7">
        <f t="shared" si="30"/>
        <v>-1.7145443566010221E-2</v>
      </c>
      <c r="K1174" s="7">
        <f t="shared" si="29"/>
        <v>-2.4939927954086505E-2</v>
      </c>
      <c r="L1174" s="7"/>
    </row>
    <row r="1175" spans="1:12" x14ac:dyDescent="0.25">
      <c r="A1175" s="2" t="s">
        <v>222</v>
      </c>
      <c r="B1175" s="7">
        <v>2.897750793431797E-3</v>
      </c>
      <c r="C1175" s="7">
        <v>5.8873599092070794E-3</v>
      </c>
      <c r="D1175" s="7">
        <v>1.1049723756906049E-2</v>
      </c>
      <c r="E1175" s="7">
        <v>-7.1530539410624927E-2</v>
      </c>
      <c r="F1175" s="7">
        <v>2.382253008416102E-3</v>
      </c>
      <c r="G1175" s="7"/>
      <c r="H1175" s="7">
        <f t="shared" si="30"/>
        <v>5.1549778501569499E-4</v>
      </c>
      <c r="I1175" s="7">
        <f t="shared" si="30"/>
        <v>3.5051069007909774E-3</v>
      </c>
      <c r="J1175" s="7">
        <f t="shared" si="30"/>
        <v>8.6674707484899471E-3</v>
      </c>
      <c r="K1175" s="7">
        <f t="shared" si="29"/>
        <v>-7.3912792419041029E-2</v>
      </c>
      <c r="L1175" s="7"/>
    </row>
    <row r="1176" spans="1:12" x14ac:dyDescent="0.25">
      <c r="A1176" s="2" t="s">
        <v>1194</v>
      </c>
      <c r="B1176" s="7">
        <v>1.1938839628569564E-2</v>
      </c>
      <c r="C1176" s="7">
        <v>7.143877696813794E-3</v>
      </c>
      <c r="D1176" s="7">
        <v>-2.1621621621621623E-2</v>
      </c>
      <c r="E1176" s="7">
        <v>-3.5076499237467473E-2</v>
      </c>
      <c r="F1176" s="7">
        <v>1.0145438559535647E-2</v>
      </c>
      <c r="G1176" s="7"/>
      <c r="H1176" s="7">
        <f t="shared" si="30"/>
        <v>1.7934010690339175E-3</v>
      </c>
      <c r="I1176" s="7">
        <f t="shared" si="30"/>
        <v>-3.0015608627218526E-3</v>
      </c>
      <c r="J1176" s="7">
        <f t="shared" si="30"/>
        <v>-3.1767060181157269E-2</v>
      </c>
      <c r="K1176" s="7">
        <f t="shared" si="29"/>
        <v>-4.522193779700312E-2</v>
      </c>
      <c r="L1176" s="7"/>
    </row>
    <row r="1177" spans="1:12" x14ac:dyDescent="0.25">
      <c r="A1177" s="2" t="s">
        <v>1195</v>
      </c>
      <c r="B1177" s="7">
        <v>9.6574087128151742E-3</v>
      </c>
      <c r="C1177" s="7">
        <v>-8.4295530211800918E-3</v>
      </c>
      <c r="D1177" s="7">
        <v>-4.1450777202072464E-2</v>
      </c>
      <c r="E1177" s="7">
        <v>1.4017759153945875E-2</v>
      </c>
      <c r="F1177" s="7">
        <v>2.0166609692362503E-3</v>
      </c>
      <c r="G1177" s="7"/>
      <c r="H1177" s="7">
        <f t="shared" si="30"/>
        <v>7.6407477435789239E-3</v>
      </c>
      <c r="I1177" s="7">
        <f t="shared" si="30"/>
        <v>-1.0446213990416342E-2</v>
      </c>
      <c r="J1177" s="7">
        <f t="shared" si="30"/>
        <v>-4.3467438171308714E-2</v>
      </c>
      <c r="K1177" s="7">
        <f t="shared" si="29"/>
        <v>1.2001098184709624E-2</v>
      </c>
      <c r="L1177" s="7"/>
    </row>
    <row r="1178" spans="1:12" x14ac:dyDescent="0.25">
      <c r="A1178" s="2" t="s">
        <v>1196</v>
      </c>
      <c r="B1178" s="7">
        <v>-5.1195736026368177E-3</v>
      </c>
      <c r="C1178" s="7">
        <v>-2.8326605764483759E-4</v>
      </c>
      <c r="D1178" s="7">
        <v>4.3243243243243246E-2</v>
      </c>
      <c r="E1178" s="7">
        <v>2.2999999999999687E-3</v>
      </c>
      <c r="F1178" s="7">
        <v>8.2418472100778128E-3</v>
      </c>
      <c r="G1178" s="7"/>
      <c r="H1178" s="7">
        <f t="shared" si="30"/>
        <v>-1.3361420812714631E-2</v>
      </c>
      <c r="I1178" s="7">
        <f t="shared" si="30"/>
        <v>-8.5251132677226504E-3</v>
      </c>
      <c r="J1178" s="7">
        <f t="shared" si="30"/>
        <v>3.5001396033165433E-2</v>
      </c>
      <c r="K1178" s="7">
        <f t="shared" si="29"/>
        <v>-5.9418472100778441E-3</v>
      </c>
      <c r="L1178" s="7"/>
    </row>
    <row r="1179" spans="1:12" x14ac:dyDescent="0.25">
      <c r="A1179" s="2" t="s">
        <v>1197</v>
      </c>
      <c r="B1179" s="7">
        <v>2.5974960425960703E-2</v>
      </c>
      <c r="C1179" s="7">
        <v>1.6484307515116869E-2</v>
      </c>
      <c r="D1179" s="7">
        <v>2.7777777777777901E-2</v>
      </c>
      <c r="E1179" s="7">
        <v>8.0645161290322509E-3</v>
      </c>
      <c r="F1179" s="7">
        <v>1.516265155019747E-2</v>
      </c>
      <c r="G1179" s="7"/>
      <c r="H1179" s="7">
        <f t="shared" si="30"/>
        <v>1.0812308875763232E-2</v>
      </c>
      <c r="I1179" s="7">
        <f t="shared" si="30"/>
        <v>1.3216559649193993E-3</v>
      </c>
      <c r="J1179" s="7">
        <f t="shared" si="30"/>
        <v>1.2615126227580431E-2</v>
      </c>
      <c r="K1179" s="7">
        <f t="shared" si="29"/>
        <v>-7.0981354211652192E-3</v>
      </c>
      <c r="L1179" s="7"/>
    </row>
    <row r="1180" spans="1:12" x14ac:dyDescent="0.25">
      <c r="A1180" s="2" t="s">
        <v>223</v>
      </c>
      <c r="B1180" s="7">
        <v>-2.695512147307999E-2</v>
      </c>
      <c r="C1180" s="7">
        <v>-9.0591340323846747E-3</v>
      </c>
      <c r="D1180" s="7">
        <v>-3.7433155080213942E-2</v>
      </c>
      <c r="E1180" s="7">
        <v>-1.5042446507471552E-2</v>
      </c>
      <c r="F1180" s="7">
        <v>-1.5869531055010655E-2</v>
      </c>
      <c r="G1180" s="7"/>
      <c r="H1180" s="7">
        <f t="shared" si="30"/>
        <v>-1.1085590418069335E-2</v>
      </c>
      <c r="I1180" s="7">
        <f t="shared" si="30"/>
        <v>6.8103970226259802E-3</v>
      </c>
      <c r="J1180" s="7">
        <f t="shared" si="30"/>
        <v>-2.1563624025203287E-2</v>
      </c>
      <c r="K1180" s="7">
        <f t="shared" si="29"/>
        <v>8.270845475391031E-4</v>
      </c>
      <c r="L1180" s="7"/>
    </row>
    <row r="1181" spans="1:12" x14ac:dyDescent="0.25">
      <c r="A1181" s="2" t="s">
        <v>1198</v>
      </c>
      <c r="B1181" s="7">
        <v>-1.4013530305122202E-2</v>
      </c>
      <c r="C1181" s="7">
        <v>-1.5865215865215831E-2</v>
      </c>
      <c r="D1181" s="7">
        <v>-5.0761421319796884E-2</v>
      </c>
      <c r="E1181" s="7">
        <v>-1.2404393018238924E-2</v>
      </c>
      <c r="F1181" s="7">
        <v>-7.5389389522548811E-3</v>
      </c>
      <c r="G1181" s="7"/>
      <c r="H1181" s="7">
        <f t="shared" si="30"/>
        <v>-6.4745913528673205E-3</v>
      </c>
      <c r="I1181" s="7">
        <f t="shared" si="30"/>
        <v>-8.3262769129609504E-3</v>
      </c>
      <c r="J1181" s="7">
        <f t="shared" si="30"/>
        <v>-4.3222482367542003E-2</v>
      </c>
      <c r="K1181" s="7">
        <f t="shared" si="29"/>
        <v>-4.8654540659840428E-3</v>
      </c>
      <c r="L1181" s="7"/>
    </row>
    <row r="1182" spans="1:12" x14ac:dyDescent="0.25">
      <c r="A1182" s="2" t="s">
        <v>1199</v>
      </c>
      <c r="B1182" s="7">
        <v>-4.5354590434304454E-3</v>
      </c>
      <c r="C1182" s="7">
        <v>-1.1919786846166236E-3</v>
      </c>
      <c r="D1182" s="7">
        <v>-1.990049751243772E-2</v>
      </c>
      <c r="E1182" s="7">
        <v>1.5433635367917864E-2</v>
      </c>
      <c r="F1182" s="7">
        <v>-3.2622362435132946E-3</v>
      </c>
      <c r="G1182" s="7"/>
      <c r="H1182" s="7">
        <f t="shared" si="30"/>
        <v>-1.2732227999171508E-3</v>
      </c>
      <c r="I1182" s="7">
        <f t="shared" si="30"/>
        <v>2.070257558896671E-3</v>
      </c>
      <c r="J1182" s="7">
        <f t="shared" si="30"/>
        <v>-1.6638261268924426E-2</v>
      </c>
      <c r="K1182" s="7">
        <f t="shared" si="29"/>
        <v>1.8695871611431158E-2</v>
      </c>
      <c r="L1182" s="7"/>
    </row>
    <row r="1183" spans="1:12" x14ac:dyDescent="0.25">
      <c r="A1183" s="2" t="s">
        <v>1200</v>
      </c>
      <c r="B1183" s="7">
        <v>2.4139629812091057E-2</v>
      </c>
      <c r="C1183" s="7">
        <v>1.6173851086569435E-2</v>
      </c>
      <c r="D1183" s="7">
        <v>-9.8522167487684609E-3</v>
      </c>
      <c r="E1183" s="7">
        <v>9.4989194350907358E-3</v>
      </c>
      <c r="F1183" s="7">
        <v>1.1649703264435818E-3</v>
      </c>
      <c r="G1183" s="7"/>
      <c r="H1183" s="7">
        <f t="shared" si="30"/>
        <v>2.2974659485647475E-2</v>
      </c>
      <c r="I1183" s="7">
        <f t="shared" si="30"/>
        <v>1.5008880760125853E-2</v>
      </c>
      <c r="J1183" s="7">
        <f t="shared" si="30"/>
        <v>-1.1017187075212043E-2</v>
      </c>
      <c r="K1183" s="7">
        <f t="shared" si="29"/>
        <v>8.333949108647154E-3</v>
      </c>
      <c r="L1183" s="7"/>
    </row>
    <row r="1184" spans="1:12" x14ac:dyDescent="0.25">
      <c r="A1184" s="2" t="s">
        <v>1201</v>
      </c>
      <c r="B1184" s="7">
        <v>7.873457227975722E-3</v>
      </c>
      <c r="C1184" s="7">
        <v>-1.9200682690940774E-3</v>
      </c>
      <c r="D1184" s="7">
        <v>-1.9323671497584516E-2</v>
      </c>
      <c r="E1184" s="7">
        <v>1.9626934508558014E-2</v>
      </c>
      <c r="F1184" s="7">
        <v>-3.516830382495284E-3</v>
      </c>
      <c r="G1184" s="7"/>
      <c r="H1184" s="7">
        <f t="shared" si="30"/>
        <v>1.1390287610471006E-2</v>
      </c>
      <c r="I1184" s="7">
        <f t="shared" si="30"/>
        <v>1.5967621134012067E-3</v>
      </c>
      <c r="J1184" s="7">
        <f t="shared" si="30"/>
        <v>-1.5806841115089232E-2</v>
      </c>
      <c r="K1184" s="7">
        <f t="shared" si="29"/>
        <v>2.3143764891053298E-2</v>
      </c>
      <c r="L1184" s="7"/>
    </row>
    <row r="1185" spans="1:12" x14ac:dyDescent="0.25">
      <c r="A1185" s="2" t="s">
        <v>224</v>
      </c>
      <c r="B1185" s="7">
        <v>-4.2378867071621862E-3</v>
      </c>
      <c r="C1185" s="7">
        <v>-5.0237033892309713E-3</v>
      </c>
      <c r="D1185" s="7">
        <v>-2.358490566037752E-2</v>
      </c>
      <c r="E1185" s="7">
        <v>-2.2497187851520106E-3</v>
      </c>
      <c r="F1185" s="7">
        <v>3.4511562975592103E-3</v>
      </c>
      <c r="G1185" s="7"/>
      <c r="H1185" s="7">
        <f t="shared" si="30"/>
        <v>-7.6890430047213965E-3</v>
      </c>
      <c r="I1185" s="7">
        <f t="shared" si="30"/>
        <v>-8.4748596867901815E-3</v>
      </c>
      <c r="J1185" s="7">
        <f t="shared" si="30"/>
        <v>-2.703606195793673E-2</v>
      </c>
      <c r="K1185" s="7">
        <f t="shared" si="29"/>
        <v>-5.7008750827112209E-3</v>
      </c>
      <c r="L1185" s="7"/>
    </row>
    <row r="1186" spans="1:12" x14ac:dyDescent="0.25">
      <c r="A1186" s="2" t="s">
        <v>1202</v>
      </c>
      <c r="B1186" s="7">
        <v>1.309481216457975E-2</v>
      </c>
      <c r="C1186" s="7">
        <v>1.3699612681107531E-2</v>
      </c>
      <c r="D1186" s="7">
        <v>2.4154589371980784E-2</v>
      </c>
      <c r="E1186" s="7">
        <v>3.0453108535300366E-2</v>
      </c>
      <c r="F1186" s="7">
        <v>1.1277951870247049E-2</v>
      </c>
      <c r="G1186" s="7"/>
      <c r="H1186" s="7">
        <f t="shared" si="30"/>
        <v>1.8168602943327006E-3</v>
      </c>
      <c r="I1186" s="7">
        <f t="shared" si="30"/>
        <v>2.421660810860482E-3</v>
      </c>
      <c r="J1186" s="7">
        <f t="shared" si="30"/>
        <v>1.2876637501733734E-2</v>
      </c>
      <c r="K1186" s="7">
        <f t="shared" si="29"/>
        <v>1.9175156665053317E-2</v>
      </c>
      <c r="L1186" s="7"/>
    </row>
    <row r="1187" spans="1:12" x14ac:dyDescent="0.25">
      <c r="A1187" s="2" t="s">
        <v>1203</v>
      </c>
      <c r="B1187" s="7">
        <v>-9.2165898617512232E-3</v>
      </c>
      <c r="C1187" s="7">
        <v>-7.8986693232763194E-3</v>
      </c>
      <c r="D1187" s="7">
        <v>-2.358490566037752E-2</v>
      </c>
      <c r="E1187" s="7">
        <v>-3.9181937835375047E-2</v>
      </c>
      <c r="F1187" s="7">
        <v>-8.56101125941644E-3</v>
      </c>
      <c r="G1187" s="7"/>
      <c r="H1187" s="7">
        <f t="shared" si="30"/>
        <v>-6.5557860233478316E-4</v>
      </c>
      <c r="I1187" s="7">
        <f t="shared" si="30"/>
        <v>6.623419361401206E-4</v>
      </c>
      <c r="J1187" s="7">
        <f t="shared" si="30"/>
        <v>-1.502389440096108E-2</v>
      </c>
      <c r="K1187" s="7">
        <f t="shared" si="29"/>
        <v>-3.0620926575958607E-2</v>
      </c>
      <c r="L1187" s="7"/>
    </row>
    <row r="1188" spans="1:12" x14ac:dyDescent="0.25">
      <c r="A1188" s="2" t="s">
        <v>1204</v>
      </c>
      <c r="B1188" s="7">
        <v>1.797055427251748E-2</v>
      </c>
      <c r="C1188" s="7">
        <v>1.5096792834440986E-2</v>
      </c>
      <c r="D1188" s="7">
        <v>-3.6363636363636376E-2</v>
      </c>
      <c r="E1188" s="7">
        <v>-1.701831210191096E-2</v>
      </c>
      <c r="F1188" s="7">
        <v>3.359011313352811E-3</v>
      </c>
      <c r="G1188" s="7"/>
      <c r="H1188" s="7">
        <f t="shared" si="30"/>
        <v>1.4611542959164669E-2</v>
      </c>
      <c r="I1188" s="7">
        <f t="shared" si="30"/>
        <v>1.1737781521088175E-2</v>
      </c>
      <c r="J1188" s="7">
        <f t="shared" si="30"/>
        <v>-3.9722647676989187E-2</v>
      </c>
      <c r="K1188" s="7">
        <f t="shared" si="29"/>
        <v>-2.0377323415263771E-2</v>
      </c>
      <c r="L1188" s="7"/>
    </row>
    <row r="1189" spans="1:12" x14ac:dyDescent="0.25">
      <c r="A1189" s="2" t="s">
        <v>1205</v>
      </c>
      <c r="B1189" s="7">
        <v>1.4719882826803365E-2</v>
      </c>
      <c r="C1189" s="7">
        <v>-1.5012451085023248E-2</v>
      </c>
      <c r="D1189" s="7">
        <v>4.5662100456622667E-3</v>
      </c>
      <c r="E1189" s="7">
        <v>-2.8239845261121888E-2</v>
      </c>
      <c r="F1189" s="7">
        <v>-2.0219008625245172E-3</v>
      </c>
      <c r="G1189" s="7"/>
      <c r="H1189" s="7">
        <f t="shared" si="30"/>
        <v>1.6741783689327883E-2</v>
      </c>
      <c r="I1189" s="7">
        <f t="shared" si="30"/>
        <v>-1.2990550222498731E-2</v>
      </c>
      <c r="J1189" s="7">
        <f t="shared" si="30"/>
        <v>6.5881109081867839E-3</v>
      </c>
      <c r="K1189" s="7">
        <f t="shared" si="29"/>
        <v>-2.621794439859737E-2</v>
      </c>
      <c r="L1189" s="7"/>
    </row>
    <row r="1190" spans="1:12" x14ac:dyDescent="0.25">
      <c r="A1190" s="2" t="s">
        <v>1206</v>
      </c>
      <c r="B1190" s="7">
        <v>1.9562458000448091E-2</v>
      </c>
      <c r="C1190" s="7">
        <v>4.0002857346952414E-3</v>
      </c>
      <c r="D1190" s="7">
        <v>-4.5454545454546302E-3</v>
      </c>
      <c r="E1190" s="7">
        <v>-1.8556309619856659E-2</v>
      </c>
      <c r="F1190" s="7">
        <v>7.5001041681135305E-3</v>
      </c>
      <c r="G1190" s="7"/>
      <c r="H1190" s="7">
        <f t="shared" si="30"/>
        <v>1.206235383233456E-2</v>
      </c>
      <c r="I1190" s="7">
        <f t="shared" si="30"/>
        <v>-3.4998184334182891E-3</v>
      </c>
      <c r="J1190" s="7">
        <f t="shared" si="30"/>
        <v>-1.2045558713568161E-2</v>
      </c>
      <c r="K1190" s="7">
        <f t="shared" si="29"/>
        <v>-2.605641378797019E-2</v>
      </c>
      <c r="L1190" s="7"/>
    </row>
    <row r="1191" spans="1:12" x14ac:dyDescent="0.25">
      <c r="A1191" s="2" t="s">
        <v>1207</v>
      </c>
      <c r="B1191" s="7">
        <v>2.2450048641773357E-3</v>
      </c>
      <c r="C1191" s="7">
        <v>2.2911147705306778E-3</v>
      </c>
      <c r="D1191" s="7">
        <v>-3.083700440528625E-2</v>
      </c>
      <c r="E1191" s="7">
        <v>-2.1637182523099763E-2</v>
      </c>
      <c r="F1191" s="7">
        <v>5.2216404886560319E-3</v>
      </c>
      <c r="G1191" s="7"/>
      <c r="H1191" s="7">
        <f t="shared" si="30"/>
        <v>-2.9766356244786962E-3</v>
      </c>
      <c r="I1191" s="7">
        <f t="shared" si="30"/>
        <v>-2.9305257181253541E-3</v>
      </c>
      <c r="J1191" s="7">
        <f t="shared" si="30"/>
        <v>-3.6058644893942282E-2</v>
      </c>
      <c r="K1191" s="7">
        <f t="shared" si="29"/>
        <v>-2.6858823011755795E-2</v>
      </c>
      <c r="L1191" s="7"/>
    </row>
    <row r="1192" spans="1:12" x14ac:dyDescent="0.25">
      <c r="A1192" s="2" t="s">
        <v>1208</v>
      </c>
      <c r="B1192" s="7">
        <v>4.6613036613789571E-3</v>
      </c>
      <c r="C1192" s="7">
        <v>1.3276262333139721E-2</v>
      </c>
      <c r="D1192" s="7">
        <v>8.8888888888889461E-3</v>
      </c>
      <c r="E1192" s="7">
        <v>-1.1610830656264337E-2</v>
      </c>
      <c r="F1192" s="7">
        <v>1.3281140780092571E-3</v>
      </c>
      <c r="G1192" s="7"/>
      <c r="H1192" s="7">
        <f t="shared" si="30"/>
        <v>3.3331895833697001E-3</v>
      </c>
      <c r="I1192" s="7">
        <f t="shared" si="30"/>
        <v>1.1948148255130464E-2</v>
      </c>
      <c r="J1192" s="7">
        <f t="shared" si="30"/>
        <v>7.5607748108796891E-3</v>
      </c>
      <c r="K1192" s="7">
        <f t="shared" si="29"/>
        <v>-1.2938944734273594E-2</v>
      </c>
      <c r="L1192" s="7"/>
    </row>
    <row r="1193" spans="1:12" x14ac:dyDescent="0.25">
      <c r="A1193" s="2" t="s">
        <v>1209</v>
      </c>
      <c r="B1193" s="7">
        <v>1.1482889733840151E-2</v>
      </c>
      <c r="C1193" s="7">
        <v>-2.3883621625532259E-3</v>
      </c>
      <c r="D1193" s="7">
        <v>0</v>
      </c>
      <c r="E1193" s="7">
        <v>3.7311714035652699E-3</v>
      </c>
      <c r="F1193" s="7">
        <v>2.7734984069871516E-4</v>
      </c>
      <c r="G1193" s="7"/>
      <c r="H1193" s="7">
        <f t="shared" si="30"/>
        <v>1.1205539893141436E-2</v>
      </c>
      <c r="I1193" s="7">
        <f t="shared" si="30"/>
        <v>-2.665712003251941E-3</v>
      </c>
      <c r="J1193" s="7">
        <f t="shared" si="30"/>
        <v>-2.7734984069871516E-4</v>
      </c>
      <c r="K1193" s="7">
        <f t="shared" si="29"/>
        <v>3.4538215628665547E-3</v>
      </c>
      <c r="L1193" s="7"/>
    </row>
    <row r="1194" spans="1:12" x14ac:dyDescent="0.25">
      <c r="A1194" s="2" t="s">
        <v>225</v>
      </c>
      <c r="B1194" s="7">
        <v>1.255101255101243E-2</v>
      </c>
      <c r="C1194" s="7">
        <v>8.9820359281436168E-3</v>
      </c>
      <c r="D1194" s="7">
        <v>-4.6610169491525411E-2</v>
      </c>
      <c r="E1194" s="7">
        <v>3.68646606147216E-4</v>
      </c>
      <c r="F1194" s="7">
        <v>2.3150419323942906E-3</v>
      </c>
      <c r="G1194" s="7"/>
      <c r="H1194" s="7">
        <f t="shared" si="30"/>
        <v>1.023597061861814E-2</v>
      </c>
      <c r="I1194" s="7">
        <f t="shared" si="30"/>
        <v>6.6669939957493263E-3</v>
      </c>
      <c r="J1194" s="7">
        <f t="shared" si="30"/>
        <v>-4.8925211423919701E-2</v>
      </c>
      <c r="K1194" s="7">
        <f t="shared" si="29"/>
        <v>-1.9463953262470746E-3</v>
      </c>
      <c r="L1194" s="7"/>
    </row>
    <row r="1195" spans="1:12" x14ac:dyDescent="0.25">
      <c r="A1195" s="2" t="s">
        <v>1210</v>
      </c>
      <c r="B1195" s="7">
        <v>-2.2280270436385585E-3</v>
      </c>
      <c r="C1195" s="7">
        <v>7.7268378835824159E-3</v>
      </c>
      <c r="D1195" s="7">
        <v>-1.2552301255230214E-2</v>
      </c>
      <c r="E1195" s="7">
        <v>4.6386035970876094E-2</v>
      </c>
      <c r="F1195" s="7">
        <v>3.3306066579319449E-3</v>
      </c>
      <c r="G1195" s="7"/>
      <c r="H1195" s="7">
        <f t="shared" si="30"/>
        <v>-5.5586337015705034E-3</v>
      </c>
      <c r="I1195" s="7">
        <f t="shared" si="30"/>
        <v>4.396231225650471E-3</v>
      </c>
      <c r="J1195" s="7">
        <f t="shared" si="30"/>
        <v>-1.5882907913162159E-2</v>
      </c>
      <c r="K1195" s="7">
        <f t="shared" si="29"/>
        <v>4.3055429312944149E-2</v>
      </c>
      <c r="L1195" s="7"/>
    </row>
    <row r="1196" spans="1:12" x14ac:dyDescent="0.25">
      <c r="A1196" s="2" t="s">
        <v>1211</v>
      </c>
      <c r="B1196" s="7">
        <v>-2.1465808034345502E-3</v>
      </c>
      <c r="C1196" s="7">
        <v>4.6576962886293316E-3</v>
      </c>
      <c r="D1196" s="7">
        <v>0</v>
      </c>
      <c r="E1196" s="7">
        <v>1.6368537123254034E-2</v>
      </c>
      <c r="F1196" s="7">
        <v>5.8111574222505791E-3</v>
      </c>
      <c r="G1196" s="7"/>
      <c r="H1196" s="7">
        <f t="shared" si="30"/>
        <v>-7.9577382256851292E-3</v>
      </c>
      <c r="I1196" s="7">
        <f t="shared" si="30"/>
        <v>-1.1534611336212475E-3</v>
      </c>
      <c r="J1196" s="7">
        <f t="shared" si="30"/>
        <v>-5.8111574222505791E-3</v>
      </c>
      <c r="K1196" s="7">
        <f t="shared" si="29"/>
        <v>1.0557379701003455E-2</v>
      </c>
      <c r="L1196" s="7"/>
    </row>
    <row r="1197" spans="1:12" x14ac:dyDescent="0.25">
      <c r="A1197" s="2" t="s">
        <v>1212</v>
      </c>
      <c r="B1197" s="7">
        <v>-2.1419828641371375E-3</v>
      </c>
      <c r="C1197" s="7">
        <v>-1.4211792143429935E-2</v>
      </c>
      <c r="D1197" s="7">
        <v>8.4388185654007408E-3</v>
      </c>
      <c r="E1197" s="7">
        <v>1.6742239274503135E-2</v>
      </c>
      <c r="F1197" s="7">
        <v>-1.0832603310065858E-3</v>
      </c>
      <c r="G1197" s="7"/>
      <c r="H1197" s="7">
        <f t="shared" si="30"/>
        <v>-1.0587225331305516E-3</v>
      </c>
      <c r="I1197" s="7">
        <f t="shared" si="30"/>
        <v>-1.312853181242335E-2</v>
      </c>
      <c r="J1197" s="7">
        <f t="shared" si="30"/>
        <v>9.5220788964073266E-3</v>
      </c>
      <c r="K1197" s="7">
        <f t="shared" si="29"/>
        <v>1.782549960550972E-2</v>
      </c>
      <c r="L1197" s="7"/>
    </row>
    <row r="1198" spans="1:12" x14ac:dyDescent="0.25">
      <c r="A1198" s="2" t="s">
        <v>1213</v>
      </c>
      <c r="B1198" s="7">
        <v>1.2705299039355245E-2</v>
      </c>
      <c r="C1198" s="7">
        <v>-3.6427218417589557E-4</v>
      </c>
      <c r="D1198" s="7">
        <v>-8.3682008368201055E-3</v>
      </c>
      <c r="E1198" s="7">
        <v>1.2472560367191576E-3</v>
      </c>
      <c r="F1198" s="7">
        <v>5.124515064653945E-3</v>
      </c>
      <c r="G1198" s="7"/>
      <c r="H1198" s="7">
        <f t="shared" si="30"/>
        <v>7.5807839747012995E-3</v>
      </c>
      <c r="I1198" s="7">
        <f t="shared" si="30"/>
        <v>-5.4887872488298406E-3</v>
      </c>
      <c r="J1198" s="7">
        <f t="shared" si="30"/>
        <v>-1.3492715901474051E-2</v>
      </c>
      <c r="K1198" s="7">
        <f t="shared" si="29"/>
        <v>-3.8772590279347874E-3</v>
      </c>
      <c r="L1198" s="7"/>
    </row>
    <row r="1199" spans="1:12" x14ac:dyDescent="0.25">
      <c r="A1199" s="2" t="s">
        <v>226</v>
      </c>
      <c r="B1199" s="7">
        <v>1.4142049025769987E-2</v>
      </c>
      <c r="C1199" s="7">
        <v>1.8778297335411587E-2</v>
      </c>
      <c r="D1199" s="7">
        <v>4.2016806722691147E-3</v>
      </c>
      <c r="E1199" s="7">
        <v>-5.8525939886916456E-3</v>
      </c>
      <c r="F1199" s="7">
        <v>1.4002328121062391E-2</v>
      </c>
      <c r="G1199" s="7"/>
      <c r="H1199" s="7">
        <f t="shared" si="30"/>
        <v>1.3972090470759646E-4</v>
      </c>
      <c r="I1199" s="7">
        <f t="shared" si="30"/>
        <v>4.7759692143491961E-3</v>
      </c>
      <c r="J1199" s="7">
        <f t="shared" si="30"/>
        <v>-9.800647448793276E-3</v>
      </c>
      <c r="K1199" s="7">
        <f t="shared" si="29"/>
        <v>-1.9854922109754036E-2</v>
      </c>
      <c r="L1199" s="7"/>
    </row>
    <row r="1200" spans="1:12" x14ac:dyDescent="0.25">
      <c r="A1200" s="2" t="s">
        <v>1214</v>
      </c>
      <c r="B1200" s="7">
        <v>-1.0110437081972345E-2</v>
      </c>
      <c r="C1200" s="7">
        <v>-1.8074484367028743E-2</v>
      </c>
      <c r="D1200" s="7">
        <v>-4.1841004184101083E-3</v>
      </c>
      <c r="E1200" s="7">
        <v>3.284235668789881E-3</v>
      </c>
      <c r="F1200" s="7">
        <v>-1.3124547000611053E-2</v>
      </c>
      <c r="G1200" s="7"/>
      <c r="H1200" s="7">
        <f t="shared" si="30"/>
        <v>3.0141099186387077E-3</v>
      </c>
      <c r="I1200" s="7">
        <f t="shared" si="30"/>
        <v>-4.9499373664176893E-3</v>
      </c>
      <c r="J1200" s="7">
        <f t="shared" si="30"/>
        <v>8.9404465822009449E-3</v>
      </c>
      <c r="K1200" s="7">
        <f t="shared" si="29"/>
        <v>1.6408782669400934E-2</v>
      </c>
      <c r="L1200" s="7"/>
    </row>
    <row r="1201" spans="1:12" x14ac:dyDescent="0.25">
      <c r="A1201" s="2" t="s">
        <v>1215</v>
      </c>
      <c r="B1201" s="7">
        <v>1.2600409513309208E-2</v>
      </c>
      <c r="C1201" s="7">
        <v>-9.0278780875343578E-3</v>
      </c>
      <c r="D1201" s="7">
        <v>-2.4489795918367419E-2</v>
      </c>
      <c r="E1201" s="7">
        <v>1.091604205442942E-2</v>
      </c>
      <c r="F1201" s="7">
        <v>-4.3563700073401268E-4</v>
      </c>
      <c r="G1201" s="7"/>
      <c r="H1201" s="7">
        <f t="shared" si="30"/>
        <v>1.303604651404322E-2</v>
      </c>
      <c r="I1201" s="7">
        <f t="shared" si="30"/>
        <v>-8.5922410868003452E-3</v>
      </c>
      <c r="J1201" s="7">
        <f t="shared" si="30"/>
        <v>-2.4054158917633406E-2</v>
      </c>
      <c r="K1201" s="7">
        <f t="shared" si="29"/>
        <v>1.1351679055163433E-2</v>
      </c>
      <c r="L1201" s="7"/>
    </row>
    <row r="1202" spans="1:12" x14ac:dyDescent="0.25">
      <c r="A1202" s="2" t="s">
        <v>1216</v>
      </c>
      <c r="B1202" s="7">
        <v>3.953194180898123E-3</v>
      </c>
      <c r="C1202" s="7">
        <v>-1.8431872961860107E-2</v>
      </c>
      <c r="D1202" s="7">
        <v>0</v>
      </c>
      <c r="E1202" s="7">
        <v>-3.5089478169332278E-3</v>
      </c>
      <c r="F1202" s="7">
        <v>-5.3902072015429292E-3</v>
      </c>
      <c r="G1202" s="7"/>
      <c r="H1202" s="7">
        <f t="shared" si="30"/>
        <v>9.3434013824410522E-3</v>
      </c>
      <c r="I1202" s="7">
        <f t="shared" si="30"/>
        <v>-1.3041665760317178E-2</v>
      </c>
      <c r="J1202" s="7">
        <f t="shared" si="30"/>
        <v>5.3902072015429292E-3</v>
      </c>
      <c r="K1202" s="7">
        <f t="shared" si="29"/>
        <v>1.8812593846097014E-3</v>
      </c>
      <c r="L1202" s="7"/>
    </row>
    <row r="1203" spans="1:12" x14ac:dyDescent="0.25">
      <c r="A1203" s="2" t="s">
        <v>1217</v>
      </c>
      <c r="B1203" s="7">
        <v>-6.4414768263942879E-3</v>
      </c>
      <c r="C1203" s="7">
        <v>-3.7432022035454038E-3</v>
      </c>
      <c r="D1203" s="7">
        <v>8.2304526748970819E-3</v>
      </c>
      <c r="E1203" s="7">
        <v>-1.8161236342159603E-2</v>
      </c>
      <c r="F1203" s="7">
        <v>-2.0116799642784233E-3</v>
      </c>
      <c r="G1203" s="7"/>
      <c r="H1203" s="7">
        <f t="shared" si="30"/>
        <v>-4.4297968621158645E-3</v>
      </c>
      <c r="I1203" s="7">
        <f t="shared" si="30"/>
        <v>-1.7315222392669805E-3</v>
      </c>
      <c r="J1203" s="7">
        <f t="shared" si="30"/>
        <v>1.0242132639175505E-2</v>
      </c>
      <c r="K1203" s="7">
        <f t="shared" si="29"/>
        <v>-1.614955637788118E-2</v>
      </c>
      <c r="L1203" s="7"/>
    </row>
    <row r="1204" spans="1:12" x14ac:dyDescent="0.25">
      <c r="A1204" s="2" t="s">
        <v>227</v>
      </c>
      <c r="B1204" s="7">
        <v>2.4547283702213152E-2</v>
      </c>
      <c r="C1204" s="7">
        <v>-7.1523736063390242E-3</v>
      </c>
      <c r="D1204" s="7">
        <v>-8.1632653061224358E-3</v>
      </c>
      <c r="E1204" s="7">
        <v>1.0896064480820034E-2</v>
      </c>
      <c r="F1204" s="7">
        <v>1.8152110447704484E-3</v>
      </c>
      <c r="G1204" s="7"/>
      <c r="H1204" s="7">
        <f t="shared" si="30"/>
        <v>2.2732072657442703E-2</v>
      </c>
      <c r="I1204" s="7">
        <f t="shared" si="30"/>
        <v>-8.9675846511094726E-3</v>
      </c>
      <c r="J1204" s="7">
        <f t="shared" si="30"/>
        <v>-9.9784763508928842E-3</v>
      </c>
      <c r="K1204" s="7">
        <f t="shared" si="29"/>
        <v>9.0808534360495852E-3</v>
      </c>
      <c r="L1204" s="7"/>
    </row>
    <row r="1205" spans="1:12" x14ac:dyDescent="0.25">
      <c r="A1205" s="2" t="s">
        <v>1218</v>
      </c>
      <c r="B1205" s="7">
        <v>9.8342002600779743E-3</v>
      </c>
      <c r="C1205" s="7">
        <v>-1.5402926556045138E-3</v>
      </c>
      <c r="D1205" s="7">
        <v>0</v>
      </c>
      <c r="E1205" s="7">
        <v>-6.7210279219174218E-3</v>
      </c>
      <c r="F1205" s="7">
        <v>1.9484900381676606E-3</v>
      </c>
      <c r="G1205" s="7"/>
      <c r="H1205" s="7">
        <f t="shared" si="30"/>
        <v>7.8857102219103137E-3</v>
      </c>
      <c r="I1205" s="7">
        <f t="shared" si="30"/>
        <v>-3.4887826937721744E-3</v>
      </c>
      <c r="J1205" s="7">
        <f t="shared" si="30"/>
        <v>-1.9484900381676606E-3</v>
      </c>
      <c r="K1205" s="7">
        <f t="shared" si="29"/>
        <v>-8.6695179600850825E-3</v>
      </c>
      <c r="L1205" s="7"/>
    </row>
    <row r="1206" spans="1:12" x14ac:dyDescent="0.25">
      <c r="A1206" s="2" t="s">
        <v>1219</v>
      </c>
      <c r="B1206" s="7">
        <v>-7.9819398532612329E-3</v>
      </c>
      <c r="C1206" s="7">
        <v>1.8939393939394478E-3</v>
      </c>
      <c r="D1206" s="7">
        <v>2.5104602510460206E-2</v>
      </c>
      <c r="E1206" s="7">
        <v>-1.1846586702206618E-3</v>
      </c>
      <c r="F1206" s="7">
        <v>4.652154850635748E-3</v>
      </c>
      <c r="G1206" s="7"/>
      <c r="H1206" s="7">
        <f t="shared" si="30"/>
        <v>-1.2634094703896981E-2</v>
      </c>
      <c r="I1206" s="7">
        <f t="shared" si="30"/>
        <v>-2.7582154566963002E-3</v>
      </c>
      <c r="J1206" s="7">
        <f t="shared" si="30"/>
        <v>2.0452447659824458E-2</v>
      </c>
      <c r="K1206" s="7">
        <f t="shared" si="29"/>
        <v>-5.8368135208564098E-3</v>
      </c>
      <c r="L1206" s="7"/>
    </row>
    <row r="1207" spans="1:12" x14ac:dyDescent="0.25">
      <c r="A1207" s="2" t="s">
        <v>1220</v>
      </c>
      <c r="B1207" s="7">
        <v>3.0731904569347712E-3</v>
      </c>
      <c r="C1207" s="7">
        <v>-4.191114836546439E-3</v>
      </c>
      <c r="D1207" s="7">
        <v>-1.6460905349794275E-2</v>
      </c>
      <c r="E1207" s="7">
        <v>-1.1563231850117095E-2</v>
      </c>
      <c r="F1207" s="7">
        <v>-1.8238764589828538E-3</v>
      </c>
      <c r="G1207" s="7"/>
      <c r="H1207" s="7">
        <f t="shared" si="30"/>
        <v>4.897066915917625E-3</v>
      </c>
      <c r="I1207" s="7">
        <f t="shared" si="30"/>
        <v>-2.3672383775635852E-3</v>
      </c>
      <c r="J1207" s="7">
        <f t="shared" si="30"/>
        <v>-1.4637028890811421E-2</v>
      </c>
      <c r="K1207" s="7">
        <f t="shared" si="29"/>
        <v>-9.7393553911342412E-3</v>
      </c>
      <c r="L1207" s="7"/>
    </row>
    <row r="1208" spans="1:12" x14ac:dyDescent="0.25">
      <c r="A1208" s="2" t="s">
        <v>1221</v>
      </c>
      <c r="B1208" s="7">
        <v>6.6758935113571116E-3</v>
      </c>
      <c r="C1208" s="7">
        <v>-6.2827225130890341E-4</v>
      </c>
      <c r="D1208" s="7">
        <v>-4.098360655737654E-3</v>
      </c>
      <c r="E1208" s="7">
        <v>-5.0002427302295871E-3</v>
      </c>
      <c r="F1208" s="7">
        <v>1.7508493985585183E-4</v>
      </c>
      <c r="G1208" s="7"/>
      <c r="H1208" s="7">
        <f t="shared" si="30"/>
        <v>6.5008085715012598E-3</v>
      </c>
      <c r="I1208" s="7">
        <f t="shared" si="30"/>
        <v>-8.0335719116475524E-4</v>
      </c>
      <c r="J1208" s="7">
        <f t="shared" si="30"/>
        <v>-4.2734455955935058E-3</v>
      </c>
      <c r="K1208" s="7">
        <f t="shared" si="29"/>
        <v>-5.1753276700854389E-3</v>
      </c>
      <c r="L1208" s="7"/>
    </row>
    <row r="1209" spans="1:12" x14ac:dyDescent="0.25">
      <c r="A1209" s="2" t="s">
        <v>228</v>
      </c>
      <c r="B1209" s="7">
        <v>8.1419964175211135E-5</v>
      </c>
      <c r="C1209" s="7">
        <v>-1.1318931603285121E-2</v>
      </c>
      <c r="D1209" s="7">
        <v>2.9535864978902815E-2</v>
      </c>
      <c r="E1209" s="7">
        <v>-9.6634615384615374E-3</v>
      </c>
      <c r="F1209" s="7">
        <v>-7.9671102558220852E-4</v>
      </c>
      <c r="G1209" s="7"/>
      <c r="H1209" s="7">
        <f t="shared" si="30"/>
        <v>8.7813098975741966E-4</v>
      </c>
      <c r="I1209" s="7">
        <f t="shared" si="30"/>
        <v>-1.0522220577702912E-2</v>
      </c>
      <c r="J1209" s="7">
        <f t="shared" si="30"/>
        <v>3.0332576004485023E-2</v>
      </c>
      <c r="K1209" s="7">
        <f t="shared" si="29"/>
        <v>-8.8667505128793289E-3</v>
      </c>
      <c r="L1209" s="7"/>
    </row>
    <row r="1210" spans="1:12" x14ac:dyDescent="0.25">
      <c r="A1210" s="2" t="s">
        <v>1222</v>
      </c>
      <c r="B1210" s="7">
        <v>1.8999419231726433E-2</v>
      </c>
      <c r="C1210" s="7">
        <v>1.1731024369806331E-2</v>
      </c>
      <c r="D1210" s="7">
        <v>-3.2653061224489854E-2</v>
      </c>
      <c r="E1210" s="7">
        <v>9.1209004463419507E-3</v>
      </c>
      <c r="F1210" s="7">
        <v>8.8340865998068896E-3</v>
      </c>
      <c r="G1210" s="7"/>
      <c r="H1210" s="7">
        <f t="shared" si="30"/>
        <v>1.0165332631919544E-2</v>
      </c>
      <c r="I1210" s="7">
        <f t="shared" si="30"/>
        <v>2.8969377699994414E-3</v>
      </c>
      <c r="J1210" s="7">
        <f t="shared" si="30"/>
        <v>-4.1487147824296744E-2</v>
      </c>
      <c r="K1210" s="7">
        <f t="shared" si="29"/>
        <v>2.8681384653506115E-4</v>
      </c>
      <c r="L1210" s="7"/>
    </row>
    <row r="1211" spans="1:12" x14ac:dyDescent="0.25">
      <c r="A1211" s="2" t="s">
        <v>1223</v>
      </c>
      <c r="B1211" s="7">
        <v>-1.2130153266125765E-2</v>
      </c>
      <c r="C1211" s="7">
        <v>1.8188177684506091E-3</v>
      </c>
      <c r="D1211" s="7">
        <v>-1.9999999999999907E-2</v>
      </c>
      <c r="E1211" s="7">
        <v>-1.1604488347559117E-2</v>
      </c>
      <c r="F1211" s="7">
        <v>-3.6286988013648491E-3</v>
      </c>
      <c r="G1211" s="7"/>
      <c r="H1211" s="7">
        <f t="shared" si="30"/>
        <v>-8.5014544647609158E-3</v>
      </c>
      <c r="I1211" s="7">
        <f t="shared" si="30"/>
        <v>5.4475165698154582E-3</v>
      </c>
      <c r="J1211" s="7">
        <f t="shared" si="30"/>
        <v>-1.6371301198635058E-2</v>
      </c>
      <c r="K1211" s="7">
        <f t="shared" si="29"/>
        <v>-7.9757895461942674E-3</v>
      </c>
      <c r="L1211" s="7"/>
    </row>
    <row r="1212" spans="1:12" x14ac:dyDescent="0.25">
      <c r="A1212" s="2" t="s">
        <v>1224</v>
      </c>
      <c r="B1212" s="7">
        <v>6.268041237113442E-3</v>
      </c>
      <c r="C1212" s="7">
        <v>4.8992161254202138E-4</v>
      </c>
      <c r="D1212" s="7">
        <v>-3.474903474903468E-2</v>
      </c>
      <c r="E1212" s="7">
        <v>4.797543657646397E-4</v>
      </c>
      <c r="F1212" s="7">
        <v>1.4469162597214869E-3</v>
      </c>
      <c r="G1212" s="7"/>
      <c r="H1212" s="7">
        <f t="shared" si="30"/>
        <v>4.8211249773919551E-3</v>
      </c>
      <c r="I1212" s="7">
        <f t="shared" si="30"/>
        <v>-9.5699464717946547E-4</v>
      </c>
      <c r="J1212" s="7">
        <f t="shared" si="30"/>
        <v>-3.6195951008756166E-2</v>
      </c>
      <c r="K1212" s="7">
        <f t="shared" si="29"/>
        <v>-9.6716189395684715E-4</v>
      </c>
      <c r="L1212" s="7"/>
    </row>
    <row r="1213" spans="1:12" x14ac:dyDescent="0.25">
      <c r="A1213" s="2" t="s">
        <v>1225</v>
      </c>
      <c r="B1213" s="7">
        <v>-2.7142622141799189E-3</v>
      </c>
      <c r="C1213" s="7">
        <v>7.7046998669172417E-4</v>
      </c>
      <c r="D1213" s="7">
        <v>8.3682008368200611E-2</v>
      </c>
      <c r="E1213" s="7">
        <v>2.5787401574803193E-2</v>
      </c>
      <c r="F1213" s="7">
        <v>-4.923753184382651E-4</v>
      </c>
      <c r="G1213" s="7"/>
      <c r="H1213" s="7">
        <f t="shared" si="30"/>
        <v>-2.2218868957416538E-3</v>
      </c>
      <c r="I1213" s="7">
        <f t="shared" si="30"/>
        <v>1.2628453051299893E-3</v>
      </c>
      <c r="J1213" s="7">
        <f t="shared" si="30"/>
        <v>8.4174383686638876E-2</v>
      </c>
      <c r="K1213" s="7">
        <f t="shared" si="29"/>
        <v>2.6279776893241458E-2</v>
      </c>
      <c r="L1213" s="7"/>
    </row>
    <row r="1214" spans="1:12" x14ac:dyDescent="0.25">
      <c r="A1214" s="2" t="s">
        <v>1226</v>
      </c>
      <c r="B1214" s="7">
        <v>-5.3178434099648841E-3</v>
      </c>
      <c r="C1214" s="7">
        <v>-9.7963753411223209E-4</v>
      </c>
      <c r="D1214" s="7">
        <v>-4.1666666666665408E-3</v>
      </c>
      <c r="E1214" s="7">
        <v>5.7414373391406759E-3</v>
      </c>
      <c r="F1214" s="7">
        <v>7.688865190149663E-4</v>
      </c>
      <c r="G1214" s="7"/>
      <c r="H1214" s="7">
        <f t="shared" si="30"/>
        <v>-6.0867299289798504E-3</v>
      </c>
      <c r="I1214" s="7">
        <f t="shared" si="30"/>
        <v>-1.7485240531271984E-3</v>
      </c>
      <c r="J1214" s="7">
        <f t="shared" si="30"/>
        <v>-4.9355531856815071E-3</v>
      </c>
      <c r="K1214" s="7">
        <f t="shared" si="29"/>
        <v>4.9725508201257096E-3</v>
      </c>
      <c r="L1214" s="7"/>
    </row>
    <row r="1215" spans="1:12" x14ac:dyDescent="0.25">
      <c r="A1215" s="2" t="s">
        <v>1227</v>
      </c>
      <c r="B1215" s="7">
        <v>-1.2362637362637319E-2</v>
      </c>
      <c r="C1215" s="7">
        <v>8.2545505855791124E-3</v>
      </c>
      <c r="D1215" s="7">
        <v>-4.7619047619047672E-2</v>
      </c>
      <c r="E1215" s="7">
        <v>4.5244369313379718E-3</v>
      </c>
      <c r="F1215" s="7">
        <v>1.1653983922745859E-3</v>
      </c>
      <c r="G1215" s="7"/>
      <c r="H1215" s="7">
        <f t="shared" si="30"/>
        <v>-1.3528035754911905E-2</v>
      </c>
      <c r="I1215" s="7">
        <f t="shared" si="30"/>
        <v>7.0891521933045265E-3</v>
      </c>
      <c r="J1215" s="7">
        <f t="shared" si="30"/>
        <v>-4.8784446011322258E-2</v>
      </c>
      <c r="K1215" s="7">
        <f t="shared" si="29"/>
        <v>3.3590385390633859E-3</v>
      </c>
      <c r="L1215" s="7"/>
    </row>
    <row r="1216" spans="1:12" x14ac:dyDescent="0.25">
      <c r="A1216" s="2" t="s">
        <v>1228</v>
      </c>
      <c r="B1216" s="7">
        <v>-4.0384460059761373E-4</v>
      </c>
      <c r="C1216" s="7">
        <v>-6.3456250440674378E-4</v>
      </c>
      <c r="D1216" s="7">
        <v>1.6129032258064502E-2</v>
      </c>
      <c r="E1216" s="7">
        <v>3.0921151064784436E-3</v>
      </c>
      <c r="F1216" s="7">
        <v>1.876732575158746E-3</v>
      </c>
      <c r="G1216" s="7"/>
      <c r="H1216" s="7">
        <f t="shared" si="30"/>
        <v>-2.2805771757563598E-3</v>
      </c>
      <c r="I1216" s="7">
        <f t="shared" si="30"/>
        <v>-2.5112950795654898E-3</v>
      </c>
      <c r="J1216" s="7">
        <f t="shared" si="30"/>
        <v>1.4252299682905756E-2</v>
      </c>
      <c r="K1216" s="7">
        <f t="shared" si="29"/>
        <v>1.2153825313196975E-3</v>
      </c>
      <c r="L1216" s="7"/>
    </row>
    <row r="1217" spans="1:12" x14ac:dyDescent="0.25">
      <c r="A1217" s="2" t="s">
        <v>1229</v>
      </c>
      <c r="B1217" s="7">
        <v>-1.6127731634545395E-3</v>
      </c>
      <c r="C1217" s="7">
        <v>-4.4921737909734416E-3</v>
      </c>
      <c r="D1217" s="7">
        <v>8.1300813008129413E-3</v>
      </c>
      <c r="E1217" s="7">
        <v>3.3024768576432884E-3</v>
      </c>
      <c r="F1217" s="7">
        <v>-2.1253022956601031E-3</v>
      </c>
      <c r="G1217" s="7"/>
      <c r="H1217" s="7">
        <f t="shared" si="30"/>
        <v>5.1252913220556362E-4</v>
      </c>
      <c r="I1217" s="7">
        <f t="shared" si="30"/>
        <v>-2.3668714953133385E-3</v>
      </c>
      <c r="J1217" s="7">
        <f t="shared" si="30"/>
        <v>1.0255383596473044E-2</v>
      </c>
      <c r="K1217" s="7">
        <f t="shared" si="29"/>
        <v>5.4277791533033914E-3</v>
      </c>
      <c r="L1217" s="7"/>
    </row>
    <row r="1218" spans="1:12" x14ac:dyDescent="0.25">
      <c r="A1218" s="2" t="s">
        <v>229</v>
      </c>
      <c r="B1218" s="7">
        <v>1.3319169798986952E-2</v>
      </c>
      <c r="C1218" s="7">
        <v>3.7339721008877724E-3</v>
      </c>
      <c r="D1218" s="7">
        <v>4.0816326530610514E-3</v>
      </c>
      <c r="E1218" s="7">
        <v>-2.9435242466573364E-3</v>
      </c>
      <c r="F1218" s="7">
        <v>9.9113059631461553E-3</v>
      </c>
      <c r="G1218" s="7"/>
      <c r="H1218" s="7">
        <f t="shared" si="30"/>
        <v>3.4078638358407964E-3</v>
      </c>
      <c r="I1218" s="7">
        <f t="shared" si="30"/>
        <v>-6.1773338622583829E-3</v>
      </c>
      <c r="J1218" s="7">
        <f t="shared" si="30"/>
        <v>-5.8296733100851039E-3</v>
      </c>
      <c r="K1218" s="7">
        <f t="shared" si="30"/>
        <v>-1.2854830209803492E-2</v>
      </c>
      <c r="L1218" s="7"/>
    </row>
    <row r="1219" spans="1:12" x14ac:dyDescent="0.25">
      <c r="A1219" s="2" t="s">
        <v>1230</v>
      </c>
      <c r="B1219" s="7">
        <v>-1.4733113275903653E-2</v>
      </c>
      <c r="C1219" s="7">
        <v>1.0579025319135127E-3</v>
      </c>
      <c r="D1219" s="7">
        <v>2.5104602510460206E-2</v>
      </c>
      <c r="E1219" s="7">
        <v>-2.7320813315863557E-2</v>
      </c>
      <c r="F1219" s="7">
        <v>-7.8381965415763588E-4</v>
      </c>
      <c r="G1219" s="7"/>
      <c r="H1219" s="7">
        <f t="shared" ref="H1219:K1256" si="31">B1219-$F1219</f>
        <v>-1.3949293621746017E-2</v>
      </c>
      <c r="I1219" s="7">
        <f t="shared" si="31"/>
        <v>1.8417221860711486E-3</v>
      </c>
      <c r="J1219" s="7">
        <f t="shared" si="31"/>
        <v>2.5888422164617841E-2</v>
      </c>
      <c r="K1219" s="7">
        <f t="shared" si="31"/>
        <v>-2.6536993661705921E-2</v>
      </c>
      <c r="L1219" s="7"/>
    </row>
    <row r="1220" spans="1:12" x14ac:dyDescent="0.25">
      <c r="A1220" s="2" t="s">
        <v>1231</v>
      </c>
      <c r="B1220" s="7">
        <v>2.1043978627209192E-2</v>
      </c>
      <c r="C1220" s="7">
        <v>2.6163201810212033E-3</v>
      </c>
      <c r="D1220" s="7">
        <v>8.4388185654007408E-3</v>
      </c>
      <c r="E1220" s="7">
        <v>2.0906613822145204E-2</v>
      </c>
      <c r="F1220" s="7">
        <v>1.0554756443649449E-2</v>
      </c>
      <c r="G1220" s="7"/>
      <c r="H1220" s="7">
        <f t="shared" si="31"/>
        <v>1.0489222183559743E-2</v>
      </c>
      <c r="I1220" s="7">
        <f t="shared" si="31"/>
        <v>-7.9384362626282456E-3</v>
      </c>
      <c r="J1220" s="7">
        <f t="shared" si="31"/>
        <v>-2.1159378782487082E-3</v>
      </c>
      <c r="K1220" s="7">
        <f t="shared" si="31"/>
        <v>1.0351857378495755E-2</v>
      </c>
      <c r="L1220" s="7"/>
    </row>
    <row r="1221" spans="1:12" x14ac:dyDescent="0.25">
      <c r="A1221" s="2" t="s">
        <v>1232</v>
      </c>
      <c r="B1221" s="7">
        <v>-1.3135210573844702E-3</v>
      </c>
      <c r="C1221" s="7">
        <v>-2.1168501270111273E-3</v>
      </c>
      <c r="D1221" s="7">
        <v>0</v>
      </c>
      <c r="E1221" s="7">
        <v>-5.5180568556929543E-3</v>
      </c>
      <c r="F1221" s="7">
        <v>-2.9434351705374118E-3</v>
      </c>
      <c r="G1221" s="7"/>
      <c r="H1221" s="7">
        <f t="shared" si="31"/>
        <v>1.6299141131529415E-3</v>
      </c>
      <c r="I1221" s="7">
        <f t="shared" si="31"/>
        <v>8.2658504352628448E-4</v>
      </c>
      <c r="J1221" s="7">
        <f t="shared" si="31"/>
        <v>2.9434351705374118E-3</v>
      </c>
      <c r="K1221" s="7">
        <f t="shared" si="31"/>
        <v>-2.5746216851555426E-3</v>
      </c>
      <c r="L1221" s="7"/>
    </row>
    <row r="1222" spans="1:12" x14ac:dyDescent="0.25">
      <c r="A1222" s="2" t="s">
        <v>1233</v>
      </c>
      <c r="B1222" s="7">
        <v>-1.1282467532467533E-2</v>
      </c>
      <c r="C1222" s="7">
        <v>-1.0127820074037786E-2</v>
      </c>
      <c r="D1222" s="7">
        <v>2.155172413793105E-2</v>
      </c>
      <c r="E1222" s="7">
        <v>1.2672753579803464E-2</v>
      </c>
      <c r="F1222" s="7">
        <v>-8.5173024218827553E-3</v>
      </c>
      <c r="G1222" s="7"/>
      <c r="H1222" s="7">
        <f t="shared" si="31"/>
        <v>-2.7651651105847774E-3</v>
      </c>
      <c r="I1222" s="7">
        <f t="shared" si="31"/>
        <v>-1.6105176521550302E-3</v>
      </c>
      <c r="J1222" s="7">
        <f t="shared" si="31"/>
        <v>3.0069026559813805E-2</v>
      </c>
      <c r="K1222" s="7">
        <f t="shared" si="31"/>
        <v>2.1190056001686219E-2</v>
      </c>
      <c r="L1222" s="7"/>
    </row>
    <row r="1223" spans="1:12" x14ac:dyDescent="0.25">
      <c r="A1223" s="2" t="s">
        <v>230</v>
      </c>
      <c r="B1223" s="7">
        <v>-9.2480900683553635E-3</v>
      </c>
      <c r="C1223" s="7">
        <v>3.5749334081032202E-3</v>
      </c>
      <c r="D1223" s="7">
        <v>1.7543859649122862E-2</v>
      </c>
      <c r="E1223" s="7">
        <v>7.3377896165252032E-3</v>
      </c>
      <c r="F1223" s="7">
        <v>-2.5300382141189015E-3</v>
      </c>
      <c r="G1223" s="7"/>
      <c r="H1223" s="7">
        <f t="shared" si="31"/>
        <v>-6.718051854236462E-3</v>
      </c>
      <c r="I1223" s="7">
        <f t="shared" si="31"/>
        <v>6.1049716222221218E-3</v>
      </c>
      <c r="J1223" s="7">
        <f t="shared" si="31"/>
        <v>2.0073897863241763E-2</v>
      </c>
      <c r="K1223" s="7">
        <f t="shared" si="31"/>
        <v>9.8678278306441047E-3</v>
      </c>
      <c r="L1223" s="7"/>
    </row>
    <row r="1224" spans="1:12" x14ac:dyDescent="0.25">
      <c r="A1224" s="2" t="s">
        <v>1234</v>
      </c>
      <c r="B1224" s="7">
        <v>1.9847453456901309E-2</v>
      </c>
      <c r="C1224" s="7">
        <v>4.7894069587266497E-3</v>
      </c>
      <c r="D1224" s="7">
        <v>1.7857142857142572E-2</v>
      </c>
      <c r="E1224" s="7">
        <v>1.6657299064942954E-2</v>
      </c>
      <c r="F1224" s="7">
        <v>1.4917933130699224E-2</v>
      </c>
      <c r="G1224" s="7"/>
      <c r="H1224" s="7">
        <f t="shared" si="31"/>
        <v>4.9295203262020859E-3</v>
      </c>
      <c r="I1224" s="7">
        <f t="shared" si="31"/>
        <v>-1.0128526171972574E-2</v>
      </c>
      <c r="J1224" s="7">
        <f t="shared" si="31"/>
        <v>2.9392097264433481E-3</v>
      </c>
      <c r="K1224" s="7">
        <f t="shared" si="31"/>
        <v>1.7393659342437306E-3</v>
      </c>
      <c r="L1224" s="7"/>
    </row>
    <row r="1225" spans="1:12" x14ac:dyDescent="0.25">
      <c r="A1225" s="2" t="s">
        <v>1235</v>
      </c>
      <c r="B1225" s="7">
        <v>1.7949574219402242E-2</v>
      </c>
      <c r="C1225" s="7">
        <v>2.2763290592133778E-2</v>
      </c>
      <c r="D1225" s="7">
        <v>-8.8495575221236855E-3</v>
      </c>
      <c r="E1225" s="7">
        <v>-6.2871097490902139E-2</v>
      </c>
      <c r="F1225" s="7">
        <v>1.2173151138064053E-2</v>
      </c>
      <c r="G1225" s="7"/>
      <c r="H1225" s="7">
        <f t="shared" si="31"/>
        <v>5.7764230813381889E-3</v>
      </c>
      <c r="I1225" s="7">
        <f t="shared" si="31"/>
        <v>1.0590139454069725E-2</v>
      </c>
      <c r="J1225" s="7">
        <f t="shared" si="31"/>
        <v>-2.1022708660187739E-2</v>
      </c>
      <c r="K1225" s="7">
        <f t="shared" si="31"/>
        <v>-7.5044248628966193E-2</v>
      </c>
      <c r="L1225" s="7"/>
    </row>
    <row r="1226" spans="1:12" x14ac:dyDescent="0.25">
      <c r="A1226" s="2" t="s">
        <v>1236</v>
      </c>
      <c r="B1226" s="7">
        <v>-2.4910452621295986E-2</v>
      </c>
      <c r="C1226" s="7">
        <v>-2.3769338959212294E-2</v>
      </c>
      <c r="D1226" s="7">
        <v>-4.4052863436124801E-3</v>
      </c>
      <c r="E1226" s="7">
        <v>-6.6590563165905836E-3</v>
      </c>
      <c r="F1226" s="7">
        <v>-2.1449387057151936E-2</v>
      </c>
      <c r="G1226" s="7"/>
      <c r="H1226" s="7">
        <f t="shared" si="31"/>
        <v>-3.4610655641440502E-3</v>
      </c>
      <c r="I1226" s="7">
        <f t="shared" si="31"/>
        <v>-2.3199519020603576E-3</v>
      </c>
      <c r="J1226" s="7">
        <f t="shared" si="31"/>
        <v>1.7044100713539456E-2</v>
      </c>
      <c r="K1226" s="7">
        <f t="shared" si="31"/>
        <v>1.4790330740561353E-2</v>
      </c>
      <c r="L1226" s="7"/>
    </row>
    <row r="1227" spans="1:12" x14ac:dyDescent="0.25">
      <c r="A1227" s="2" t="s">
        <v>1237</v>
      </c>
      <c r="B1227" s="7">
        <v>-7.4337427278603485E-3</v>
      </c>
      <c r="C1227" s="7">
        <v>-1.7412935323383172E-2</v>
      </c>
      <c r="D1227" s="7">
        <v>-1.7316017316017285E-2</v>
      </c>
      <c r="E1227" s="7">
        <v>8.3936879466641745E-3</v>
      </c>
      <c r="F1227" s="7">
        <v>-8.6738945141735524E-3</v>
      </c>
      <c r="G1227" s="7"/>
      <c r="H1227" s="7">
        <f t="shared" si="31"/>
        <v>1.2401517863132039E-3</v>
      </c>
      <c r="I1227" s="7">
        <f t="shared" si="31"/>
        <v>-8.7390408092096195E-3</v>
      </c>
      <c r="J1227" s="7">
        <f t="shared" si="31"/>
        <v>-8.6421228018437324E-3</v>
      </c>
      <c r="K1227" s="7">
        <f t="shared" si="31"/>
        <v>1.7067582460837727E-2</v>
      </c>
      <c r="L1227" s="7"/>
    </row>
    <row r="1228" spans="1:12" x14ac:dyDescent="0.25">
      <c r="A1228" s="2" t="s">
        <v>231</v>
      </c>
      <c r="B1228" s="7">
        <v>-2.5818639798488641E-2</v>
      </c>
      <c r="C1228" s="7">
        <v>2.0952380952380834E-2</v>
      </c>
      <c r="D1228" s="7">
        <v>-1.7021276595744705E-2</v>
      </c>
      <c r="E1228" s="7">
        <v>-2.5656603420880386E-2</v>
      </c>
      <c r="F1228" s="7">
        <v>-1.0435666020885526E-2</v>
      </c>
      <c r="G1228" s="7"/>
      <c r="H1228" s="7">
        <f t="shared" si="31"/>
        <v>-1.5382973777603115E-2</v>
      </c>
      <c r="I1228" s="7">
        <f t="shared" si="31"/>
        <v>3.1388046973266359E-2</v>
      </c>
      <c r="J1228" s="7">
        <f t="shared" si="31"/>
        <v>-6.5856105748591798E-3</v>
      </c>
      <c r="K1228" s="7">
        <f t="shared" si="31"/>
        <v>-1.5220937399994861E-2</v>
      </c>
      <c r="L1228" s="7"/>
    </row>
    <row r="1229" spans="1:12" x14ac:dyDescent="0.25">
      <c r="A1229" s="2" t="s">
        <v>1238</v>
      </c>
      <c r="B1229" s="7">
        <v>5.3018912716626954E-3</v>
      </c>
      <c r="C1229" s="7">
        <v>3.2557151956968955E-3</v>
      </c>
      <c r="D1229" s="7">
        <v>2.1739130434782705E-2</v>
      </c>
      <c r="E1229" s="7">
        <v>-4.8830395758732159E-3</v>
      </c>
      <c r="F1229" s="7">
        <v>7.3733464711231989E-3</v>
      </c>
      <c r="G1229" s="7"/>
      <c r="H1229" s="7">
        <f t="shared" si="31"/>
        <v>-2.0714551994605035E-3</v>
      </c>
      <c r="I1229" s="7">
        <f t="shared" si="31"/>
        <v>-4.1176312754263034E-3</v>
      </c>
      <c r="J1229" s="7">
        <f t="shared" si="31"/>
        <v>1.4365783963659506E-2</v>
      </c>
      <c r="K1229" s="7">
        <f t="shared" si="31"/>
        <v>-1.2256386046996415E-2</v>
      </c>
      <c r="L1229" s="7"/>
    </row>
    <row r="1230" spans="1:12" x14ac:dyDescent="0.25">
      <c r="A1230" s="2" t="s">
        <v>1239</v>
      </c>
      <c r="B1230" s="7">
        <v>1.2823595415564659E-2</v>
      </c>
      <c r="C1230" s="7">
        <v>4.8360714031716601E-3</v>
      </c>
      <c r="D1230" s="7">
        <v>0</v>
      </c>
      <c r="E1230" s="7">
        <v>-1.5786785531876069E-3</v>
      </c>
      <c r="F1230" s="7">
        <v>8.1653905494540879E-3</v>
      </c>
      <c r="G1230" s="7"/>
      <c r="H1230" s="7">
        <f t="shared" si="31"/>
        <v>4.6582048661105713E-3</v>
      </c>
      <c r="I1230" s="7">
        <f t="shared" si="31"/>
        <v>-3.3293191462824279E-3</v>
      </c>
      <c r="J1230" s="7">
        <f t="shared" si="31"/>
        <v>-8.1653905494540879E-3</v>
      </c>
      <c r="K1230" s="7">
        <f t="shared" si="31"/>
        <v>-9.7440691026416948E-3</v>
      </c>
      <c r="L1230" s="7"/>
    </row>
    <row r="1231" spans="1:12" x14ac:dyDescent="0.25">
      <c r="A1231" s="2" t="s">
        <v>1240</v>
      </c>
      <c r="B1231" s="7">
        <v>1.9272464466393302E-3</v>
      </c>
      <c r="C1231" s="7">
        <v>1.0347057555507799E-2</v>
      </c>
      <c r="D1231" s="7">
        <v>1.7699115044247815E-2</v>
      </c>
      <c r="E1231" s="7">
        <v>-4.9436333394935472E-3</v>
      </c>
      <c r="F1231" s="7">
        <v>7.0353882429774472E-4</v>
      </c>
      <c r="G1231" s="7"/>
      <c r="H1231" s="7">
        <f t="shared" si="31"/>
        <v>1.2237076223415855E-3</v>
      </c>
      <c r="I1231" s="7">
        <f t="shared" si="31"/>
        <v>9.6435187312100545E-3</v>
      </c>
      <c r="J1231" s="7">
        <f t="shared" si="31"/>
        <v>1.699557621995007E-2</v>
      </c>
      <c r="K1231" s="7">
        <f t="shared" si="31"/>
        <v>-5.6471721637912919E-3</v>
      </c>
      <c r="L1231" s="7"/>
    </row>
    <row r="1232" spans="1:12" x14ac:dyDescent="0.25">
      <c r="A1232" s="2" t="s">
        <v>1241</v>
      </c>
      <c r="B1232" s="7">
        <v>-3.5324192423890288E-2</v>
      </c>
      <c r="C1232" s="7">
        <v>3.8952607660678318E-3</v>
      </c>
      <c r="D1232" s="7">
        <v>-4.2372881355932202E-2</v>
      </c>
      <c r="E1232" s="7">
        <v>-1.2140575079872207E-2</v>
      </c>
      <c r="F1232" s="7">
        <v>-6.6783378571121377E-3</v>
      </c>
      <c r="G1232" s="7"/>
      <c r="H1232" s="7">
        <f t="shared" si="31"/>
        <v>-2.8645854566778151E-2</v>
      </c>
      <c r="I1232" s="7">
        <f t="shared" si="31"/>
        <v>1.0573598623179969E-2</v>
      </c>
      <c r="J1232" s="7">
        <f t="shared" si="31"/>
        <v>-3.5694543498820064E-2</v>
      </c>
      <c r="K1232" s="7">
        <f t="shared" si="31"/>
        <v>-5.4622372227600691E-3</v>
      </c>
      <c r="L1232" s="7"/>
    </row>
    <row r="1233" spans="1:12" x14ac:dyDescent="0.25">
      <c r="A1233" s="2" t="s">
        <v>232</v>
      </c>
      <c r="B1233" s="7">
        <v>8.2005623242737968E-3</v>
      </c>
      <c r="C1233" s="7">
        <v>7.4122520165684769E-3</v>
      </c>
      <c r="D1233" s="7">
        <v>3.5087719298245723E-2</v>
      </c>
      <c r="E1233" s="7">
        <v>-1.0486481557471228E-3</v>
      </c>
      <c r="F1233" s="7">
        <v>2.7480346410215795E-3</v>
      </c>
      <c r="G1233" s="7"/>
      <c r="H1233" s="7">
        <f t="shared" si="31"/>
        <v>5.4525276832522174E-3</v>
      </c>
      <c r="I1233" s="7">
        <f t="shared" si="31"/>
        <v>4.6642173755468974E-3</v>
      </c>
      <c r="J1233" s="7">
        <f t="shared" si="31"/>
        <v>3.2339684657224144E-2</v>
      </c>
      <c r="K1233" s="7">
        <f t="shared" si="31"/>
        <v>-3.7966827967687022E-3</v>
      </c>
      <c r="L1233" s="7"/>
    </row>
    <row r="1234" spans="1:12" x14ac:dyDescent="0.25">
      <c r="A1234" s="2" t="s">
        <v>1242</v>
      </c>
      <c r="B1234" s="7">
        <v>-1.5152680563033649E-2</v>
      </c>
      <c r="C1234" s="7">
        <v>-9.5724773283430986E-3</v>
      </c>
      <c r="D1234" s="7">
        <v>-2.5641025641025661E-2</v>
      </c>
      <c r="E1234" s="7">
        <v>-1.3803956834532394E-2</v>
      </c>
      <c r="F1234" s="7">
        <v>-7.1946375018698827E-3</v>
      </c>
      <c r="G1234" s="7"/>
      <c r="H1234" s="7">
        <f t="shared" si="31"/>
        <v>-7.9580430611637665E-3</v>
      </c>
      <c r="I1234" s="7">
        <f t="shared" si="31"/>
        <v>-2.3778398264732159E-3</v>
      </c>
      <c r="J1234" s="7">
        <f t="shared" si="31"/>
        <v>-1.8446388139155778E-2</v>
      </c>
      <c r="K1234" s="7">
        <f t="shared" si="31"/>
        <v>-6.609319332662511E-3</v>
      </c>
      <c r="L1234" s="7"/>
    </row>
    <row r="1235" spans="1:12" x14ac:dyDescent="0.25">
      <c r="A1235" s="2" t="s">
        <v>1243</v>
      </c>
      <c r="B1235" s="7">
        <v>-7.6858043194238945E-4</v>
      </c>
      <c r="C1235" s="7">
        <v>1.594033343082768E-2</v>
      </c>
      <c r="D1235" s="7">
        <v>2.1834061135371119E-2</v>
      </c>
      <c r="E1235" s="7">
        <v>-1.0720163693785811E-2</v>
      </c>
      <c r="F1235" s="7">
        <v>6.7627976802335787E-3</v>
      </c>
      <c r="G1235" s="7"/>
      <c r="H1235" s="7">
        <f t="shared" si="31"/>
        <v>-7.5313781121759682E-3</v>
      </c>
      <c r="I1235" s="7">
        <f t="shared" si="31"/>
        <v>9.1775357505941013E-3</v>
      </c>
      <c r="J1235" s="7">
        <f t="shared" si="31"/>
        <v>1.507126345513754E-2</v>
      </c>
      <c r="K1235" s="7">
        <f t="shared" si="31"/>
        <v>-1.748296137401939E-2</v>
      </c>
      <c r="L1235" s="7"/>
    </row>
    <row r="1236" spans="1:12" x14ac:dyDescent="0.25">
      <c r="A1236" s="2" t="s">
        <v>1244</v>
      </c>
      <c r="B1236" s="7">
        <v>-6.035141329258864E-3</v>
      </c>
      <c r="C1236" s="7">
        <v>7.5885950047889228E-3</v>
      </c>
      <c r="D1236" s="7">
        <v>4.5662100456621113E-2</v>
      </c>
      <c r="E1236" s="7">
        <v>3.392099977683527E-3</v>
      </c>
      <c r="F1236" s="7">
        <v>-8.4553063018300012E-4</v>
      </c>
      <c r="G1236" s="7"/>
      <c r="H1236" s="7">
        <f t="shared" si="31"/>
        <v>-5.1896106990758639E-3</v>
      </c>
      <c r="I1236" s="7">
        <f t="shared" si="31"/>
        <v>8.4341256349719229E-3</v>
      </c>
      <c r="J1236" s="7">
        <f t="shared" si="31"/>
        <v>4.6507631086804113E-2</v>
      </c>
      <c r="K1236" s="7">
        <f t="shared" si="31"/>
        <v>4.2376306078665271E-3</v>
      </c>
      <c r="L1236" s="7"/>
    </row>
    <row r="1237" spans="1:12" x14ac:dyDescent="0.25">
      <c r="A1237" s="2" t="s">
        <v>1245</v>
      </c>
      <c r="B1237" s="7">
        <v>-2.4386526444138967E-3</v>
      </c>
      <c r="C1237" s="7">
        <v>-2.5977753857194141E-2</v>
      </c>
      <c r="D1237" s="7">
        <v>-4.5454545454546302E-3</v>
      </c>
      <c r="E1237" s="7">
        <v>1.3846780397303027E-2</v>
      </c>
      <c r="F1237" s="7">
        <v>-2.1491921425531579E-4</v>
      </c>
      <c r="G1237" s="7"/>
      <c r="H1237" s="7">
        <f t="shared" si="31"/>
        <v>-2.2237334301585809E-3</v>
      </c>
      <c r="I1237" s="7">
        <f t="shared" si="31"/>
        <v>-2.5762834642938826E-2</v>
      </c>
      <c r="J1237" s="7">
        <f t="shared" si="31"/>
        <v>-4.3305353311993144E-3</v>
      </c>
      <c r="K1237" s="7">
        <f t="shared" si="31"/>
        <v>1.4061699611558343E-2</v>
      </c>
      <c r="L1237" s="7"/>
    </row>
    <row r="1238" spans="1:12" x14ac:dyDescent="0.25">
      <c r="A1238" s="2" t="s">
        <v>233</v>
      </c>
      <c r="B1238" s="7">
        <v>2.9809676679659614E-3</v>
      </c>
      <c r="C1238" s="7">
        <v>-1.2682442964432439E-2</v>
      </c>
      <c r="D1238" s="7">
        <v>1.3824884792626779E-2</v>
      </c>
      <c r="E1238" s="7">
        <v>2.6314595526519824E-3</v>
      </c>
      <c r="F1238" s="7">
        <v>1.782224167916624E-3</v>
      </c>
      <c r="G1238" s="7"/>
      <c r="H1238" s="7">
        <f t="shared" si="31"/>
        <v>1.1987435000493374E-3</v>
      </c>
      <c r="I1238" s="7">
        <f t="shared" si="31"/>
        <v>-1.4464667132349063E-2</v>
      </c>
      <c r="J1238" s="7">
        <f t="shared" si="31"/>
        <v>1.2042660624710155E-2</v>
      </c>
      <c r="K1238" s="7">
        <f t="shared" si="31"/>
        <v>8.4923538473535842E-4</v>
      </c>
      <c r="L1238" s="7"/>
    </row>
    <row r="1239" spans="1:12" x14ac:dyDescent="0.25">
      <c r="A1239" s="2" t="s">
        <v>1246</v>
      </c>
      <c r="B1239" s="7">
        <v>1.8053069800015642E-2</v>
      </c>
      <c r="C1239" s="7">
        <v>6.4893389431648352E-3</v>
      </c>
      <c r="D1239" s="7">
        <v>0</v>
      </c>
      <c r="E1239" s="7">
        <v>1.1937009320049485E-2</v>
      </c>
      <c r="F1239" s="7">
        <v>1.0928710658818286E-2</v>
      </c>
      <c r="G1239" s="7"/>
      <c r="H1239" s="7">
        <f t="shared" si="31"/>
        <v>7.1243591411973561E-3</v>
      </c>
      <c r="I1239" s="7">
        <f t="shared" si="31"/>
        <v>-4.4393717156534507E-3</v>
      </c>
      <c r="J1239" s="7">
        <f t="shared" si="31"/>
        <v>-1.0928710658818286E-2</v>
      </c>
      <c r="K1239" s="7">
        <f t="shared" si="31"/>
        <v>1.0082986612311995E-3</v>
      </c>
      <c r="L1239" s="7"/>
    </row>
    <row r="1240" spans="1:12" x14ac:dyDescent="0.25">
      <c r="A1240" s="2" t="s">
        <v>1247</v>
      </c>
      <c r="B1240" s="7">
        <v>-1.1689610089979263E-2</v>
      </c>
      <c r="C1240" s="7">
        <v>7.1316502638696377E-5</v>
      </c>
      <c r="D1240" s="7">
        <v>-2.2522522522522626E-2</v>
      </c>
      <c r="E1240" s="7">
        <v>-4.1303350160626362E-4</v>
      </c>
      <c r="F1240" s="7">
        <v>-9.2106713438859789E-3</v>
      </c>
      <c r="G1240" s="7"/>
      <c r="H1240" s="7">
        <f t="shared" si="31"/>
        <v>-2.4789387460932844E-3</v>
      </c>
      <c r="I1240" s="7">
        <f t="shared" si="31"/>
        <v>9.2819878465246752E-3</v>
      </c>
      <c r="J1240" s="7">
        <f t="shared" si="31"/>
        <v>-1.3311851178636647E-2</v>
      </c>
      <c r="K1240" s="7">
        <f t="shared" si="31"/>
        <v>8.7976378422797152E-3</v>
      </c>
      <c r="L1240" s="7"/>
    </row>
    <row r="1241" spans="1:12" x14ac:dyDescent="0.25">
      <c r="A1241" s="2" t="s">
        <v>1248</v>
      </c>
      <c r="B1241" s="7">
        <v>2.9309679907443265E-3</v>
      </c>
      <c r="C1241" s="7">
        <v>1.3003901170351106E-2</v>
      </c>
      <c r="D1241" s="7">
        <v>3.2558139534883956E-2</v>
      </c>
      <c r="E1241" s="7">
        <v>-1.92378160498341E-3</v>
      </c>
      <c r="F1241" s="7">
        <v>9.3060600637495661E-3</v>
      </c>
      <c r="G1241" s="7"/>
      <c r="H1241" s="7">
        <f t="shared" si="31"/>
        <v>-6.3750920730052396E-3</v>
      </c>
      <c r="I1241" s="7">
        <f t="shared" si="31"/>
        <v>3.6978411066015404E-3</v>
      </c>
      <c r="J1241" s="7">
        <f t="shared" si="31"/>
        <v>2.325207947113439E-2</v>
      </c>
      <c r="K1241" s="7">
        <f t="shared" si="31"/>
        <v>-1.1229841668732976E-2</v>
      </c>
      <c r="L1241" s="7"/>
    </row>
    <row r="1242" spans="1:12" x14ac:dyDescent="0.25">
      <c r="A1242" s="2" t="s">
        <v>1249</v>
      </c>
      <c r="B1242" s="7">
        <v>-1.2792202847788037E-2</v>
      </c>
      <c r="C1242" s="7">
        <v>-1.4427932477276695E-3</v>
      </c>
      <c r="D1242" s="7">
        <v>-2.2727272727272818E-2</v>
      </c>
      <c r="E1242" s="7">
        <v>-2.0854823518859034E-2</v>
      </c>
      <c r="F1242" s="7">
        <v>-6.8023616108532359E-3</v>
      </c>
      <c r="G1242" s="7"/>
      <c r="H1242" s="7">
        <f t="shared" si="31"/>
        <v>-5.9898412369348009E-3</v>
      </c>
      <c r="I1242" s="7">
        <f t="shared" si="31"/>
        <v>5.3595683631255664E-3</v>
      </c>
      <c r="J1242" s="7">
        <f t="shared" si="31"/>
        <v>-1.5924911116419582E-2</v>
      </c>
      <c r="K1242" s="7">
        <f t="shared" si="31"/>
        <v>-1.4052461908005798E-2</v>
      </c>
      <c r="L1242" s="7"/>
    </row>
    <row r="1243" spans="1:12" x14ac:dyDescent="0.25">
      <c r="A1243" s="2" t="s">
        <v>234</v>
      </c>
      <c r="B1243" s="7">
        <v>5.0508915588889369E-3</v>
      </c>
      <c r="C1243" s="7">
        <v>7.2144866892553949E-5</v>
      </c>
      <c r="D1243" s="7">
        <v>4.5662100456622667E-3</v>
      </c>
      <c r="E1243" s="7">
        <v>-1.6366684312687507E-2</v>
      </c>
      <c r="F1243" s="7">
        <v>-5.3064530387267883E-3</v>
      </c>
      <c r="G1243" s="7"/>
      <c r="H1243" s="7">
        <f t="shared" si="31"/>
        <v>1.0357344597615725E-2</v>
      </c>
      <c r="I1243" s="7">
        <f t="shared" si="31"/>
        <v>5.3785979056193423E-3</v>
      </c>
      <c r="J1243" s="7">
        <f t="shared" si="31"/>
        <v>9.872663084389055E-3</v>
      </c>
      <c r="K1243" s="7">
        <f t="shared" si="31"/>
        <v>-1.1060231273960719E-2</v>
      </c>
      <c r="L1243" s="7"/>
    </row>
    <row r="1244" spans="1:12" x14ac:dyDescent="0.25">
      <c r="A1244" s="2" t="s">
        <v>1250</v>
      </c>
      <c r="B1244" s="7">
        <v>-2.519083969465763E-3</v>
      </c>
      <c r="C1244" s="7">
        <v>5.5132390279291066E-3</v>
      </c>
      <c r="D1244" s="7">
        <v>1.388888888888884E-2</v>
      </c>
      <c r="E1244" s="7">
        <v>-1.6735664582048226E-3</v>
      </c>
      <c r="F1244" s="7">
        <v>3.6087492386858155E-3</v>
      </c>
      <c r="G1244" s="7"/>
      <c r="H1244" s="7">
        <f t="shared" si="31"/>
        <v>-6.1278332081515785E-3</v>
      </c>
      <c r="I1244" s="7">
        <f t="shared" si="31"/>
        <v>1.904489789243291E-3</v>
      </c>
      <c r="J1244" s="7">
        <f t="shared" si="31"/>
        <v>1.0280139650203024E-2</v>
      </c>
      <c r="K1244" s="7">
        <f t="shared" si="31"/>
        <v>-5.2823156968906382E-3</v>
      </c>
      <c r="L1244" s="7"/>
    </row>
    <row r="1245" spans="1:12" x14ac:dyDescent="0.25">
      <c r="A1245" s="2" t="s">
        <v>1251</v>
      </c>
      <c r="B1245" s="7">
        <v>1.8662519440124425E-2</v>
      </c>
      <c r="C1245" s="7">
        <v>3.7134119702926238E-3</v>
      </c>
      <c r="D1245" s="7">
        <v>9.3457943925234765E-3</v>
      </c>
      <c r="E1245" s="7">
        <v>-6.1619718309857685E-4</v>
      </c>
      <c r="F1245" s="7">
        <v>1.1094247768300924E-2</v>
      </c>
      <c r="G1245" s="7"/>
      <c r="H1245" s="7">
        <f t="shared" si="31"/>
        <v>7.568271671823501E-3</v>
      </c>
      <c r="I1245" s="7">
        <f t="shared" si="31"/>
        <v>-7.3808357980083006E-3</v>
      </c>
      <c r="J1245" s="7">
        <f t="shared" si="31"/>
        <v>-1.7484533757774479E-3</v>
      </c>
      <c r="K1245" s="7">
        <f t="shared" si="31"/>
        <v>-1.1710444951399501E-2</v>
      </c>
      <c r="L1245" s="7"/>
    </row>
    <row r="1246" spans="1:12" x14ac:dyDescent="0.25">
      <c r="A1246" s="2" t="s">
        <v>1252</v>
      </c>
      <c r="B1246" s="7">
        <v>-1.7795768731383221E-2</v>
      </c>
      <c r="C1246" s="7">
        <v>1.4583637159109042E-3</v>
      </c>
      <c r="D1246" s="7">
        <v>4.6948356807512415E-3</v>
      </c>
      <c r="E1246" s="7">
        <v>-1.0969876371234588E-2</v>
      </c>
      <c r="F1246" s="7">
        <v>-4.0878020277237415E-3</v>
      </c>
      <c r="G1246" s="7"/>
      <c r="H1246" s="7">
        <f t="shared" si="31"/>
        <v>-1.370796670365948E-2</v>
      </c>
      <c r="I1246" s="7">
        <f t="shared" si="31"/>
        <v>5.5461657436346457E-3</v>
      </c>
      <c r="J1246" s="7">
        <f t="shared" si="31"/>
        <v>8.7826377084749829E-3</v>
      </c>
      <c r="K1246" s="7">
        <f t="shared" si="31"/>
        <v>-6.8820743435108467E-3</v>
      </c>
      <c r="L1246" s="7"/>
    </row>
    <row r="1247" spans="1:12" x14ac:dyDescent="0.25">
      <c r="A1247" s="2" t="s">
        <v>1253</v>
      </c>
      <c r="B1247" s="7">
        <v>2.4250958303997594E-2</v>
      </c>
      <c r="C1247" s="7">
        <v>-6.8795712940836751E-3</v>
      </c>
      <c r="D1247" s="7">
        <v>-9.302325581395321E-3</v>
      </c>
      <c r="E1247" s="7">
        <v>-8.7166652282730794E-3</v>
      </c>
      <c r="F1247" s="7">
        <v>3.2945816244711601E-3</v>
      </c>
      <c r="G1247" s="7"/>
      <c r="H1247" s="7">
        <f t="shared" si="31"/>
        <v>2.0956376679526434E-2</v>
      </c>
      <c r="I1247" s="7">
        <f t="shared" si="31"/>
        <v>-1.0174152918554835E-2</v>
      </c>
      <c r="J1247" s="7">
        <f t="shared" si="31"/>
        <v>-1.2596907205866481E-2</v>
      </c>
      <c r="K1247" s="7">
        <f t="shared" si="31"/>
        <v>-1.201124685274424E-2</v>
      </c>
      <c r="L1247" s="7"/>
    </row>
    <row r="1248" spans="1:12" x14ac:dyDescent="0.25">
      <c r="A1248" s="2" t="s">
        <v>235</v>
      </c>
      <c r="B1248" s="7">
        <v>-1.3200555812876269E-2</v>
      </c>
      <c r="C1248" s="7">
        <v>-8.682439765574923E-4</v>
      </c>
      <c r="D1248" s="7">
        <v>-4.8672566371681381E-2</v>
      </c>
      <c r="E1248" s="7">
        <v>9.270086759713303E-2</v>
      </c>
      <c r="F1248" s="7">
        <v>-1.9618291028877799E-4</v>
      </c>
      <c r="G1248" s="7"/>
      <c r="H1248" s="7">
        <f t="shared" si="31"/>
        <v>-1.3004372902587491E-2</v>
      </c>
      <c r="I1248" s="7">
        <f t="shared" si="31"/>
        <v>-6.7206106626871431E-4</v>
      </c>
      <c r="J1248" s="7">
        <f t="shared" si="31"/>
        <v>-4.8476383461392603E-2</v>
      </c>
      <c r="K1248" s="7">
        <f t="shared" si="31"/>
        <v>9.2897050507421808E-2</v>
      </c>
      <c r="L1248" s="7"/>
    </row>
    <row r="1249" spans="1:12" x14ac:dyDescent="0.25">
      <c r="A1249" s="2" t="s">
        <v>1254</v>
      </c>
      <c r="B1249" s="7">
        <v>2.0241001811451387E-2</v>
      </c>
      <c r="C1249" s="7">
        <v>1.1638120333772539E-2</v>
      </c>
      <c r="D1249" s="7">
        <v>-3.0042918454935785E-2</v>
      </c>
      <c r="E1249" s="7">
        <v>-2.159069939103142E-2</v>
      </c>
      <c r="F1249" s="7">
        <v>7.7199628035937717E-3</v>
      </c>
      <c r="G1249" s="7"/>
      <c r="H1249" s="7">
        <f t="shared" si="31"/>
        <v>1.2521039007857615E-2</v>
      </c>
      <c r="I1249" s="7">
        <f t="shared" si="31"/>
        <v>3.9181575301787674E-3</v>
      </c>
      <c r="J1249" s="7">
        <f t="shared" si="31"/>
        <v>-3.7762881258529557E-2</v>
      </c>
      <c r="K1249" s="7">
        <f t="shared" si="31"/>
        <v>-2.9310662194625192E-2</v>
      </c>
      <c r="L1249" s="7"/>
    </row>
    <row r="1250" spans="1:12" x14ac:dyDescent="0.25">
      <c r="A1250" s="2" t="s">
        <v>1255</v>
      </c>
      <c r="B1250" s="7">
        <v>1.9266275989403558E-2</v>
      </c>
      <c r="C1250" s="7">
        <v>3.9682539682539542E-3</v>
      </c>
      <c r="D1250" s="7">
        <v>-1.6877637130801704E-2</v>
      </c>
      <c r="E1250" s="7">
        <v>1.2518684603886276E-2</v>
      </c>
      <c r="F1250" s="7">
        <v>4.220639958823158E-3</v>
      </c>
      <c r="G1250" s="7"/>
      <c r="H1250" s="7">
        <f t="shared" si="31"/>
        <v>1.50456360305804E-2</v>
      </c>
      <c r="I1250" s="7">
        <f t="shared" si="31"/>
        <v>-2.5238599056920386E-4</v>
      </c>
      <c r="J1250" s="7">
        <f t="shared" si="31"/>
        <v>-2.1098277089624862E-2</v>
      </c>
      <c r="K1250" s="7">
        <f t="shared" si="31"/>
        <v>8.2980446450631185E-3</v>
      </c>
      <c r="L1250" s="7"/>
    </row>
    <row r="1251" spans="1:12" x14ac:dyDescent="0.25">
      <c r="A1251" s="2" t="s">
        <v>1256</v>
      </c>
      <c r="B1251" s="7">
        <v>1.3340925730090269E-2</v>
      </c>
      <c r="C1251" s="7">
        <v>5.882352941177782E-4</v>
      </c>
      <c r="D1251" s="7">
        <v>8.5106382978723527E-3</v>
      </c>
      <c r="E1251" s="7">
        <v>-2.2331826277572242E-2</v>
      </c>
      <c r="F1251" s="7">
        <v>1.4752303666720756E-3</v>
      </c>
      <c r="G1251" s="7"/>
      <c r="H1251" s="7">
        <f t="shared" si="31"/>
        <v>1.1865695363418194E-2</v>
      </c>
      <c r="I1251" s="7">
        <f t="shared" si="31"/>
        <v>-8.8699507255429744E-4</v>
      </c>
      <c r="J1251" s="7">
        <f t="shared" si="31"/>
        <v>7.0354079312002771E-3</v>
      </c>
      <c r="K1251" s="7">
        <f t="shared" si="31"/>
        <v>-2.3807056644244318E-2</v>
      </c>
      <c r="L1251" s="7"/>
    </row>
    <row r="1252" spans="1:12" x14ac:dyDescent="0.25">
      <c r="A1252" s="2" t="s">
        <v>1257</v>
      </c>
      <c r="B1252" s="7">
        <v>2.4463834298296128E-3</v>
      </c>
      <c r="C1252" s="7">
        <v>-6.6132706297306054E-4</v>
      </c>
      <c r="D1252" s="7">
        <v>4.9107142857142794E-2</v>
      </c>
      <c r="E1252" s="7">
        <v>2.3367761835771272E-2</v>
      </c>
      <c r="F1252" s="7">
        <v>-9.7353791525556233E-4</v>
      </c>
      <c r="G1252" s="7"/>
      <c r="H1252" s="7">
        <f t="shared" si="31"/>
        <v>3.4199213450851751E-3</v>
      </c>
      <c r="I1252" s="7">
        <f t="shared" si="31"/>
        <v>3.1221085228250178E-4</v>
      </c>
      <c r="J1252" s="7">
        <f t="shared" si="31"/>
        <v>5.0080680772398356E-2</v>
      </c>
      <c r="K1252" s="7">
        <f t="shared" si="31"/>
        <v>2.4341299751026835E-2</v>
      </c>
      <c r="L1252" s="7"/>
    </row>
    <row r="1253" spans="1:12" x14ac:dyDescent="0.25">
      <c r="A1253" s="2" t="s">
        <v>236</v>
      </c>
      <c r="B1253" s="7">
        <v>2.3622704507512582E-2</v>
      </c>
      <c r="C1253" s="7">
        <v>1.1746338562188763E-2</v>
      </c>
      <c r="D1253" s="7">
        <v>-4.6808510638297829E-2</v>
      </c>
      <c r="E1253" s="7">
        <v>4.2239639555075037E-3</v>
      </c>
      <c r="F1253" s="7">
        <v>1.4438277854756487E-2</v>
      </c>
      <c r="G1253" s="7"/>
      <c r="H1253" s="7">
        <f t="shared" si="31"/>
        <v>9.1844266527560947E-3</v>
      </c>
      <c r="I1253" s="7">
        <f t="shared" si="31"/>
        <v>-2.6919392925677244E-3</v>
      </c>
      <c r="J1253" s="7">
        <f t="shared" si="31"/>
        <v>-6.1246788493054316E-2</v>
      </c>
      <c r="K1253" s="7">
        <f t="shared" si="31"/>
        <v>-1.0214313899248983E-2</v>
      </c>
      <c r="L1253" s="7"/>
    </row>
    <row r="1254" spans="1:12" x14ac:dyDescent="0.25">
      <c r="A1254" s="2" t="s">
        <v>1258</v>
      </c>
      <c r="B1254" s="7">
        <v>6.9765487097588341E-3</v>
      </c>
      <c r="C1254" s="7">
        <v>1.4870994125937287E-4</v>
      </c>
      <c r="D1254" s="7">
        <v>4.9107142857142794E-2</v>
      </c>
      <c r="E1254" s="7">
        <v>-1.0449563440460663E-2</v>
      </c>
      <c r="F1254" s="7">
        <v>1.1825144919693331E-2</v>
      </c>
      <c r="G1254" s="7"/>
      <c r="H1254" s="7">
        <f t="shared" si="31"/>
        <v>-4.848596209934497E-3</v>
      </c>
      <c r="I1254" s="7">
        <f t="shared" si="31"/>
        <v>-1.1676434978433958E-2</v>
      </c>
      <c r="J1254" s="7">
        <f t="shared" si="31"/>
        <v>3.7281997937449463E-2</v>
      </c>
      <c r="K1254" s="7">
        <f t="shared" si="31"/>
        <v>-2.2274708360153994E-2</v>
      </c>
      <c r="L1254" s="7"/>
    </row>
    <row r="1255" spans="1:12" x14ac:dyDescent="0.25">
      <c r="A1255" s="2" t="s">
        <v>1259</v>
      </c>
      <c r="B1255" s="7">
        <v>1.875321116629558E-2</v>
      </c>
      <c r="C1255" s="7">
        <v>-1.0083909907257493E-2</v>
      </c>
      <c r="D1255" s="7">
        <v>-1.3215859030836885E-2</v>
      </c>
      <c r="E1255" s="7">
        <v>-1.1023332720926038E-2</v>
      </c>
      <c r="F1255" s="7">
        <v>3.6225385557842049E-3</v>
      </c>
      <c r="G1255" s="7"/>
      <c r="H1255" s="7">
        <f t="shared" si="31"/>
        <v>1.5130672610511375E-2</v>
      </c>
      <c r="I1255" s="7">
        <f t="shared" si="31"/>
        <v>-1.3706448463041698E-2</v>
      </c>
      <c r="J1255" s="7">
        <f t="shared" si="31"/>
        <v>-1.683839758662109E-2</v>
      </c>
      <c r="K1255" s="7">
        <f t="shared" si="31"/>
        <v>-1.4645871276710243E-2</v>
      </c>
      <c r="L1255" s="7"/>
    </row>
    <row r="1256" spans="1:12" x14ac:dyDescent="0.25">
      <c r="A1256" s="2" t="s">
        <v>1260</v>
      </c>
      <c r="B1256" s="7">
        <v>-1.2264230736699688E-2</v>
      </c>
      <c r="C1256" s="7">
        <v>-5.6356583473613497E-3</v>
      </c>
      <c r="D1256" s="7">
        <v>-3.4042553191489411E-2</v>
      </c>
      <c r="E1256" s="7">
        <v>-1.1262488646684776E-2</v>
      </c>
      <c r="F1256" s="7">
        <v>-3.1578231669390222E-3</v>
      </c>
      <c r="G1256" s="7"/>
      <c r="H1256" s="7">
        <f t="shared" si="31"/>
        <v>-9.1064075697606661E-3</v>
      </c>
      <c r="I1256" s="7">
        <f t="shared" si="31"/>
        <v>-2.4778351804223275E-3</v>
      </c>
      <c r="J1256" s="7">
        <f t="shared" si="31"/>
        <v>-3.0884730024550389E-2</v>
      </c>
      <c r="K1256" s="7">
        <f t="shared" si="31"/>
        <v>-8.104665479745754E-3</v>
      </c>
      <c r="L1256" s="7"/>
    </row>
    <row r="1257" spans="1:12" x14ac:dyDescent="0.25">
      <c r="A1257" s="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Risk - Example</vt:lpstr>
      <vt:lpstr>Without 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McMullan</dc:creator>
  <cp:lastModifiedBy>Rory McMullan</cp:lastModifiedBy>
  <dcterms:created xsi:type="dcterms:W3CDTF">2026-03-30T08:59:56Z</dcterms:created>
  <dcterms:modified xsi:type="dcterms:W3CDTF">2026-03-30T09:57:37Z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cd2ed6-a2a0-4125-9165-0782013a9ca2_Enabled">
    <vt:lpwstr>true</vt:lpwstr>
  </property>
  <property fmtid="{D5CDD505-2E9C-101B-9397-08002B2CF9AE}" pid="3" name="MSIP_Label_c9cd2ed6-a2a0-4125-9165-0782013a9ca2_SetDate">
    <vt:lpwstr>2026-03-30T09:29:54Z</vt:lpwstr>
  </property>
  <property fmtid="{D5CDD505-2E9C-101B-9397-08002B2CF9AE}" pid="4" name="MSIP_Label_c9cd2ed6-a2a0-4125-9165-0782013a9ca2_Method">
    <vt:lpwstr>Standard</vt:lpwstr>
  </property>
  <property fmtid="{D5CDD505-2E9C-101B-9397-08002B2CF9AE}" pid="5" name="MSIP_Label_c9cd2ed6-a2a0-4125-9165-0782013a9ca2_Name">
    <vt:lpwstr>c9cd2ed6-a2a0-4125-9165-0782013a9ca2</vt:lpwstr>
  </property>
  <property fmtid="{D5CDD505-2E9C-101B-9397-08002B2CF9AE}" pid="6" name="MSIP_Label_c9cd2ed6-a2a0-4125-9165-0782013a9ca2_SiteId">
    <vt:lpwstr>7c003704-d975-40f3-a18d-7c4b6c11c093</vt:lpwstr>
  </property>
  <property fmtid="{D5CDD505-2E9C-101B-9397-08002B2CF9AE}" pid="7" name="MSIP_Label_c9cd2ed6-a2a0-4125-9165-0782013a9ca2_ActionId">
    <vt:lpwstr>f0523181-29e5-4f5c-bbad-eab5b85617d8</vt:lpwstr>
  </property>
  <property fmtid="{D5CDD505-2E9C-101B-9397-08002B2CF9AE}" pid="8" name="MSIP_Label_c9cd2ed6-a2a0-4125-9165-0782013a9ca2_ContentBits">
    <vt:lpwstr>0</vt:lpwstr>
  </property>
  <property fmtid="{D5CDD505-2E9C-101B-9397-08002B2CF9AE}" pid="9" name="MSIP_Label_c9cd2ed6-a2a0-4125-9165-0782013a9ca2_Tag">
    <vt:lpwstr>10, 3, 0, 1</vt:lpwstr>
  </property>
</Properties>
</file>